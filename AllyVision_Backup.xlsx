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mc:AlternateContent xmlns:mc="http://schemas.openxmlformats.org/markup-compatibility/2006">
    <mc:Choice Requires="x15">
      <x15ac:absPath xmlns:x15ac="http://schemas.microsoft.com/office/spreadsheetml/2010/11/ac" url="C:\Users\abdok\Downloads\"/>
    </mc:Choice>
  </mc:AlternateContent>
  <xr:revisionPtr revIDLastSave="0" documentId="8_{0AF26483-9337-4CDA-AC11-87F0588F6A1E}" xr6:coauthVersionLast="47" xr6:coauthVersionMax="47" xr10:uidLastSave="{00000000-0000-0000-0000-000000000000}"/>
  <bookViews>
    <workbookView xWindow="-105" yWindow="0" windowWidth="16695" windowHeight="15585" tabRatio="500" xr2:uid="{00000000-000D-0000-FFFF-FFFF00000000}"/>
  </bookViews>
  <sheets>
    <sheet name="Main " sheetId="1" r:id="rId1"/>
    <sheet name="Mohsen" sheetId="19" r:id="rId2"/>
    <sheet name="Ahmed" sheetId="18" r:id="rId3"/>
    <sheet name="Fathy" sheetId="17" r:id="rId4"/>
    <sheet name="Farah" sheetId="16" r:id="rId5"/>
    <sheet name="Mostafa" sheetId="15" r:id="rId6"/>
    <sheet name="Hend" sheetId="14" r:id="rId7"/>
    <sheet name="Habiba" sheetId="13" r:id="rId8"/>
    <sheet name="Abdallah" sheetId="12" r:id="rId9"/>
    <sheet name="Taha" sheetId="11" r:id="rId10"/>
    <sheet name="Salma" sheetId="10" r:id="rId11"/>
    <sheet name="David" sheetId="9" r:id="rId12"/>
    <sheet name="PRISMA Tracking" sheetId="2" r:id="rId13"/>
    <sheet name="Statistics Dashboard" sheetId="3" r:id="rId14"/>
    <sheet name="Research Gap Summary" sheetId="5" r:id="rId15"/>
    <sheet name="Taxonomy" sheetId="4" r:id="rId16"/>
    <sheet name="Instructions" sheetId="7" r:id="rId17"/>
    <sheet name="Lists" sheetId="8" state="hidden" r:id="rId18"/>
  </sheets>
  <definedNames>
    <definedName name="B111D111">Fathy!$C$111:$C$111</definedName>
    <definedName name="F100H100">Fathy!$G$100:$G$100</definedName>
    <definedName name="F101H101">Fathy!$G$101:$G$101</definedName>
    <definedName name="F102H102">Fathy!$G$102:$G$102</definedName>
    <definedName name="F98H98">Fathy!$G$98:$G$98</definedName>
    <definedName name="F99H99">Fathy!$G$99:$G$99</definedName>
    <definedName name="H110J110">Fathy!$I$110:$I$110</definedName>
    <definedName name="H111J111">Fathy!$I$111:$I$111</definedName>
    <definedName name="L100B101">Fathy!$A$98:$A$109</definedName>
    <definedName name="L101B102">Fathy!$A$98:$A$109</definedName>
    <definedName name="L102B103">Fathy!$A$98:$A$109</definedName>
    <definedName name="L104B105">Fathy!$A$98:$A$109</definedName>
    <definedName name="L99B100">Fathy!$A$98:$A$109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52" i="18" l="1"/>
  <c r="B153" i="18"/>
  <c r="B154" i="18"/>
  <c r="B155" i="18"/>
  <c r="B156" i="18"/>
  <c r="B157" i="18"/>
  <c r="B158" i="18"/>
  <c r="B159" i="18"/>
  <c r="B160" i="18"/>
  <c r="B161" i="18"/>
  <c r="B162" i="18"/>
  <c r="B163" i="18"/>
  <c r="B164" i="18"/>
  <c r="B165" i="18"/>
  <c r="B166" i="18"/>
  <c r="B167" i="18"/>
  <c r="B168" i="18"/>
  <c r="B169" i="18"/>
  <c r="B170" i="18"/>
  <c r="B171" i="18"/>
  <c r="B172" i="18"/>
  <c r="B173" i="18"/>
  <c r="B174" i="18"/>
  <c r="B175" i="18"/>
  <c r="B176" i="18"/>
  <c r="B177" i="18"/>
  <c r="B178" i="18"/>
  <c r="B179" i="18"/>
  <c r="B180" i="18"/>
  <c r="B181" i="18"/>
  <c r="B182" i="18"/>
  <c r="B183" i="18"/>
  <c r="B184" i="18"/>
  <c r="B185" i="18"/>
  <c r="B186" i="18"/>
  <c r="B187" i="18"/>
  <c r="B188" i="18"/>
  <c r="B189" i="18"/>
  <c r="B190" i="18"/>
  <c r="B191" i="18"/>
  <c r="B192" i="18"/>
  <c r="B193" i="18"/>
  <c r="B194" i="18"/>
  <c r="B195" i="18"/>
  <c r="B196" i="18"/>
  <c r="B197" i="18"/>
  <c r="B198" i="18"/>
  <c r="B199" i="18"/>
  <c r="B200" i="18"/>
  <c r="B201" i="18"/>
  <c r="B202" i="18"/>
  <c r="B203" i="18"/>
  <c r="B204" i="18"/>
  <c r="B205" i="18"/>
  <c r="B206" i="18"/>
  <c r="B207" i="18"/>
  <c r="B208" i="18"/>
  <c r="B209" i="18"/>
  <c r="B210" i="18"/>
  <c r="B211" i="18"/>
  <c r="B212" i="18"/>
  <c r="B213" i="18"/>
  <c r="B214" i="18"/>
  <c r="B215" i="18"/>
  <c r="B216" i="18"/>
  <c r="B217" i="18"/>
  <c r="B218" i="18"/>
  <c r="B219" i="18"/>
  <c r="B220" i="18"/>
  <c r="B221" i="18"/>
  <c r="B222" i="18"/>
  <c r="B223" i="18"/>
  <c r="B224" i="18"/>
  <c r="B225" i="18"/>
  <c r="B226" i="18"/>
  <c r="B227" i="18"/>
  <c r="B228" i="18"/>
  <c r="B229" i="18"/>
  <c r="B230" i="18"/>
  <c r="B231" i="18"/>
  <c r="B232" i="18"/>
  <c r="B233" i="18"/>
  <c r="B234" i="18"/>
  <c r="B235" i="18"/>
  <c r="B236" i="18"/>
  <c r="B237" i="18"/>
  <c r="B238" i="18"/>
  <c r="B239" i="18"/>
  <c r="B240" i="18"/>
  <c r="B241" i="18"/>
  <c r="B26" i="19"/>
  <c r="B27" i="19"/>
  <c r="B28"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242" i="18"/>
  <c r="B243" i="18"/>
  <c r="B244" i="18"/>
  <c r="B245" i="18"/>
  <c r="B246" i="18"/>
  <c r="B247" i="18"/>
  <c r="B248" i="18"/>
  <c r="B249" i="18"/>
  <c r="B250" i="18"/>
  <c r="B251" i="18"/>
  <c r="B252" i="18"/>
  <c r="B253" i="18"/>
  <c r="B254" i="18"/>
  <c r="B255" i="18"/>
  <c r="B256" i="18"/>
  <c r="B257" i="18"/>
  <c r="B258" i="18"/>
  <c r="B259" i="18"/>
  <c r="B260" i="18"/>
  <c r="B261" i="18"/>
  <c r="B262" i="18"/>
  <c r="B263" i="18"/>
  <c r="B264" i="18"/>
  <c r="B265" i="18"/>
  <c r="B266" i="18"/>
  <c r="B267" i="18"/>
  <c r="B268" i="18"/>
  <c r="B269" i="18"/>
  <c r="B270" i="18"/>
  <c r="B271" i="18"/>
  <c r="B272" i="18"/>
  <c r="B273" i="18"/>
  <c r="B274" i="18"/>
  <c r="B275" i="18"/>
  <c r="B276" i="18"/>
  <c r="B277" i="18"/>
  <c r="B278" i="18"/>
  <c r="B279" i="18"/>
  <c r="B280" i="18"/>
  <c r="B281" i="18"/>
  <c r="B282" i="18"/>
  <c r="B283" i="18"/>
  <c r="B284" i="18"/>
  <c r="B285" i="18"/>
  <c r="B286" i="18"/>
  <c r="B287" i="18"/>
  <c r="B288" i="18"/>
  <c r="B289" i="18"/>
  <c r="B290" i="18"/>
  <c r="B291" i="18"/>
  <c r="B292" i="18"/>
  <c r="B293" i="18"/>
  <c r="B294" i="18"/>
  <c r="B295" i="18"/>
  <c r="B296" i="18"/>
  <c r="B297" i="18"/>
  <c r="B298" i="18"/>
  <c r="B299" i="18"/>
  <c r="B300" i="18"/>
  <c r="B301" i="18"/>
  <c r="B302" i="18"/>
  <c r="B303" i="18"/>
  <c r="B304" i="18"/>
  <c r="B305" i="18"/>
  <c r="B306" i="18"/>
  <c r="B307" i="18"/>
  <c r="B308" i="18"/>
  <c r="B309" i="18"/>
  <c r="B310" i="18"/>
  <c r="B311" i="18"/>
  <c r="B312" i="18"/>
  <c r="B313" i="18"/>
  <c r="B314" i="18"/>
  <c r="B315" i="18"/>
  <c r="B316" i="18"/>
  <c r="B317" i="18"/>
  <c r="B318" i="18"/>
  <c r="B319" i="18"/>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249" i="16"/>
  <c r="B250" i="16"/>
  <c r="B251" i="16"/>
  <c r="B252" i="16"/>
  <c r="B253" i="16"/>
  <c r="B254" i="16"/>
  <c r="B255" i="16"/>
  <c r="B256" i="16"/>
  <c r="B257" i="16"/>
  <c r="B258" i="16"/>
  <c r="B259" i="16"/>
  <c r="B260" i="16"/>
  <c r="B261" i="16"/>
  <c r="B262" i="16"/>
  <c r="B263" i="16"/>
  <c r="B264" i="16"/>
  <c r="B265" i="16"/>
  <c r="B266" i="16"/>
  <c r="B267" i="16"/>
  <c r="B268" i="16"/>
  <c r="B269" i="16"/>
  <c r="B270" i="16"/>
  <c r="B271" i="16"/>
  <c r="B272" i="16"/>
  <c r="B273" i="16"/>
  <c r="B274" i="16"/>
  <c r="B275" i="16"/>
  <c r="B276" i="16"/>
  <c r="B277" i="16"/>
  <c r="B278" i="16"/>
  <c r="B279" i="16"/>
  <c r="B280" i="16"/>
  <c r="B281" i="16"/>
  <c r="B282" i="16"/>
  <c r="B283" i="16"/>
  <c r="B284" i="16"/>
  <c r="B285" i="16"/>
  <c r="B286" i="16"/>
  <c r="B287" i="16"/>
  <c r="B288" i="16"/>
  <c r="B289" i="16"/>
  <c r="B290" i="16"/>
  <c r="B291" i="16"/>
  <c r="B292" i="16"/>
  <c r="B293" i="16"/>
  <c r="B294" i="16"/>
  <c r="B295" i="16"/>
  <c r="B296" i="16"/>
  <c r="B297" i="16"/>
  <c r="B298" i="16"/>
  <c r="B299" i="16"/>
  <c r="B300" i="16"/>
  <c r="B301" i="16"/>
  <c r="B302" i="16"/>
  <c r="B303" i="16"/>
  <c r="B304" i="16"/>
  <c r="B305" i="16"/>
  <c r="B306" i="16"/>
  <c r="B307" i="16"/>
  <c r="B308" i="16"/>
  <c r="B309" i="16"/>
  <c r="B310" i="16"/>
  <c r="B311" i="16"/>
  <c r="B312" i="16"/>
  <c r="B313" i="16"/>
  <c r="B314" i="16"/>
  <c r="B315" i="16"/>
  <c r="B316" i="16"/>
  <c r="B317" i="16"/>
  <c r="B318" i="16"/>
  <c r="B319" i="16"/>
  <c r="B152" i="15"/>
  <c r="B153" i="15"/>
  <c r="B154" i="15"/>
  <c r="B155" i="15"/>
  <c r="B156" i="15"/>
  <c r="B157" i="15"/>
  <c r="B158" i="15"/>
  <c r="B159" i="15"/>
  <c r="B160" i="15"/>
  <c r="B161" i="15"/>
  <c r="B162" i="15"/>
  <c r="B163" i="15"/>
  <c r="B164" i="15"/>
  <c r="B165" i="15"/>
  <c r="B166" i="15"/>
  <c r="B167" i="15"/>
  <c r="B168" i="15"/>
  <c r="B169" i="15"/>
  <c r="B170" i="15"/>
  <c r="B171" i="15"/>
  <c r="B172" i="15"/>
  <c r="B173" i="15"/>
  <c r="B174" i="15"/>
  <c r="B175" i="15"/>
  <c r="B176" i="15"/>
  <c r="B177" i="15"/>
  <c r="B178" i="15"/>
  <c r="B179" i="15"/>
  <c r="B180" i="15"/>
  <c r="B181" i="15"/>
  <c r="B182" i="15"/>
  <c r="B183" i="15"/>
  <c r="B184" i="15"/>
  <c r="B185" i="15"/>
  <c r="B186" i="15"/>
  <c r="B187" i="15"/>
  <c r="B188" i="15"/>
  <c r="B189" i="15"/>
  <c r="B190" i="15"/>
  <c r="B191" i="15"/>
  <c r="B192" i="15"/>
  <c r="B193" i="15"/>
  <c r="B194" i="15"/>
  <c r="B195" i="15"/>
  <c r="B196" i="15"/>
  <c r="B197" i="15"/>
  <c r="B198" i="15"/>
  <c r="B199" i="15"/>
  <c r="B200" i="15"/>
  <c r="B201" i="15"/>
  <c r="B202" i="15"/>
  <c r="B203" i="15"/>
  <c r="B204" i="15"/>
  <c r="B205" i="15"/>
  <c r="B206" i="15"/>
  <c r="B207" i="15"/>
  <c r="B208" i="15"/>
  <c r="B209" i="15"/>
  <c r="B210" i="15"/>
  <c r="B211" i="15"/>
  <c r="B212" i="15"/>
  <c r="B213" i="15"/>
  <c r="B214" i="15"/>
  <c r="B215" i="15"/>
  <c r="B216" i="15"/>
  <c r="B217" i="15"/>
  <c r="B218" i="15"/>
  <c r="B219" i="15"/>
  <c r="B220" i="15"/>
  <c r="B221" i="15"/>
  <c r="B222" i="15"/>
  <c r="B223" i="15"/>
  <c r="B224" i="15"/>
  <c r="B225" i="15"/>
  <c r="B226" i="15"/>
  <c r="B227" i="15"/>
  <c r="B228" i="15"/>
  <c r="B229" i="15"/>
  <c r="B230" i="15"/>
  <c r="B231" i="15"/>
  <c r="B232" i="15"/>
  <c r="B233" i="15"/>
  <c r="B234" i="15"/>
  <c r="B235" i="15"/>
  <c r="B236" i="15"/>
  <c r="B237" i="15"/>
  <c r="B238" i="15"/>
  <c r="B239" i="15"/>
  <c r="B240" i="15"/>
  <c r="B241" i="15"/>
  <c r="B242" i="15"/>
  <c r="B243" i="15"/>
  <c r="B244" i="15"/>
  <c r="B245" i="15"/>
  <c r="B246" i="15"/>
  <c r="B247" i="15"/>
  <c r="B248" i="15"/>
  <c r="B249" i="15"/>
  <c r="B250" i="15"/>
  <c r="B251" i="15"/>
  <c r="B252" i="15"/>
  <c r="B253" i="15"/>
  <c r="B254" i="15"/>
  <c r="B255" i="15"/>
  <c r="B256" i="15"/>
  <c r="B257" i="15"/>
  <c r="B258" i="15"/>
  <c r="B259" i="15"/>
  <c r="B260" i="15"/>
  <c r="B261" i="15"/>
  <c r="B262" i="15"/>
  <c r="B263" i="15"/>
  <c r="B264" i="15"/>
  <c r="B265" i="15"/>
  <c r="B266" i="15"/>
  <c r="B267" i="15"/>
  <c r="B268" i="15"/>
  <c r="B269" i="15"/>
  <c r="B270" i="15"/>
  <c r="B271" i="15"/>
  <c r="B272" i="15"/>
  <c r="B273" i="15"/>
  <c r="B274" i="15"/>
  <c r="B275" i="15"/>
  <c r="B276" i="15"/>
  <c r="B277" i="15"/>
  <c r="B278" i="15"/>
  <c r="B279" i="15"/>
  <c r="B280" i="15"/>
  <c r="B281" i="15"/>
  <c r="B282" i="15"/>
  <c r="B283" i="15"/>
  <c r="B284" i="15"/>
  <c r="B285" i="15"/>
  <c r="B286" i="15"/>
  <c r="B287" i="15"/>
  <c r="B288" i="15"/>
  <c r="B289" i="15"/>
  <c r="B290" i="15"/>
  <c r="B291" i="15"/>
  <c r="B292" i="15"/>
  <c r="B293" i="15"/>
  <c r="B294" i="15"/>
  <c r="B295" i="15"/>
  <c r="B296" i="15"/>
  <c r="B297" i="15"/>
  <c r="B298" i="15"/>
  <c r="B299" i="15"/>
  <c r="B300" i="15"/>
  <c r="B301" i="15"/>
  <c r="B302" i="15"/>
  <c r="B303" i="15"/>
  <c r="B304" i="15"/>
  <c r="B305" i="15"/>
  <c r="B306" i="15"/>
  <c r="B307" i="15"/>
  <c r="B308" i="15"/>
  <c r="B309" i="15"/>
  <c r="B310" i="15"/>
  <c r="B311" i="15"/>
  <c r="B312" i="15"/>
  <c r="B313" i="15"/>
  <c r="B314" i="15"/>
  <c r="B315" i="15"/>
  <c r="B316" i="15"/>
  <c r="B317" i="15"/>
  <c r="B318" i="15"/>
  <c r="B319" i="15"/>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6" i="13"/>
  <c r="B185" i="13"/>
  <c r="B184" i="13"/>
  <c r="B183" i="13"/>
  <c r="B182" i="13"/>
  <c r="B181" i="13"/>
  <c r="B180" i="13"/>
  <c r="B179" i="13"/>
  <c r="B178" i="13"/>
  <c r="B177" i="13"/>
  <c r="B176" i="13"/>
  <c r="B175" i="13"/>
  <c r="B174" i="13"/>
  <c r="B173" i="13"/>
  <c r="B172" i="13"/>
  <c r="B171" i="13"/>
  <c r="B170" i="13"/>
  <c r="B169" i="13"/>
  <c r="B168" i="13"/>
  <c r="B167" i="13"/>
  <c r="B166" i="13"/>
  <c r="B165" i="13"/>
  <c r="B164" i="13"/>
  <c r="B163" i="13"/>
  <c r="B162" i="13"/>
  <c r="B161" i="13"/>
  <c r="B160" i="13"/>
  <c r="B159" i="13"/>
  <c r="B158" i="13"/>
  <c r="B157" i="13"/>
  <c r="B156" i="13"/>
  <c r="B155" i="13"/>
  <c r="B154" i="13"/>
  <c r="B153" i="13"/>
  <c r="B152" i="13"/>
  <c r="B151" i="13"/>
  <c r="B150" i="13"/>
  <c r="B149" i="13"/>
  <c r="B148" i="13"/>
  <c r="B147" i="13"/>
  <c r="B146" i="13"/>
  <c r="B145" i="13"/>
  <c r="B144" i="13"/>
  <c r="B143" i="13"/>
  <c r="B142" i="13"/>
  <c r="B141" i="13"/>
  <c r="B140" i="13"/>
  <c r="B139" i="13"/>
  <c r="B138" i="13"/>
  <c r="B137" i="13"/>
  <c r="B136" i="13"/>
  <c r="B135" i="13"/>
  <c r="B134" i="13"/>
  <c r="B133" i="13"/>
  <c r="B132" i="13"/>
  <c r="B131" i="13"/>
  <c r="B130" i="13"/>
  <c r="B129" i="13"/>
  <c r="B128" i="13"/>
  <c r="B127" i="13"/>
  <c r="B126" i="13"/>
  <c r="B125" i="13"/>
  <c r="B124" i="13"/>
  <c r="B123" i="13"/>
  <c r="B122" i="13"/>
  <c r="B121" i="13"/>
  <c r="B120" i="13"/>
  <c r="B119" i="13"/>
  <c r="B118" i="13"/>
  <c r="B117" i="13"/>
  <c r="B116" i="13"/>
  <c r="B115" i="13"/>
  <c r="B114" i="13"/>
  <c r="B113" i="13"/>
  <c r="B112" i="13"/>
  <c r="B111" i="13"/>
  <c r="B110" i="13"/>
  <c r="B109" i="13"/>
  <c r="B108" i="13"/>
  <c r="B107" i="13"/>
  <c r="B106" i="13"/>
  <c r="B105" i="13"/>
  <c r="B104" i="13"/>
  <c r="B103" i="13"/>
  <c r="B102" i="13"/>
  <c r="B101" i="13"/>
  <c r="B100" i="13"/>
  <c r="B99" i="13"/>
  <c r="B98" i="13"/>
  <c r="B97" i="13"/>
  <c r="B96" i="13"/>
  <c r="B95" i="13"/>
  <c r="B94" i="13"/>
  <c r="B93" i="13"/>
  <c r="B92" i="13"/>
  <c r="B91" i="13"/>
  <c r="B90" i="13"/>
  <c r="B89" i="13"/>
  <c r="B88" i="13"/>
  <c r="B87" i="13"/>
  <c r="B86" i="13"/>
  <c r="B85" i="13"/>
  <c r="B84" i="13"/>
  <c r="B83" i="13"/>
  <c r="B82" i="13"/>
  <c r="B81" i="13"/>
  <c r="B80" i="13"/>
  <c r="B79" i="13"/>
  <c r="B78" i="13"/>
  <c r="B77" i="13"/>
  <c r="B76" i="13"/>
  <c r="B75" i="13"/>
  <c r="B74" i="13"/>
  <c r="B73" i="13"/>
  <c r="B72" i="13"/>
  <c r="B71" i="13"/>
  <c r="B70" i="13"/>
  <c r="B69" i="13"/>
  <c r="B68" i="13"/>
  <c r="B67" i="13"/>
  <c r="B66" i="13"/>
  <c r="B65" i="13"/>
  <c r="B64" i="13"/>
  <c r="B63" i="13"/>
  <c r="B62" i="13"/>
  <c r="B61" i="13"/>
  <c r="B60" i="13"/>
  <c r="B59" i="13"/>
  <c r="B58" i="13"/>
  <c r="B57" i="13"/>
  <c r="B56" i="13"/>
  <c r="B55" i="13"/>
  <c r="B54" i="13"/>
  <c r="B53" i="13"/>
  <c r="B52" i="13"/>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21" i="13"/>
  <c r="B20" i="13"/>
  <c r="B19" i="13"/>
  <c r="B319" i="12"/>
  <c r="B318" i="12"/>
  <c r="B317" i="12"/>
  <c r="B316" i="12"/>
  <c r="B315" i="12"/>
  <c r="B314" i="12"/>
  <c r="B313" i="12"/>
  <c r="B312" i="12"/>
  <c r="B311" i="12"/>
  <c r="B310" i="12"/>
  <c r="B309" i="12"/>
  <c r="B308" i="12"/>
  <c r="B307" i="12"/>
  <c r="B306" i="12"/>
  <c r="B305" i="12"/>
  <c r="B304" i="12"/>
  <c r="B303" i="12"/>
  <c r="B302" i="12"/>
  <c r="B301" i="12"/>
  <c r="B300" i="12"/>
  <c r="B299" i="12"/>
  <c r="B298" i="12"/>
  <c r="B297" i="12"/>
  <c r="B296" i="12"/>
  <c r="B295" i="12"/>
  <c r="B294" i="12"/>
  <c r="B293" i="12"/>
  <c r="B292" i="12"/>
  <c r="B291" i="12"/>
  <c r="B290" i="12"/>
  <c r="B289" i="12"/>
  <c r="B288" i="12"/>
  <c r="B287" i="12"/>
  <c r="B286" i="12"/>
  <c r="B285" i="12"/>
  <c r="B284" i="12"/>
  <c r="B283" i="12"/>
  <c r="B282" i="12"/>
  <c r="B281" i="12"/>
  <c r="B280" i="12"/>
  <c r="B279" i="12"/>
  <c r="B278" i="12"/>
  <c r="B277" i="12"/>
  <c r="B276" i="12"/>
  <c r="B275" i="12"/>
  <c r="B274" i="12"/>
  <c r="B273" i="12"/>
  <c r="B272" i="12"/>
  <c r="B271" i="12"/>
  <c r="B270" i="12"/>
  <c r="B269" i="12"/>
  <c r="B268" i="12"/>
  <c r="B267" i="12"/>
  <c r="B266" i="12"/>
  <c r="B265" i="12"/>
  <c r="B264" i="12"/>
  <c r="B263" i="12"/>
  <c r="B262" i="12"/>
  <c r="B261" i="12"/>
  <c r="B260" i="12"/>
  <c r="B259" i="12"/>
  <c r="B258" i="12"/>
  <c r="B257" i="12"/>
  <c r="B256" i="12"/>
  <c r="B255" i="12"/>
  <c r="B254" i="12"/>
  <c r="B253" i="12"/>
  <c r="B252" i="12"/>
  <c r="B251" i="12"/>
  <c r="B250" i="12"/>
  <c r="B249" i="12"/>
  <c r="B248" i="12"/>
  <c r="B247" i="12"/>
  <c r="B246" i="12"/>
  <c r="B245" i="12"/>
  <c r="B244" i="12"/>
  <c r="B243" i="12"/>
  <c r="B242" i="12"/>
  <c r="B241" i="12"/>
  <c r="B240" i="12"/>
  <c r="B239" i="12"/>
  <c r="B238" i="12"/>
  <c r="B237" i="12"/>
  <c r="B236" i="12"/>
  <c r="B235" i="12"/>
  <c r="B234" i="12"/>
  <c r="B233" i="12"/>
  <c r="B232" i="12"/>
  <c r="B231" i="12"/>
  <c r="B230" i="12"/>
  <c r="B229" i="12"/>
  <c r="B228" i="12"/>
  <c r="B227" i="12"/>
  <c r="B226" i="12"/>
  <c r="B225" i="12"/>
  <c r="B224" i="12"/>
  <c r="B223" i="12"/>
  <c r="B222" i="12"/>
  <c r="B221" i="12"/>
  <c r="B220" i="12"/>
  <c r="B219" i="12"/>
  <c r="B218" i="12"/>
  <c r="B217" i="12"/>
  <c r="B216" i="12"/>
  <c r="B215" i="12"/>
  <c r="B214" i="12"/>
  <c r="B213" i="12"/>
  <c r="B212" i="12"/>
  <c r="B211" i="12"/>
  <c r="B210" i="12"/>
  <c r="B209" i="12"/>
  <c r="B208" i="12"/>
  <c r="B207" i="12"/>
  <c r="B206" i="12"/>
  <c r="B205" i="12"/>
  <c r="B204" i="12"/>
  <c r="B203" i="12"/>
  <c r="B202" i="12"/>
  <c r="B201" i="12"/>
  <c r="B200" i="12"/>
  <c r="B199" i="12"/>
  <c r="B198" i="12"/>
  <c r="B197" i="12"/>
  <c r="B196" i="12"/>
  <c r="B195" i="12"/>
  <c r="B194" i="12"/>
  <c r="B193" i="12"/>
  <c r="B192" i="12"/>
  <c r="B191" i="12"/>
  <c r="B190" i="12"/>
  <c r="B189" i="12"/>
  <c r="B188" i="12"/>
  <c r="B187" i="12"/>
  <c r="B186" i="12"/>
  <c r="B185" i="12"/>
  <c r="B184" i="12"/>
  <c r="B183" i="12"/>
  <c r="B182" i="12"/>
  <c r="B181" i="12"/>
  <c r="B180" i="12"/>
  <c r="B179" i="12"/>
  <c r="B178" i="12"/>
  <c r="B177" i="12"/>
  <c r="B176" i="12"/>
  <c r="B175" i="12"/>
  <c r="B174" i="12"/>
  <c r="B173" i="12"/>
  <c r="B172" i="12"/>
  <c r="B171" i="12"/>
  <c r="B170" i="12"/>
  <c r="B169" i="12"/>
  <c r="B168" i="12"/>
  <c r="B167" i="12"/>
  <c r="B166" i="12"/>
  <c r="B165" i="12"/>
  <c r="B164" i="12"/>
  <c r="B163" i="12"/>
  <c r="B162" i="12"/>
  <c r="B161" i="12"/>
  <c r="B160" i="12"/>
  <c r="B159" i="12"/>
  <c r="B158" i="12"/>
  <c r="B157" i="12"/>
  <c r="B156" i="12"/>
  <c r="B155" i="12"/>
  <c r="B154" i="12"/>
  <c r="B153" i="12"/>
  <c r="B152" i="12"/>
  <c r="B319" i="11"/>
  <c r="B318" i="11"/>
  <c r="B317" i="11"/>
  <c r="B316" i="11"/>
  <c r="B315" i="11"/>
  <c r="B314" i="11"/>
  <c r="B313" i="11"/>
  <c r="B312" i="11"/>
  <c r="B311" i="11"/>
  <c r="B310" i="11"/>
  <c r="B309" i="11"/>
  <c r="B308" i="11"/>
  <c r="B307" i="11"/>
  <c r="B306" i="11"/>
  <c r="B305" i="11"/>
  <c r="B304" i="11"/>
  <c r="B303" i="11"/>
  <c r="B302" i="11"/>
  <c r="B301" i="11"/>
  <c r="B300" i="11"/>
  <c r="B299" i="11"/>
  <c r="B298" i="11"/>
  <c r="B297" i="11"/>
  <c r="B296" i="11"/>
  <c r="B295" i="11"/>
  <c r="B294" i="11"/>
  <c r="B293" i="11"/>
  <c r="B292" i="11"/>
  <c r="B291" i="11"/>
  <c r="B290" i="11"/>
  <c r="B289" i="11"/>
  <c r="B288" i="11"/>
  <c r="B287" i="11"/>
  <c r="B286" i="11"/>
  <c r="B285" i="11"/>
  <c r="B284" i="11"/>
  <c r="B283" i="11"/>
  <c r="B282" i="11"/>
  <c r="B281" i="11"/>
  <c r="B280" i="11"/>
  <c r="B279" i="11"/>
  <c r="B278" i="11"/>
  <c r="B277" i="11"/>
  <c r="B276" i="11"/>
  <c r="B275" i="11"/>
  <c r="B274" i="11"/>
  <c r="B273" i="11"/>
  <c r="B272" i="11"/>
  <c r="B271" i="11"/>
  <c r="B270" i="11"/>
  <c r="B269" i="11"/>
  <c r="B268" i="11"/>
  <c r="B267" i="11"/>
  <c r="B266" i="11"/>
  <c r="B265" i="11"/>
  <c r="B264" i="11"/>
  <c r="B263" i="11"/>
  <c r="B262" i="11"/>
  <c r="B261" i="11"/>
  <c r="B260" i="11"/>
  <c r="B259" i="11"/>
  <c r="B258" i="11"/>
  <c r="B257" i="11"/>
  <c r="B256" i="11"/>
  <c r="B255" i="11"/>
  <c r="B254" i="11"/>
  <c r="B253" i="11"/>
  <c r="B252" i="11"/>
  <c r="B251" i="11"/>
  <c r="B250" i="11"/>
  <c r="B249" i="11"/>
  <c r="B248" i="11"/>
  <c r="B247" i="11"/>
  <c r="B246" i="11"/>
  <c r="B245" i="11"/>
  <c r="B244" i="11"/>
  <c r="B243" i="11"/>
  <c r="B242" i="11"/>
  <c r="B241" i="11"/>
  <c r="B240" i="11"/>
  <c r="B239" i="11"/>
  <c r="B238" i="11"/>
  <c r="B237" i="11"/>
  <c r="B236" i="11"/>
  <c r="B235" i="11"/>
  <c r="B234" i="11"/>
  <c r="B233" i="11"/>
  <c r="B232" i="11"/>
  <c r="B231" i="11"/>
  <c r="B230" i="11"/>
  <c r="B229" i="11"/>
  <c r="B228" i="11"/>
  <c r="B227" i="11"/>
  <c r="B226" i="11"/>
  <c r="B225" i="11"/>
  <c r="B224" i="11"/>
  <c r="B223" i="11"/>
  <c r="B222" i="11"/>
  <c r="B221" i="11"/>
  <c r="B220" i="11"/>
  <c r="B219" i="11"/>
  <c r="B218" i="11"/>
  <c r="B217" i="11"/>
  <c r="B216" i="11"/>
  <c r="B215" i="11"/>
  <c r="B214" i="11"/>
  <c r="B213" i="11"/>
  <c r="B212" i="11"/>
  <c r="B211" i="11"/>
  <c r="B210" i="11"/>
  <c r="B209" i="11"/>
  <c r="B208" i="11"/>
  <c r="B207" i="11"/>
  <c r="B206" i="11"/>
  <c r="B205" i="11"/>
  <c r="B204" i="11"/>
  <c r="B203" i="11"/>
  <c r="B202" i="11"/>
  <c r="B201" i="11"/>
  <c r="B200" i="11"/>
  <c r="B199" i="11"/>
  <c r="B198" i="11"/>
  <c r="B197" i="11"/>
  <c r="B196" i="11"/>
  <c r="B195" i="11"/>
  <c r="B194" i="11"/>
  <c r="B193" i="11"/>
  <c r="B192" i="11"/>
  <c r="B191" i="11"/>
  <c r="B190" i="11"/>
  <c r="B189" i="11"/>
  <c r="B188" i="11"/>
  <c r="B187" i="11"/>
  <c r="B186" i="11"/>
  <c r="B185" i="11"/>
  <c r="B184" i="11"/>
  <c r="B183" i="11"/>
  <c r="B182" i="11"/>
  <c r="B181" i="11"/>
  <c r="B180" i="11"/>
  <c r="B179" i="11"/>
  <c r="B178" i="11"/>
  <c r="B177" i="11"/>
  <c r="B176" i="11"/>
  <c r="B175" i="11"/>
  <c r="B174" i="11"/>
  <c r="B173" i="11"/>
  <c r="B172" i="11"/>
  <c r="B171" i="11"/>
  <c r="B170" i="11"/>
  <c r="B169" i="11"/>
  <c r="B168" i="11"/>
  <c r="B167" i="11"/>
  <c r="B166" i="11"/>
  <c r="B165" i="11"/>
  <c r="B164" i="11"/>
  <c r="B163" i="11"/>
  <c r="B162" i="11"/>
  <c r="B161" i="11"/>
  <c r="B160" i="11"/>
  <c r="B159" i="11"/>
  <c r="B158" i="11"/>
  <c r="B157" i="11"/>
  <c r="B156" i="11"/>
  <c r="B155" i="11"/>
  <c r="B154" i="11"/>
  <c r="B153" i="11"/>
  <c r="B152" i="11"/>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D15" i="3"/>
  <c r="D16" i="3"/>
  <c r="D17" i="3"/>
  <c r="D18" i="3"/>
  <c r="D19" i="3"/>
  <c r="D20" i="3"/>
  <c r="D21" i="3"/>
  <c r="D22" i="3"/>
  <c r="D23" i="3"/>
  <c r="D24" i="3"/>
  <c r="D26" i="3"/>
  <c r="D27" i="3"/>
  <c r="D28" i="3"/>
  <c r="D33" i="3"/>
  <c r="D34" i="3"/>
  <c r="D35" i="3"/>
  <c r="D36" i="3"/>
  <c r="D37" i="3"/>
  <c r="D38" i="3"/>
  <c r="D40" i="3"/>
  <c r="D41" i="3"/>
  <c r="D42" i="3"/>
  <c r="D6" i="3"/>
  <c r="D9" i="3"/>
  <c r="D10" i="3"/>
  <c r="D25" i="3"/>
  <c r="C8" i="2"/>
  <c r="D48" i="3"/>
  <c r="D86" i="3"/>
  <c r="D50" i="3"/>
  <c r="D49" i="3"/>
  <c r="D47" i="3"/>
  <c r="E9" i="4"/>
  <c r="E8" i="4"/>
  <c r="E7" i="4"/>
  <c r="E6" i="4"/>
  <c r="D93" i="3"/>
  <c r="D92" i="3"/>
  <c r="D91" i="3"/>
  <c r="D90" i="3"/>
  <c r="D89" i="3"/>
  <c r="D88" i="3"/>
  <c r="D87" i="3"/>
  <c r="D65" i="3"/>
  <c r="D64" i="3"/>
  <c r="D63" i="3"/>
  <c r="D62" i="3"/>
  <c r="D61" i="3"/>
  <c r="D60" i="3"/>
  <c r="D59" i="3"/>
  <c r="D58" i="3"/>
  <c r="D57" i="3"/>
  <c r="D56" i="3"/>
  <c r="D55" i="3"/>
  <c r="D8" i="3"/>
  <c r="D7" i="3"/>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C25" i="2"/>
  <c r="C12" i="2"/>
  <c r="E11" i="4" l="1"/>
</calcChain>
</file>

<file path=xl/sharedStrings.xml><?xml version="1.0" encoding="utf-8"?>
<sst xmlns="http://schemas.openxmlformats.org/spreadsheetml/2006/main" count="6823" uniqueCount="952">
  <si>
    <t>Paper's DOI</t>
  </si>
  <si>
    <t>Title</t>
  </si>
  <si>
    <t>Publication Year</t>
  </si>
  <si>
    <t>Publisher</t>
  </si>
  <si>
    <t>paper URL</t>
  </si>
  <si>
    <t>Technology</t>
  </si>
  <si>
    <t>Included or Excluded</t>
  </si>
  <si>
    <t>Reason for inclusivity</t>
  </si>
  <si>
    <t>Problem</t>
  </si>
  <si>
    <t>Solution</t>
  </si>
  <si>
    <t>Main Tags</t>
  </si>
  <si>
    <t>Another Tags</t>
  </si>
  <si>
    <t>Column1</t>
  </si>
  <si>
    <t>Column2</t>
  </si>
  <si>
    <t>Numbering for ref</t>
  </si>
  <si>
    <t>David</t>
  </si>
  <si>
    <t>10.1016/j.bcp.2025.116272</t>
  </si>
  <si>
    <t>A quantitative assessment of EOG eye tracking during free viewing in sighted and in congenitally blind</t>
  </si>
  <si>
    <t>Elsevier</t>
  </si>
  <si>
    <t>https://www.sciencedirect.com/science/article/pii/S0006899325003555?via%3Dihub</t>
  </si>
  <si>
    <t>Electrooculography (EOG)
Video-Based Eye Tracking
SMI Eye-Tracking Glasses
Smarting Mobile EEG
g.HIamp Amplifier
BioSemi EEG
vEOG / hEOG
Blink Detection
Saccade Detection
The vOICe</t>
  </si>
  <si>
    <t xml:space="preserve">included </t>
  </si>
  <si>
    <t>Limited exploration of EOG in naturalistic/free-viewing conditions
Video-based tracking can fail in blind individuals due to pupil abnormalities or eyelid control
Need to detect eye movements without visual fixation</t>
  </si>
  <si>
    <t>EOG-based detection of blinks and saccades
Comparison with video-based eye tracking
Testing under light, darkness, eyes-closed, and congenital blindness
Demonstrated that EOG can detect eye movements in blind participants</t>
  </si>
  <si>
    <t>#AI</t>
  </si>
  <si>
    <t xml:space="preserve">#assistive-technology, #edge-ai, #embedded-systems, #wearable-tech, #computer-vision, #internet-of-things, #IoMT, #visual-impairment, #real-time-inference, #microcontroller, #ESP32, #RaspberryPi, #STM32, #accessibility, #haptic-feedback, #sensory-substitution, #obstacle-detection, #AI #computer-vision
</t>
  </si>
  <si>
    <t>10.1016/j.neuroimage.2025.121652</t>
  </si>
  <si>
    <t>Long-term visual-to-tactile stimulation induces functional reorganization of thalamic pathways to achieve visual perception</t>
  </si>
  <si>
    <t>https://www.sciencedirect.com/science/article/pii/S105381192500655X?via%3Dihub</t>
  </si>
  <si>
    <t>Sensory Substitution Device (SSD)
Visual-to-Tactile Conversion
Tactile Stimulation
Resting-State fMRI
Functional Connectivity Analysis
Thalamic/Occipital Brain Imaging</t>
  </si>
  <si>
    <t>Limited understanding of how long-term tactile sensory substitution produces visual perception.
Unclear how the brain reorganizes its pathways during prolonged SSD use.</t>
  </si>
  <si>
    <t>Long-term visual-to-tactile stimulation/training.
Investigation of changes in thalamic–occipital connectivity to understand the neural mechanism.</t>
  </si>
  <si>
    <t>10.1016/j.neuroimage.2021.118029</t>
  </si>
  <si>
    <t>Topographic maps and neural tuning for sensory substitution dimensions learned in adulthood in a congenital blind subject</t>
  </si>
  <si>
    <t>https://www.sciencedirect.com/science/article/pii/S1053811921003062?via%3Dihub</t>
  </si>
  <si>
    <t>Auditory Sensory Substitution Device
2D Auditory Soundscape
Pitch Encoding
Temporal Encoding
Population Receptive Field Mapping
fMRI</t>
  </si>
  <si>
    <t>How the adult brain represents newly learned sensory dimensions in a person who is congenitally blind.</t>
  </si>
  <si>
    <t>Convert spatial information into auditory dimensions.
Train the participant to interpret the auditory representation.
Analyze the resulting neural maps and tuning.</t>
  </si>
  <si>
    <t>10.1016/j.neuroimage.2024.120621</t>
  </si>
  <si>
    <t>Visual Mental Imagery and Neural Dynamics of Sensory Substitution in the Blindfolded Subjects</t>
  </si>
  <si>
    <t>https://www.sciencedirect.com/science/article/pii/S1053811924001162?via%3Dihub</t>
  </si>
  <si>
    <t>Auditory Sensory Substitution
Visual-to-Auditory Encoding
Soundscape Stimuli
Functional MRI
Dynamic Causal Modeling (DCM)
Visual Mental Imagery</t>
  </si>
  <si>
    <t>How sensory-substitution information is processed by the brain.
Whether auditory sensory substitution can engage visual mental imagery.</t>
  </si>
  <si>
    <t>Train subjects to interpret auditory representations of visual shapes.
Use neuroimaging and DCM to analyze the resulting brain-network dynamics.</t>
  </si>
  <si>
    <t>10.1177/0145482X19842491</t>
  </si>
  <si>
    <t>A Haptic Navigation Aid for Individuals with Visual Impairments: Indoor and Outdoor Feasibility Evaluations of the LaserNavigator</t>
  </si>
  <si>
    <t>SAGE Publications</t>
  </si>
  <si>
    <t>https://journals.sagepub.com/doi/10.1177/0145482X19842491</t>
  </si>
  <si>
    <t>Laser Rangefinder
Haptic Feedback
Vibrating Actuator
Handheld Device
Virtual White Cane
Variable Virtual Cane Length</t>
  </si>
  <si>
    <t>Conventional white canes have a limited detection range.</t>
  </si>
  <si>
    <t>Use a laser rangefinder to detect objects beyond normal cane range.
Convert measured distance into haptic feedback.</t>
  </si>
  <si>
    <t>10.5220/0006617505550562</t>
  </si>
  <si>
    <t>Wearable RGB Camera-based Navigation System for the Visually Impaired</t>
  </si>
  <si>
    <t>SciTePress</t>
  </si>
  <si>
    <t>https://www.scitepress.org/PublishedPapers/2018/66175/</t>
  </si>
  <si>
    <t>Excluded</t>
  </si>
  <si>
    <t>Published by SciTePress</t>
  </si>
  <si>
    <t>10.1609/aaai.v37i2.25233</t>
  </si>
  <si>
    <t>BEVDepth: Acquisition of Reliable Depth for Multi-View 3D Object Detection</t>
  </si>
  <si>
    <t>AAAI</t>
  </si>
  <si>
    <t>https://ojs.aaai.org/index.php/AAAI/article/view/25233</t>
  </si>
  <si>
    <t>Because it falls in a different feild of study and is published by AAAI</t>
  </si>
  <si>
    <t>10.1109/EMBC.2013.6611022</t>
  </si>
  <si>
    <t>Electrotactile vision substitution for 3D trajectory following</t>
  </si>
  <si>
    <t>IEEE</t>
  </si>
  <si>
    <t>https://ieeexplore.ieee.org/document/6611022</t>
  </si>
  <si>
    <t>Published in 2013 and The linked IEEE document does not appear to correspond to the assistive-vision/navigation research needed for your review</t>
  </si>
  <si>
    <t>10.1109/EIT51626.2021.9491913</t>
  </si>
  <si>
    <t>Visually Impaired Indoor Navigation using YOLO Based Object Recognition, Monocular Depth Estimation and Binaural Sounds</t>
  </si>
  <si>
    <t>https://ieeexplore.ieee.org/document/9491913</t>
  </si>
  <si>
    <t>Monocular RGB Camera
Deep Learning
ResNet-50 Backbone
Encoder–Decoder Network
YOLOv8 Object Detection
Monocular Depth Estimation
Object Distance Estimation
D-Far250 Dataset
KITTI Dataset
Binaural/Spatial Audio
HRTF</t>
  </si>
  <si>
    <t>Difficulty detecting objects and understanding their distance and spatial position during indoor navigation.</t>
  </si>
  <si>
    <t>YOLO detects objects.
Monocular depth estimation estimates object distance.
Spatial information is converted into binaural audio.
Audio provides directional and distance information to the user.</t>
  </si>
  <si>
    <t>10.1109/TITS.2022.3161141</t>
  </si>
  <si>
    <t>Trans4Trans: Efficient Transformer for Transparent Object and Semantic Scene Segmentation in Real-World Navigation Assistance</t>
  </si>
  <si>
    <t>arXiv</t>
  </si>
  <si>
    <t>https://ieeexplore.ieee.org/document/9743965</t>
  </si>
  <si>
    <t>RGB-D Camera
Portable GPU
Trans4Trans Transformer
Transformer Parsing Module (TPM)
Semantic Segmentation
Transparent Object Segmentation
Depth Information
Bone-Conduction Earphone</t>
  </si>
  <si>
    <t>Transparent objects such as glass doors and glass walls can be incorrectly interpreted as free/walkable space.</t>
  </si>
  <si>
    <t>Detect transparent objects separately.
Combine transparent-object segmentation with semantic segmentation and depth information.
Provide navigation feedback to the visually impaired user.</t>
  </si>
  <si>
    <t>10.1109/TOH.2021.3138590</t>
  </si>
  <si>
    <t>In-Device Feedback in Immersive Head-Mounted Displays for Distance Perception During Teleoperation of Unmanned Ground Vehicles</t>
  </si>
  <si>
    <t>https://ieeexplore.ieee.org/document/9664257</t>
  </si>
  <si>
    <t>Different feild of study (The actual application is remote control of unmanned ground vehicles0</t>
  </si>
  <si>
    <t>10.48550/arXiv.2201.04453</t>
  </si>
  <si>
    <t>Obstacle Avoidance for Blind People Using a 3D Camera and a Haptic Feedback Sleeve</t>
  </si>
  <si>
    <t>arXiv / CoRR</t>
  </si>
  <si>
    <t>https://arxiv.org/abs/2201.04453</t>
  </si>
  <si>
    <t>Intel RealSense D415 3D Camera
3D Point Cloud
Depth Mapping
AAEON Up Board
5×5 Haptic Feedback Sleeve
Vibration Motor Array
Spatial Depth-to-Haptic Mapping
3D-Printed Glasses</t>
  </si>
  <si>
    <t>Limited obstacle detection range using conventional aids.
Difficulty providing multidimensional information about obstacles.
Some existing approaches depend on lighting conditions.</t>
  </si>
  <si>
    <t>Capture 3D depth information using the RealSense camera.
Convert the depth map into a 5×5 spatial representation.
Map each region to a corresponding vibration motor.
Use vibration intensity to communicate obstacle distance.</t>
  </si>
  <si>
    <t xml:space="preserve">salma </t>
  </si>
  <si>
    <t>10.1080/23311916.2025.2560974</t>
  </si>
  <si>
    <t>An assistive haptic-based obstacle avoidance
system for individuals with profound visual
impairment</t>
  </si>
  <si>
    <t>Taylor &amp; Francis</t>
  </si>
  <si>
    <t>https://www.tandfonline.com/doi/full/10.1080/23311916.2025.2560974</t>
  </si>
  <si>
    <t>X</t>
  </si>
  <si>
    <t xml:space="preserve">because paper published by taylor that not included in our scope </t>
  </si>
  <si>
    <t xml:space="preserve"> https://doi.org/10.1002/aisy.70450Digital Object Identifier (DOI)</t>
  </si>
  <si>
    <t>Enhanced Monocular Depth Estimation Using ResNet
Backbone and Multiscale Feature Decoding for Precise
Object Distance Measurement</t>
  </si>
  <si>
    <t>Wiley</t>
  </si>
  <si>
    <t>https://advanced.onlinelibrary.wiley.com/doi/10.1002/aisy.70450</t>
  </si>
  <si>
    <t>ResNet-18, YOLOv8, Deep Learning, CNN, Multiscale Feature Decoding, 16-bit Depth Maps</t>
  </si>
  <si>
    <t>Inaccurate long-range distance estimation from a single camera image; existing methods have limited range and high hardware costs.</t>
  </si>
  <si>
    <t>ResNet-18 encoder-decoder with multiscale supervision, integrated with YOLOv8 for object detection and distance estimation up to 250 m.</t>
  </si>
  <si>
    <t>https://doi.org/10.1145/3663547.374633</t>
  </si>
  <si>
    <t>Tactile Data Comics: Combining Step-by-step Presentation of
Tactile Graphics with Verbal Narration for the Blind and Visually
Impaired</t>
  </si>
  <si>
    <t>ACM</t>
  </si>
  <si>
    <t>https://dl.acm.org/doi/10.1145/3663547.3746338</t>
  </si>
  <si>
    <t>Sight Guide: A Wearable Assistive Perception and Navigation
System for the Vision Assistance Race in the Cybathlon 2024</t>
  </si>
  <si>
    <t>Arixiv</t>
  </si>
  <si>
    <t>10.1109/ICRA40945.2020.9196782</t>
  </si>
  <si>
    <t>A Visual Positioning System for Indoor Blind Navigation</t>
  </si>
  <si>
    <t>https://www.researchgate.net/publication/339725908_A_Visual_Positioning_System_for_Indoor_Blind_Navigation</t>
  </si>
  <si>
    <t>RGB-D Camera, IMU, Visual-Inertial Odometry (DVIO), Particle Filter Localization (PFL), ROS, SLAM</t>
  </si>
  <si>
    <t>Existing indoor navigation systems struggle in textureless environments and often require powerful external computers.</t>
  </si>
  <si>
    <t>Combines depth-enhanced visual-inertial odometry with particle-filter localization for indoor positioning, path planning, and obstacle avoidance.</t>
  </si>
  <si>
    <t>10.1109/ACCESS.2023.3244073</t>
  </si>
  <si>
    <t>A Survey on Outdoor Navigation Applications for
People With Visual Impairments</t>
  </si>
  <si>
    <t>https://ieeexplore.ieee.org/document/10041898</t>
  </si>
  <si>
    <t>Deep Learning
Computer Vision
GPS Localization
Sensory Substitution Devices
Geographic Information Systems</t>
  </si>
  <si>
    <t>Existing navigation apps lack critical accessibility and hazard information, causing frequent injuries and low independence for visually impaired pedestrians.</t>
  </si>
  <si>
    <t>A four-phase assistive navigation framework that plans and guides routes based on safety, controlled intersections, and obstacle avoidance instead of distance.</t>
  </si>
  <si>
    <t>https://doi.org/10.1016/j.eswa.2023.121065</t>
  </si>
  <si>
    <t>A data fusion framework based on heterogeneous information network
embedding for trigger-action programming in IoT</t>
  </si>
  <si>
    <t>https://www.sciencedirect.com/science/article/abs/pii/S0957417423015671?via%3Dihub</t>
  </si>
  <si>
    <t>Heterogeneous Information Networks
Graph Representation Learning
Metagraph-Guided Random Walk
Natural Language Processing
Multi-Label Classification</t>
  </si>
  <si>
    <t>Manual creation of IoT trigger-action rules is impractical due to exponential device combinations, and existing methods fail to bridge semantics between user descriptions and device interactions.</t>
  </si>
  <si>
    <t>A data fusion framework named TAPFuser that maps natural language demands to IoT recipes using heterogeneous network embedding and metagraph-guided random walks.</t>
  </si>
  <si>
    <t xml:space="preserve">
https://doi.org/10.48550/arXiv.2511.10026</t>
  </si>
  <si>
    <t>Grating haptic perception through touchscreen: Sighted vs. Visually
Impaired</t>
  </si>
  <si>
    <t>https://arxiv.org/abs/2511.10026v3</t>
  </si>
  <si>
    <t xml:space="preserve">because paper published by arix that not included in our scope </t>
  </si>
  <si>
    <t>https://doi.org/10.1007/s42486-023-00136-7</t>
  </si>
  <si>
    <r>
      <rPr>
        <sz val="11"/>
        <color rgb="FF000000"/>
        <rFont val="Calibri"/>
      </rPr>
      <t xml:space="preserve">A smart obstacle avoiding technology based on depth camera
for blind and visually impaired people </t>
    </r>
    <r>
      <rPr>
        <sz val="11"/>
        <color rgb="FFFF0000"/>
        <rFont val="Calibri"/>
      </rPr>
      <t xml:space="preserve"> (Regular Paper)</t>
    </r>
  </si>
  <si>
    <t>Springer</t>
  </si>
  <si>
    <t>https://link.springer.com/article/10.1007/s42486-023-00136-7</t>
  </si>
  <si>
    <t>Point Cloud Processing
Depthwise Separable Convolution
3D Object Detection
Attention Mechanism
Edge Computing</t>
  </si>
  <si>
    <r>
      <rPr>
        <sz val="12"/>
        <color rgb="FF1F1F1F"/>
        <rFont val="Calibri"/>
        <scheme val="minor"/>
      </rPr>
      <t>included</t>
    </r>
    <r>
      <rPr>
        <sz val="12"/>
        <color rgb="FFFFFF00"/>
        <rFont val="Calibri"/>
        <scheme val="minor"/>
      </rPr>
      <t xml:space="preserve"> </t>
    </r>
  </si>
  <si>
    <t>Existing 3D obstacle detection models are too computationally heavy and power-intensive for real-time execution on low-cost wearable edge devices for visually impaired pedestrians.</t>
  </si>
  <si>
    <t>A lightweight 3D obstacle detection network called L-PointPillars deployed on a wearable edge device to provide real-time audio warnings with significantly reduced parameters.</t>
  </si>
  <si>
    <t>10.1177/20552076251408522</t>
  </si>
  <si>
    <r>
      <rPr>
        <sz val="11"/>
        <color rgb="FF000000"/>
        <rFont val="Calibri"/>
      </rPr>
      <t>Sensory-driven micro-interventions for improved health and wellbeing</t>
    </r>
    <r>
      <rPr>
        <sz val="11"/>
        <color rgb="FFFF0000"/>
        <rFont val="Calibri"/>
      </rPr>
      <t>(Commentary)</t>
    </r>
  </si>
  <si>
    <t>Sage</t>
  </si>
  <si>
    <t>https://journals.sagepub.com/doi/10.1177/20552076251408522</t>
  </si>
  <si>
    <t>Wearable Sensors
Internet of Things
Machine Learning
Sensory Substitution Systems
Digital Olfactory Interfaces</t>
  </si>
  <si>
    <t>Age- and disease-related sensory decline often goes undetected until late stages, lacking proactive and personalized interventions in daily life.</t>
  </si>
  <si>
    <t>A digital healthcare paradigm of sensory-driven micro-interventions that tracks sensory changes through daily technology interactions and delivers timely, personalized sensory stimulation.</t>
  </si>
  <si>
    <t>https://doi.org/10.1038/s41928-023-01074-z</t>
  </si>
  <si>
    <t>A skin-integrated multimodal haptic
interface for immersive tactile feedback</t>
  </si>
  <si>
    <t>Nature</t>
  </si>
  <si>
    <t>https://www.nature.com/articles/s41928-023-01074-z</t>
  </si>
  <si>
    <t>Multimodal Haptic Feedback, Mechanical Actuators, Electrotactile Stimulation, Thermoelectric Actuators, BLE, VR</t>
  </si>
  <si>
    <t>included</t>
  </si>
  <si>
    <t>Wearable haptic devices provide limited feedback, mainly simple vibration and single tactile sensations.</t>
  </si>
  <si>
    <r>
      <rPr>
        <b/>
        <sz val="11"/>
        <color rgb="FF000000"/>
        <rFont val="Calibri"/>
      </rPr>
      <t>Skin-integrated multimodal interface</t>
    </r>
    <r>
      <rPr>
        <sz val="11"/>
        <color rgb="FF000000"/>
        <rFont val="Calibri"/>
      </rPr>
      <t xml:space="preserve"> combining thermal, mechanical and electrotactile feedback to reproduce diverse tactile sensations.</t>
    </r>
  </si>
  <si>
    <t>https://doi.org/10.1145/3517428.3544797</t>
  </si>
  <si>
    <t>Animations at Your Fingertips: Using a Refreshable Tactile
Display to Convey Motion Graphics for People who are Blind or
have Low Vision</t>
  </si>
  <si>
    <t>https://dl.acm.org/doi/10.1145/3517428.354479</t>
  </si>
  <si>
    <t xml:space="preserve">Taha </t>
  </si>
  <si>
    <t>10.3233/APC210058</t>
  </si>
  <si>
    <t>A Robotic Assisted System Using Deep Learning for Navigation and Reading IoT Based Home Automation for Visually Impaired</t>
  </si>
  <si>
    <t>IOS Press</t>
  </si>
  <si>
    <t>https://ebooks.iospress.nl/doi/10.3233/APC210058</t>
  </si>
  <si>
    <t xml:space="preserve">because paper published by IOS press that not included in our scope </t>
  </si>
  <si>
    <t xml:space="preserve">10.1196/annals.1305.006 
</t>
  </si>
  <si>
    <t>Tactile Sensory Substitution Studies</t>
  </si>
  <si>
    <t xml:space="preserve">https://nyaspubs.onlinelibrary.wiley.com/doi/epdf/10.1196/annals.1305.006
</t>
  </si>
  <si>
    <t>camera - Sensory Substitution - Tongue Electrotactile Interface - Vibrotactile Stimulation</t>
  </si>
  <si>
    <t>The paper is included because it helps blind users by explaining sensory 
substitution by info from camera converted into tactile information that brain can learn to understand</t>
  </si>
  <si>
    <t>problem is to how to provide a visiual info to blind peoples by using tactile stimulation the chalenge is to create an effective brain -machine interface(BMI)</t>
  </si>
  <si>
    <t xml:space="preserve">the paper uses:  
 1-sensory substitution system : converts visual info from a camera into tactile (electrotactile stimulation) 
2-stimulation is delivered through tactile arrays
3-electrotactile interface on the tongue
4-allow brain to learn and interpert the info </t>
  </si>
  <si>
    <t>10.1016/j.asej.2023.102387</t>
  </si>
  <si>
    <t>An effective obstacle detection system using deep learning advantages to aid blind and visually impaired navigation</t>
  </si>
  <si>
    <t>https://www.sciencedirect.com/science/article/pii/S2090447923002769?via%3Dihub</t>
  </si>
  <si>
    <t>Deep Learning
Modified YOLOv5
Computer Vision
Obstacle/Object Detection
Indoor &amp; Outdoor Environment
Model optimization for deployment on embedded devices</t>
  </si>
  <si>
    <t>Paper focus on obstacle detection for blind using YOLOv5 model it cover indoor andoutdoor objects and uses optimization method to make model lightweight</t>
  </si>
  <si>
    <t>Blind and visually impaired people have difficulty detecting obstacles and navigating safely in their surroundings.</t>
  </si>
  <si>
    <t>The paper proposes a modified YOLOv5-based obstacle 
detection system to detect objects/obstacles and provide information
 that can assist blind and visually impaired users during navigation</t>
  </si>
  <si>
    <t>10.1109/JAS.2021.1004084</t>
  </si>
  <si>
    <t>An RGB-D Camera Based Visual Positioning System for Assistive Navigation by a Robotic Navigation Aid</t>
  </si>
  <si>
    <t>https://www.ieee-jas.net/article/doi/10.1109/JAS.2021.1004084?pageType=en</t>
  </si>
  <si>
    <t>RGB-D Camera
IMU
Visual-Inertial Odometry (VIO)
6-DOF Pose Estimation
Particle Filter Localization
Indoor CAD/Floor Plans
Path Planning &amp; Obstacle Avoidance
Real-time processing</t>
  </si>
  <si>
    <t xml:space="preserve">Included </t>
  </si>
  <si>
    <t xml:space="preserve">Because it focuses on assistiv navigation for impaired users and combine computer vision with RGB and  real time navigation </t>
  </si>
  <si>
    <t>blind people need reliable navigation assistance in large indoor environments
Existing mobility tools such as white canes and guide dogs do not provide electronic localization/navigation information</t>
  </si>
  <si>
    <t>The paper develops a real-time visual positioning system for a robotic navigation aid.
 It combines an RGB-D camera + IMU to estimate the device's 6-DOF pose,
 then uses a particle filter and indoor CAD floor-plan information 
to reduce localization error and support wayfinding</t>
  </si>
  <si>
    <t xml:space="preserve">duplicated </t>
  </si>
  <si>
    <t>https://www.tandfonline.com/doi/epdf/10.1080/23311916.2025.2560974?needAccess=true</t>
  </si>
  <si>
    <t xml:space="preserve">because paper published by taylor press that not included in our scope </t>
  </si>
  <si>
    <t>Sensory-driven micro-interventions 
for improved health and wellbeing</t>
  </si>
  <si>
    <t>https://journals.sagepub.com/home/dhj</t>
  </si>
  <si>
    <t>AI / Machine Learning
IoT
Wearable sensors
Sensory devices &amp; interfaces
Real-time data collection and processing
Sensory substitution
Vibrotactile / haptic feedback
Smartphones and connected devices
Embedded sensors</t>
  </si>
  <si>
    <t>included because paper support  sensory substituation and hapitic
 feedback concept of super Brain it discusses technologies that 
convert environmental/visual information into tactile feedback for
 visually impaired users</t>
  </si>
  <si>
    <t xml:space="preserve">sensory technologies work separately there no simple system for
 continuously monitoring sensory changes and providing 
personalized help when needed
</t>
  </si>
  <si>
    <t>The paper proposes using AI IoT wearable sensors and sensory
 devices to monitor sensory changes and provide personalized 
sensory training</t>
  </si>
  <si>
    <t>10.1007/s42486-023-00136-7</t>
  </si>
  <si>
    <t>A smart obstacle avoiding technology 
based on depth camera for blind and visually impaired people</t>
  </si>
  <si>
    <t>Springer Nature</t>
  </si>
  <si>
    <t>https://link.springer.com/article/10.1007/s42486-023-00136-7?</t>
  </si>
  <si>
    <t>Depth/RGB-D Camera — Intel RealSense D435i
3D Point Cloud
L-PointPillars
Deep Learning / Neural Network
Depthwise Separable Convolution
Attention Mechanism
NVIDIA Jetson Xavier NX
PyTorch + Python
Text-to-Speech (TTS)
Audio Feedback</t>
  </si>
  <si>
    <t>Included because it uses a depth camera and AI-based obstacle
 detection to help blind and visually impaired people navigate safely
 outdoors</t>
  </si>
  <si>
    <t>impaired people difficult detecting and avoiding obstacles when 
traveling outdoors. Existing assistive devices have limited detection
 range and limited computing power</t>
  </si>
  <si>
    <t>The paper proposes a wearable system that uses a depth camera
 and L-PointPillars to detect obstacles in real time and gives audio
 information about the obstacle and its distance</t>
  </si>
  <si>
    <t>10.1016/j.eswa.2023.121065</t>
  </si>
  <si>
    <t>A data fusion framework based on 
heterogeneous information network embedding 
for trigger-action programming in IoT</t>
  </si>
  <si>
    <t>IoT
Artificial Intelligence of Things
(NLP)
Heterogeneous Information Network 
HIN Embedding
Metagraph-guided Random Walk 
Skip-gram
Multi-label Classification</t>
  </si>
  <si>
    <t>there are too many trigger-action combinations that is difficult and 
time-consuming for users to create IoT recipes manually</t>
  </si>
  <si>
    <t>The paper proposes TAPFuser an IoT framework that uses NLP and
 HIN embedding to understand natural-language requests and 
automatically recommend suitable trigger-action recipe</t>
  </si>
  <si>
    <t>10.1038/s41928-023-01074-z</t>
  </si>
  <si>
    <t>A skin-integrated multimodal haptic interface for immersive tactile feedback</t>
  </si>
  <si>
    <t>10.1002/aisy.70450</t>
  </si>
  <si>
    <t>Enhanced Monocular Depth Estimation Using ResNet Backbone and Multiscale Feature
 Decoding for Precise Object Distance Measurement</t>
  </si>
  <si>
    <t>Monocular RGB Camera
Deep Learning
ResNet-based Encoder–Decoder
Multiscale Feature Decoding
YOLOv8 Object Detection
Monocular Depth Estimation
Object Distance Estimation
D-Far250 Dataset
KITTI Dataset</t>
  </si>
  <si>
    <t>because it uses deep learning and object detection and and monocular depth estimation to detect objects
 and measure their distance and  that support obstacle detection and navigation in Super Brain</t>
  </si>
  <si>
    <t>Traditional depth systems often need expensive sensors such as LiDAR or stereo cameras
 while monocular systems can have difficulty estimating accurate distances especially for far objects.</t>
  </si>
  <si>
    <t>The paper proposes a deep-learning system that uses a single RGB camera 
with a ResNet-based model and YOLOv8 to estimate object depth and 
distance without LiDAR or stereo cameras</t>
  </si>
  <si>
    <t xml:space="preserve">https://doi.org/10.1016/j.patrec.2019.03.008 </t>
  </si>
  <si>
    <t xml:space="preserve">Enhancing perception for 
the visually impaired with
 deep learning techniques and low-cost
 wearable sensors </t>
  </si>
  <si>
    <t>https://www.sciencedirect.com/science/article/abs/pii/S0167865519300881?via%3Dihub</t>
  </si>
  <si>
    <t xml:space="preserve">* Shirt-pocket miniature wireless RGB camera
* smartphone  , smart watch
* Monocular Depth Estimation --&gt; ResNet-50 backbone 
* Urban Object Detection:---&gt; CNN detector :  7 urban obstacle classes 
* Spatial Discretization:---&gt; Bins 3D space in front of the user into 9 sectors 
* Continuous 3-level intensity haptic feedback </t>
  </si>
  <si>
    <t>Included</t>
  </si>
  <si>
    <t xml:space="preserve">Deeplearning Techniques for Enhancing  Perception for Visuall impaired </t>
  </si>
  <si>
    <t xml:space="preserve">* visually impaired people face the outdoor environment and connot detect teh distance of the obstacles 
* ETAs : Travel aids ---&gt; relying on RGB camera , LIDAR  are heavy , big  , fail in sunlight , expensive  </t>
  </si>
  <si>
    <t xml:space="preserve">
* lightweigh , low cost , replace with physical
depth sensors 
* monocular depth , couples with object dedector 
* descretizes 3d space  , delivers continuous 
3 intensity habtic vibration </t>
  </si>
  <si>
    <t>Abdalah</t>
  </si>
  <si>
    <t>https://doi.org/10.1016/j.neunet.2023.12.042</t>
  </si>
  <si>
    <t>Bidirectional visual-tactile 
cross-modal generation using latent
 feature space flow model</t>
  </si>
  <si>
    <t>https://www.sciencedirect.com/science/article/pii/S0893608023007499?via%3Dihub</t>
  </si>
  <si>
    <t>* Decoupled visual and tactile Variational Autoencoders
* Conditional Flow Model
* Contrastive Supervision: InfoNCE contrastive loss (CLIP-style)
* Sensory Modalities &amp; Datasets: Evaluated on Touch2Go and LMT multimodal datasets
* Quantitative Results: Reaches SSIM</t>
  </si>
  <si>
    <t xml:space="preserve"> artificial sensory substitution by translating 2D visual inputs into tactile representations</t>
  </si>
  <si>
    <t xml:space="preserve">* scale discrepancy ---&gt; global scene geometry vs. localized tactile contact
*  heterogeneous gap ---&gt; pixels vs. mechanical deformation/vibration
* Prior cross-modal methods were strictly unidirectional or required training two separate, unstable GAN networks
, leading to inconsistent representations and heavy computational cost.
</t>
  </si>
  <si>
    <t>* A unified generative architecture that maps visual features and tactile
 signals into separate VAE latent spaces, connected by an invertible 
conditional flow model that bidirectionally translates visual scenes into 
realistic tactile representations with high semantic fidelity.</t>
  </si>
  <si>
    <t>https://ieeexplore.ieee.org/document/5165018</t>
  </si>
  <si>
    <t>Wearable Obstacle Avoidance Electronic
 Travel Aids for Blind: A Survey</t>
  </si>
  <si>
    <t>------------------</t>
  </si>
  <si>
    <t>Survey</t>
  </si>
  <si>
    <t xml:space="preserve"> https://doi.org/10.1007/s11042-021-11287-z</t>
  </si>
  <si>
    <t>Design and development of an indoor
 navigation system using denoising autoencoder based convolutional neural network for visually impaired people</t>
  </si>
  <si>
    <t xml:space="preserve">Springer </t>
  </si>
  <si>
    <t>https://link.springer.com/article/10.1007/s11042-021-11287-z</t>
  </si>
  <si>
    <t>* DAECNN Architecture 
* Multi-Angle Visual Localization --&gt; Classifies 12 discrete viewing angles
* Evaluation &amp; Dataset---&gt; Trained on 11,190 indoor frames</t>
  </si>
  <si>
    <t>Vision-Based Indoor Navigation &amp; Visual Localization</t>
  </si>
  <si>
    <t xml:space="preserve">* GPS satellite signals cannot penetrate indoor environments 
* Alternative indoor positioning technologies ----&gt; expensive, power consumpsion
* Camera images captured while walking suffer from heavy motion blur, camera shaking, </t>
  </si>
  <si>
    <t>* Implements the DAECNN pipeline ---&gt; enoising autoencoder to strip noise and motion blur 
* user positioning accuracy without external infrastructure</t>
  </si>
  <si>
    <t xml:space="preserve"> https://doi.org/10.1007/s11042-023-16355-0</t>
  </si>
  <si>
    <t>Development of a visual to audio and tactile substitution
system for mobility and orientation of visually impaired
people: a review</t>
  </si>
  <si>
    <t>https://link.springer.com/article/10.1007/s11042-023-16355-0</t>
  </si>
  <si>
    <t>* Sensory Substitution ---&gt;  visual-to-audio , visual-to-tactile 
*  Reviews RGB cameras, depth sensors, ultrasonic transducers, and deep learning
 object/obstacle recognition models.</t>
  </si>
  <si>
    <t>Comprehensive Review of Visual-to-Tactile &amp; Audio Sensory Substitution</t>
  </si>
  <si>
    <t>* white canes cannot detect elevated, head-height, or distant obstacles.
* Existing assistive systems are non-adaptable, expensive, and heavily</t>
  </si>
  <si>
    <t>* prioritizing low-cost wearable tactile arrays that preserve hearing
, simplify visual scene features into intuitive haptic patterns, and utilize
 structured user training protocols.</t>
  </si>
  <si>
    <t>https://doi.org/10.1049/ell2.70570</t>
  </si>
  <si>
    <t>A Portable Intelligent Navigation 
System Based on Embedded Hybrid 
Computing for Visually Impaired 
People</t>
  </si>
  <si>
    <t>https://ietresearch.onlinelibrary.wiley.com/doi/10.1049/ell2.70570</t>
  </si>
  <si>
    <t>* Multi-core STM32MP157F system 
* Hybrid Edge-Cloud Architecture 
* natural-language voice feedback for destination guidance and traffic</t>
  </si>
  <si>
    <t>Embedded System Design &amp; Hybrid Vision-Tactile Navigation</t>
  </si>
  <si>
    <t>* risks at street intersections, pedestrian crossings, and outdoor sidewalks 
* Running deep visual-language models entirely on-device causes overheating 
* battery exhaustion   , lag  
*cloud services risks complete failure in poor network coverage</t>
  </si>
  <si>
    <t>* A layered, hybrid embedded architecture where a multi-core STM32
* manages local low-latency sensor 
* high-level visual scene interpretation to cloud vision-language models</t>
  </si>
  <si>
    <t xml:space="preserve"> https://doi.org/10.1007/s11554-023-01314-7</t>
  </si>
  <si>
    <t>Enhanced data fusion of ultrasonic and stereo vision in real‑time
obstacle detection</t>
  </si>
  <si>
    <t>https://link.springer.com/article/10.1007/s11554-023-01314-7</t>
  </si>
  <si>
    <t xml:space="preserve">* Ultrasonic and stereo vision sensor fusion, truncated local stereo matching 
*  GPU CUDA parallel acceleration 
</t>
  </si>
  <si>
    <t>Sensing &amp; Real-Time Obstacle Detection Algorithm</t>
  </si>
  <si>
    <t xml:space="preserve">* Full stereo matching requires high computational power  
* ultrasonic sensors suffer from poor angular resolution and wide beam reflection errors </t>
  </si>
  <si>
    <t>* Combines ultrasonic range cues with local stereo matchin 
* executing on GPU at 41 FPS speedup over unconstrained matching</t>
  </si>
  <si>
    <t>https://doi.org/10.1007/s10209-023-00973-4</t>
  </si>
  <si>
    <t>Exploiting the haptic and audio 
channels to improve orientation and mobility apps for the visually impaired</t>
  </si>
  <si>
    <t>https://link.springer.com/article/10.1007/s10209-023-00973-4</t>
  </si>
  <si>
    <t>* Android touchscreen interface 
* GeoJSON digital map modeling
* semantic RGB overlay layer for POI classification 
* Text-to-Speech (TTS) audio narration</t>
  </si>
  <si>
    <t>Multimodal Haptic/Audio Feedback &amp; Cognitive Mapping for Navigation</t>
  </si>
  <si>
    <t>* navigation apps deliver isolated that fail to provide an allocentric environmental overview 
* while physical embossed tactile maps are static, , and expensive.</t>
  </si>
  <si>
    <t xml:space="preserve">* accessible Android prototype converting GeoJSON urban maps
 into interactive touchscreen
</t>
  </si>
  <si>
    <t>https://doi.org/10.1109/TOH.2025.3616046</t>
  </si>
  <si>
    <t>Exploring Tactile Perception: Development and
Evaluation of the PinArray, a Novel Haptic Device</t>
  </si>
  <si>
    <t>https://ieeexplore.ieee.org/document/11186136</t>
  </si>
  <si>
    <t>* PinArray haptic display 
* multi-touch mode actuation 
*  frequency-differential tactile shape/edge encoding across RAI and RAII mechanoreceptors</t>
  </si>
  <si>
    <t>Tactile Display Hardware &amp; Tactile Shape/Edge Perception</t>
  </si>
  <si>
    <t xml:space="preserve">* Conventional vibrotactile displays are restricted to low frequencies or uniform global vibrations
* requency-differentiated stimulation across individual pins to render salient shapes and edges.
</t>
  </si>
  <si>
    <t>* Developed the PinArray, featuring 12 independently controlled pins operating</t>
  </si>
  <si>
    <t>https://doi.org/10.3233/FAIA231495</t>
  </si>
  <si>
    <t>Research on Multimodal Interaction Design
Patterns for Visually Impaired People Under
Sensory Compensation Theory</t>
  </si>
  <si>
    <t>excluded</t>
  </si>
  <si>
    <t xml:space="preserve">Not authrized </t>
  </si>
  <si>
    <t>https://doi.org/10.1016/j.actpsy.2019.102950</t>
  </si>
  <si>
    <t>Tactile aesthetics: Textures that we like or hate to touch</t>
  </si>
  <si>
    <t>https://www.sciencedirect.com/science/article/abs/pii/S0001691819302008?via%3Dihub</t>
  </si>
  <si>
    <t>out of scope &amp; out dated</t>
  </si>
  <si>
    <t>https://doi.org/10.3389/fnhum.2014.00291</t>
  </si>
  <si>
    <t>Successful tactile based visual 
sensory substitution use functions independently of visual pathway integrity</t>
  </si>
  <si>
    <t xml:space="preserve">Frontiers </t>
  </si>
  <si>
    <t>https://www.frontiersin.org/journals/human-neuroscience/articles/10.3389/fnhum.2014.00291/full</t>
  </si>
  <si>
    <t>Not authrized  &amp; out dated</t>
  </si>
  <si>
    <t>https://ebooks.iospress.nl/doi/10.3233/FAIA231495</t>
  </si>
  <si>
    <t>This paper is included because it focuses on visually impaired people and investigates how sensory compensation and multimodal interaction can support them in different situations. The paper uses the term visually impaired people broadly; it includes people with visual field disorders, color vision disorders, and people who still have some residual vision but cannot see clearly. It also categorizes their needs into three levels: safety needs, interaction needs, and spiritual needs.</t>
  </si>
  <si>
    <t xml:space="preserve">Visually impaired people face several difficulties in accessing information, navigation and travel, object recognition, and spatial perception. Although existing assistive solutions such as tactile flooring and sound guidance systems provide support, the interaction methods still need to be expanded and improved to address different users, needs, and scenarios.     </t>
  </si>
  <si>
    <t>The paper argues that a single-sensory substitution approach is no longer sufficient to meet the diverse needs of visually impaired people across different environments. Each sense provides different and complementary information, so relying only on audio or only on tactile feedback may not be suitable for every situation. Therefore, the proposed solution is a multimodal interaction system based on sensory compensation theory, which combines multiple approaches, such as visual enhancement, auditory compensation, and tactile compensation, according to the user's needs and the interaction scenario.
The researchers designed a game-viewing system for visually impaired people, consisting of an application side and a device side. The system supports different functions such as tournament information, navigation, accessible viewing, device connection, object recognition, venue tours, and calling volunteers. They created the interactive interface prototype using Axure RP and tested it on smartphones.   
The system was tested with 6 visually impaired participants aged 20–40, including 2 blind participants and 4 visually impaired participants. The evaluation focused on user friendliness, effectiveness, fault tolerance, and satisfaction. The results were generally positive: effectiveness scored 4.6/5 and satisfaction scored 4.7/5. However, the researchers found that multiple steps in the interface could cause user errors, so they suggested improvements such as auditory guidance, confirmation pop-ups, and physical differentiation of interface areas. Overall, the proposed design largely met the researchers' expectations.</t>
  </si>
  <si>
    <t>Habiba</t>
  </si>
  <si>
    <r>
      <rPr>
        <sz val="11"/>
        <color rgb="FF000000"/>
        <rFont val="Calibri"/>
      </rPr>
      <t>Excluded Bec the paper focuses on general tactile texture perception, examining how people distinguish between different surface textures and whether they find them pleasant or unpleasant to touch. It is not focused on blind or visually impaired users and does not investigate haptic feedback using active mechanisms such as pressure-based pins to convey information. Therefore,</t>
    </r>
    <r>
      <rPr>
        <b/>
        <sz val="11"/>
        <color rgb="FF000000"/>
        <rFont val="Calibri"/>
      </rPr>
      <t xml:space="preserve"> it is outside the scope of our research.</t>
    </r>
  </si>
  <si>
    <t xml:space="preserve">
https://doi.org/10.3389/fnhum.2014.00291 
</t>
  </si>
  <si>
    <t>Successful tactile based visual sensory substitution use functions independently of visual pathway integrity</t>
  </si>
  <si>
    <t>Frontiers in Human Neuroscience</t>
  </si>
  <si>
    <t>This paper is excluded because it does not meet the required publisher criteria.</t>
  </si>
  <si>
    <t>https://doi.org/10.1007/s10846-023-01824-3</t>
  </si>
  <si>
    <t>Haptic Feedback Remote Control System for Electric Mechanical Assembly Vehicle Developed to Avoid Obstacles</t>
  </si>
  <si>
    <t>https://link.springer.com/article/10.1007/s10846-023-01824-3</t>
  </si>
  <si>
    <t>LiDAR (RP LiDAR A1M8): Obstacle detection and distance measurement.
Raspberry Pi 4: Sensor data processing.
PLC (Siemens S7-1214C): Vehicle and motor control.
ESP32: Wireless communication.
Haptic Joystick: Force Feedback.
Wi-Fi / TCP-IP: Data communication.</t>
  </si>
  <si>
    <t>The study demonstrates how obstacle-distance information can be translated into haptic feedback, which is relevant to our system's spatial feedback design. However, it is only indirectly relevant because it focuses on robotic vehicle control rather than visually impaired users.</t>
  </si>
  <si>
    <t>Remote vehicle operators may have difficulty perceiving obstacle proximity, increasing collision risks due to insufficient physical feedback.</t>
  </si>
  <si>
    <t>Developed a LiDAR-based obstacle detection system that converts distance measurements into force feedback through a haptic joystick, increasing resistance as the vehicle approaches obstacles.</t>
  </si>
  <si>
    <t>10.1109/TVCG.2021.3136214 </t>
  </si>
  <si>
    <t>HaptoMapping: Visuo-Haptic Augmented Reality by Embedding User-Imperceptible Tactile Display Control Signals in a Projected Image</t>
  </si>
  <si>
    <t>https://www.researchgate.net/publication/357424856_HaptoMapping_Visuo-Haptic_Augmented_Reality_by_Embedding_User-Imperceptible_Tactile_Display_Control_Signals_in_a_Projected_Image</t>
  </si>
  <si>
    <t>Reason for Exclusion  Out of Scope:
The study focuses on enhancing visual experiences through haptic feedback in augmented reality rather than providing sensory substitution for visually impaired individuals. The proposed system supplements visual information with tactile sensations instead of converting visual information into an alternative sensory form that can be interpreted without vision. Therefore, it does not directly address the objectives of visual sensory substitution for blind users.</t>
  </si>
  <si>
    <t>10.1109/EMBC.2013.6610223</t>
  </si>
  <si>
    <t>A tactile vision substitution system for the study of active sensing</t>
  </si>
  <si>
    <r>
      <t>2013</t>
    </r>
    <r>
      <rPr>
        <sz val="11"/>
        <color rgb="FF000000"/>
        <rFont val="Calibri"/>
        <scheme val="minor"/>
      </rPr>
      <t> </t>
    </r>
  </si>
  <si>
    <t>https://ieeexplore.ieee.org/document/6610223</t>
  </si>
  <si>
    <t>- VTMouse: 96-pin tactile display.
- Camera: Captures visual information.
- Image Processing: Grayscale Conversion, Histogram Equalization, Low-pass Filtering, Thresholding, Morphological Operations.
- Discrete Wavelet Transform (DWT): Image resolution reduction.
- Trajectory Tracking: Laser Pointer, Fixed Camera, Image Subtraction, Pearson Correlation.F56</t>
  </si>
  <si>
    <t>The paper presents a Tactile Vision Substitution System that converts visual information from a camera into tactile feedback to help visually impaired people perceive objects.
Although it is highly relevant to our project, it was published in 2013, which is outside our preferred publication period (2020–2026). However, we could keep it as a background reference because its image processing and visual-to-tactile conversion techniques may be useful for our system.</t>
  </si>
  <si>
    <t>Traditional Tactile Vision Substitution Systems (TVSS) have limited tactile resolution compared with the large amount of information contained in visual images. Therefore, visual information cannot be directly transferred to the tactile device without processing and reducing its resolution. Traditional systems can also suffer from problems such as light reflection, noise, texture artifacts, and loss of object features. Moreover, because tactile resolution is limited, users need to actively move the camera to explore objects, making it important to understand their active sensing strategies</t>
  </si>
  <si>
    <t>The researchers developed an improved Tactile Vision Substitution System (TVSS) that converts visual information captured by a camera into simplified tactile information that can be perceived through the fingers. The proposed system contains two main subsystems:
1. Image Processing Subsystem: reduces the resolution of camera images while preserving important object features and converts them into binary images suitable for the tactile stimulation device.
2. Trajectory Tracking Subsystem: tracks the movement of the active camera while the user explores objects, allowing researchers to analyze the user's active sensing strategy.</t>
  </si>
  <si>
    <t xml:space="preserve">https://doi.org/10.1177/10711813251360704
</t>
  </si>
  <si>
    <t>The Multimodal Exhibition: Tangible Interactions for People With Visual Impairments</t>
  </si>
  <si>
    <t xml:space="preserve">Sage </t>
  </si>
  <si>
    <t>https://journals.sagepub.com/doi/10.1177/10711813251360704</t>
  </si>
  <si>
    <t>**Exclude — Limited Technical Relevance**
Although the study presents and evaluates six multimodal interaction prototypes for people with visual impairments, its primary contribution focuses on inclusive interaction design and usability rather than advanced assistive technologies. The proposed prototypes do not incorporate real-time object detection, environmental sensing, depth estimation, or dynamic sensory substitution mechanisms. Therefore, their technical contribution is limited in relation to the core technological objectives of our proposed system.</t>
  </si>
  <si>
    <t xml:space="preserve">
10.1016/j.ijhcs.2007.08.001</t>
  </si>
  <si>
    <t>Haptic-feedback support for cognitive mapping of unknown spaces by people who are blind</t>
  </si>
  <si>
    <t>linkinghub.elsevier.com/retrieve/pii/S1071581907001012</t>
  </si>
  <si>
    <t>outdated</t>
  </si>
  <si>
    <t>https://doi.org/10.1186/s41235-020-00240-7</t>
  </si>
  <si>
    <t>Multisensory inclusive design with sensory
substitution</t>
  </si>
  <si>
    <t>https://link.springer.com/article/10.1186/s41235-020-00240-7</t>
  </si>
  <si>
    <t>Review not a reasearch paper</t>
  </si>
  <si>
    <t>https://doi.org/10.1177/1460458222111260</t>
  </si>
  <si>
    <t>Multi-obstacle aware smart
navigation system for visually
impaired people in fog connected
IoT-cloud environment</t>
  </si>
  <si>
    <t>https://journals.sagepub.com/doi/10.1177/14604582221112609</t>
  </si>
  <si>
    <t>- Computer Vision: YOLOv3-Tiny for multi-obstacle detection.
- Artificial Intelligence: Adaptive Asynchronous Advantage Actor-Critic (A3C).
- Optimization Algorithms: Environment-Aware Bald Eagle Search (E-BES), Grey Absolute Decision Making (GADA).
- Sensor Fusion: Extended Kalman Filter.
- Data Clustering: Spatio-Temporal OPTICS.
- Fog Computing / IoT / Cloud Computing: Distributed processing and communication.
- Simulation Tools: NS-3 and iFogSim</t>
  </si>
  <si>
    <t>The study directly addresses assistive navigation for visually impaired users and provides relevant approaches for real-time obstacle detection, environmental awareness, sensor fusion, and efficient processing.</t>
  </si>
  <si>
    <t>Existing navigation systems for visually impaired users face challenges in real-time multi-obstacle detection, safe route selection, processing latency, and sensor reliability.</t>
  </si>
  <si>
    <t>Proposed an AI-based navigation framework integrating YOLOv3-Tiny for obstacle detection, sensor fusion, fog computing for reduced latency, and optimization algorithms for safe route selection and adaptive navigation decisions.</t>
  </si>
  <si>
    <t>https://doi.org/10.1080/17483107.2025.2463541</t>
  </si>
  <si>
    <t>Multi-faceted sensory substitution using wearable
technology for curb alerting: a pilot investigation
with persons with blindness and low vision</t>
  </si>
  <si>
    <t>https://www.tandfonline.com/doi/full/10.1080/17483107.2025.2463541</t>
  </si>
  <si>
    <t>https://dx.doi.org/10.1109/ACCESS.2024.3419102</t>
  </si>
  <si>
    <t>Impact of Device and Environment on
Visual-Auditory Sensory Substitution:
A Comprehensive Behavioral
Analysis Using the vOICe
Algorithm</t>
  </si>
  <si>
    <t>https://ieeexplore.ieee.org/document/10571914/</t>
  </si>
  <si>
    <t>vOICe Algorithm: Visual-to-auditory sensory substitution.
Image-to-Sound Conversion: Maps pixel position and brightness to sound frequency, timing, and amplitude.
Audio Devices: Wireless Earphones, Wireless Headphones, Bone Conduction Headsets.
Auditory Feedback: Sound-based representation of visual information.</t>
  </si>
  <si>
    <t>The study provides insights into audio feedback, device selection, environmental interference, and user training, which are important for designing reliable multimodal assistive systems for visually impaired users.</t>
  </si>
  <si>
    <t>The effectiveness of visual-to-audio sensory substitution can be affected by audio device type, environmental noise, and user adaptation.</t>
  </si>
  <si>
    <t>Evaluated the vOICe algorithm using wireless earphones, headphones, and bone conduction headsets under different environmental sound conditions to investigate recognition performance and learning.</t>
  </si>
  <si>
    <t>Hend</t>
  </si>
  <si>
    <t>10.1016/j.neubiorev.2007.05.010</t>
  </si>
  <si>
    <t xml:space="preserve">What neuroimaging tells us about sensory substitution
</t>
  </si>
  <si>
    <t>https://www.sciencedirect.com/science/article/abs/pii/S0149763407000668?via%3Dihub</t>
  </si>
  <si>
    <t>10.1109/TCE.2024.3366763</t>
  </si>
  <si>
    <t>ODD-M3D: Object-Wise Dense Depth Estimation
for Monocular 3-D Object Detection</t>
  </si>
  <si>
    <t>https://ieeexplore.ieee.org/document/10438849</t>
  </si>
  <si>
    <t>we create a sampling space and obtain the ground truth by moving them from the sampling space to the object space</t>
  </si>
  <si>
    <t>Depth Estimation for Monocular 3-D Object Detection</t>
  </si>
  <si>
    <t>estimating depth from a single 2D image remains challenging due to the typical ill-posed nature of the problem</t>
  </si>
  <si>
    <t xml:space="preserve">we propose a new method that improves depth estimation accuracy by randomly sampling object-wise points instead of relying on a single center point, </t>
  </si>
  <si>
    <t>10.1177/20556683251316305</t>
  </si>
  <si>
    <t>The development of a wearable goggle
echolocation device to support people who
are visually impaired with unhindered and
unaided movement</t>
  </si>
  <si>
    <t xml:space="preserve">January 23, 2025
</t>
  </si>
  <si>
    <t>https://journals.sagepub.com/doi/10.1177/20556683251316305</t>
  </si>
  <si>
    <t>The wearable echolocation device was developed using three ultrasonic sensors, one placed in the right, left, and middle of the goggle with each connected to a buzzer</t>
  </si>
  <si>
    <t>included (IMPORTANT)</t>
  </si>
  <si>
    <t>EMPOWERING VISUALLY IMPAIRED INDIVIDUALS WITH HOLISTIC
ASSISTANCE USING REAL-TIME SPATIAL AWARENESS SYSTEM</t>
  </si>
  <si>
    <t>unknown</t>
  </si>
  <si>
    <t>Computer Vision for Assistive Technologies: Enhancing
Environmental Perception for the Visually Impaired</t>
  </si>
  <si>
    <t>https://doi.org/10.1016/j.heliyon.2024.e31825</t>
  </si>
  <si>
    <t>A comprehensive review of navigation systems for visually
impaired individuals</t>
  </si>
  <si>
    <t>heliyon</t>
  </si>
  <si>
    <t>https://www.cell.com/heliyon/fulltext/S2405-8440(24)07856-3?_returnURL=https%3A%2F%2Flinkinghub.elsevier.com%2Fretrieve%2Fpii%2FS2405844024078563%3Fshowall%3Dtrue</t>
  </si>
  <si>
    <t>Recruitment of Occipital Cortex during Sensory
Substitution Training Linked to Subjective Experience of
Seeing in People with Blindness</t>
  </si>
  <si>
    <t>plos one</t>
  </si>
  <si>
    <t>mdpi</t>
  </si>
  <si>
    <t xml:space="preserve">10.1007/s12559-026-10547-0 </t>
  </si>
  <si>
    <t>Multi-modal Zebra Crossing Detection Framework for Visually
Impaired Navigation</t>
  </si>
  <si>
    <t>https://link.springer.com/article/10.1007/s12559-026-10547-0</t>
  </si>
  <si>
    <t>YOLOv11 - Hough Line Transform (HLT) - Haze U-Net + LeNet-MFCN - CNN + Cross-Attention - Text-to-Speech (TTS)</t>
  </si>
  <si>
    <t>The AI-powered navigation system detects pedestrian crossings, traffic signals, and obstacles, assisting the blind and visually impaired.
 This is linked to the "Super Brain" initiative, which focuses on technologies that ensure highly safe navigation.</t>
  </si>
  <si>
    <t>Blind individuals face challenges such as the high cost of assistive technologies, 
limited datasets, overfitting, and poor detection in low-light conditions, fog, and complex traffic situations.</t>
  </si>
  <si>
    <t>MZCDFVIN + YOLOv11 + HLT + CNN + Haze U-Net + LeNet + SROA for real-time detection and navigation assistance.</t>
  </si>
  <si>
    <t>mostafa</t>
  </si>
  <si>
    <t xml:space="preserve">10.1007/s12193-025-00463-2 </t>
  </si>
  <si>
    <t>Haptic and auditory cues: a study on independent navigation for visually impaired individuals</t>
  </si>
  <si>
    <t>https://link.springer.com/article/10.1007/s12193-025-00463-2</t>
  </si>
  <si>
    <t>Intel RealSense D435i stereo vision camera - Depth-map processing &amp; obstacle detection - Odroid-N2 single-board computer - Wearable haptic belt with - 22 vibrating actuators - Auditory feedback / speakers - Bluetooth</t>
  </si>
  <si>
    <t>Paper is developing a wearable device that utilizes haptic and auditory signals to help the blind and visually impaired move around freely. 
This initiative is linked to the Super Brain project, as it focuses on leveraging technology to assist individuals with visual impairments.</t>
  </si>
  <si>
    <t>Current assistive navigation systems struggle to convert visual information into tactile or auditory information in a way that is easy to understand.</t>
  </si>
  <si>
    <t>Stereo vision + depth processing + haptic belt + auditory feedback + user-controlled operating modes.</t>
  </si>
  <si>
    <t xml:space="preserve">10.1007/s12193-024-00447-8 </t>
  </si>
  <si>
    <t>The effects of haptic, visual and olfactory augmentations on food consumed while wearing an extended reality headset</t>
  </si>
  <si>
    <t>https://link.springer.com/article/10.1007/s12193-024-00447-8</t>
  </si>
  <si>
    <t xml:space="preserve">Varjo XR-3 extended reality headset - QR-code tracking cube - Electromagnetic actuators - Arduino control system - Olfactory necklace display - Air compressor + odor bottles </t>
  </si>
  <si>
    <t>Paper employs haptic, visual, and olfactory feedback delivered via an extended reality headset to alter how people perceive food. 
this is linked to the Super Brain concept, as it utilizes sensory-based technology to modify human sensory perception.</t>
  </si>
  <si>
    <t>Plant-based foods can be healthier and more sustainable, but they may not provide the same pleasant eating experience people expect from conventional foods.</t>
  </si>
  <si>
    <t>A multisensory XR system combining visual + haptic + olfactory augmentation.</t>
  </si>
  <si>
    <t xml:space="preserve">10.1007/s12193-023-00427-4 
</t>
  </si>
  <si>
    <t>Review of substitutive assistive tools and 
technologies for people with visual impairments:
 recent advancements and prospects</t>
  </si>
  <si>
    <t>https://link.springer.com/article/10.1007/s12193-023-00427-4</t>
  </si>
  <si>
    <t xml:space="preserve">Electronic Travel Aids (ETAs) - Sensory substitution devices - Computer vision systems - 
Wearable haptic devices - Audio-based navigation systems - AI and machine learning </t>
  </si>
  <si>
    <t>The paper explores assistive and sensory-based technologies designed for the blind and visually impaired including visual, auditory, and tactile systems.
 This ties into the Super Brain concept, as it involves technologies that compensate for the sense of sight or support it by utilizing other sensory inputs.</t>
  </si>
  <si>
    <t>There are various technologies designed primarily to assist visually impaired individuals with their work, but they suffer from issues regarding ease of use and ease of learning.</t>
  </si>
  <si>
    <t>User-centered + multimodal assistive technology, with visually impaired users involved throughout design and testing.</t>
  </si>
  <si>
    <t xml:space="preserve">10.1007/s12193-021-00376-w </t>
  </si>
  <si>
    <t>SoundSight: a mobile sensory substitution device that sonifies colour, distance, and temperature</t>
  </si>
  <si>
    <t>https://link.springer.com/article/10.1007/s12193-021-00376-w</t>
  </si>
  <si>
    <t>Mobile sensory substitution device - Colour sensor - Distance sensor - 
Temperature sensor - Sonification system - Headphones</t>
  </si>
  <si>
    <t>The video showcases a device called SoundSight, designed for sensory substitution. it converts color, distance, and temperature into sounds to assist visually impaired users. 
This is naturally linked to the Super Brain concept, as it relies on alternative sensory inputs to help users understand their surroundings.</t>
  </si>
  <si>
    <t>It is difficult to rely on current sensory substitution devices in the long term due to their high cost and the difficulty of learning how to use them.</t>
  </si>
  <si>
    <t>SoundSight converts visual/depth/thermal information into real-time sounds using a smartphone and different sensors</t>
  </si>
  <si>
    <t xml:space="preserve">10.1007/s11042-026-21198-6 
</t>
  </si>
  <si>
    <t>BLE and surveillance camera-based navigation system for
visually impaired people</t>
  </si>
  <si>
    <t>https://link.springer.com/article/10.1007/s11042-026-21198-6</t>
  </si>
  <si>
    <t xml:space="preserve">BLE (Bluetooth Low Energy) - Surveillance cameras - Computer vision - 
AI-based object/obstacle detection - Navigation system  </t>
  </si>
  <si>
    <t>Paper is developing a navigation system for the blind and visually impaired that utilizes BLE, surveillance cameras, and AI to detect obstacles. 
This initiative is linked to the Super Brain project, as it provides assistive navigation technology for users such as the blind and those with low vision.</t>
  </si>
  <si>
    <t xml:space="preserve">10.1007/s11042-026-21158-0 
</t>
  </si>
  <si>
    <t>Enhancing the experience of film with a wearable tactile/
haptic suit</t>
  </si>
  <si>
    <t>https://link.springer.com/article/10.1007/s11042-026-21158-0</t>
  </si>
  <si>
    <t xml:space="preserve">Wearable Bubble Suit - Pressure-based Haptic Feedback - Arduino control system - 
Air Pump - PVC Air Bubbles - Silicone Air Tubes - Noise-cancelling headphones  </t>
  </si>
  <si>
    <t>ُExcluded</t>
  </si>
  <si>
    <t xml:space="preserve">10.1007/s00530-025-02139-z 
</t>
  </si>
  <si>
    <t>Assisting blind people with AI and audio using smart glasses: 
system design with YOLOv8 variants comparisons</t>
  </si>
  <si>
    <t>https://link.springer.com/article/10.1007/s00530-025-02139-z</t>
  </si>
  <si>
    <t xml:space="preserve">Vuzix Blade 2 Smart Glasses - YOLOv8 - Simple Online and Realtime Tracking - Distance Estimation -
 Azure AI Vision / OCR - Microsoft Cognitive Speech Service - TensorFlow Lite - OpenCV - WebSocket - Unity  </t>
  </si>
  <si>
    <t>Paper is developing AI-powered smart glasses that feature object detection, optical character recognition (OCR), and audio feedback to help the blind navigate safely. 
This initiative is linked to the Super Brain concept, as it combines AI with sensory assistance to support users with visual impairments.</t>
  </si>
  <si>
    <t xml:space="preserve">10.1007/s00221-026-07309-7 </t>
  </si>
  <si>
    <t>Agents’ awareness of visuo-motor incongruency determines changes in haptic sensitivity</t>
  </si>
  <si>
    <t>https://link.springer.com/article/10.1007/s00221-026-07309-7</t>
  </si>
  <si>
    <t xml:space="preserve">Robotic manipulandum - Visual feedback system - Haptic stimulation - Visuo-motor perturbation - Force/position sensors  </t>
  </si>
  <si>
    <t>The paper examines how individuals awareness of visual and motor changes affects tactile sensitivity.</t>
  </si>
  <si>
    <t xml:space="preserve">10.1007/s00221-021-06181-x </t>
  </si>
  <si>
    <t>Tactile spatial discrimination on the torso using vibrotactile and force stimulation</t>
  </si>
  <si>
    <t>https://link.springer.com/article/10.1007/s00221-021-06181-x</t>
  </si>
  <si>
    <t xml:space="preserve">Vibrotactile actuators - Force-feedback actuators - Wearable tactile vest - 
Vibrotactile stimulation system - Force stimulation system </t>
  </si>
  <si>
    <t>The paper discusses vibration and pressure stimulation using haptic vests capable of covering the torso.</t>
  </si>
  <si>
    <t xml:space="preserve">10.1016/j.brainres.2015.06.033 </t>
  </si>
  <si>
    <t>The role of visual deprivation and experience
on the performance of sensory substitution devices</t>
  </si>
  <si>
    <t>https://www.sciencedirect.com/science/article/abs/pii/S0006899315005156?via%3Dihub</t>
  </si>
  <si>
    <t>Vibrotactile technology - Force-feedback technology</t>
  </si>
  <si>
    <t>The paper discusses sensory substitution devices and how the visual experience influences their performance.
 This study offers a significant advantage the concept of a super brain as it involves specific technologies that 
enable users to process information through alternative sensory inputs.</t>
  </si>
  <si>
    <t>People who use sensory substitution devices often require a significant amount of training to understand the alternative sensory information.</t>
  </si>
  <si>
    <t>The solution lies in intensive training and experience two important elements for improving performance.</t>
  </si>
  <si>
    <t>https://doi.org/10.1186/s12984-021-00935-y</t>
  </si>
  <si>
    <t>Enabling visually impaired people to learn
three‐dimensional tactile graphics with a 3DOF
haptic mouse</t>
  </si>
  <si>
    <t>https://link.springer.com/article/10.1186/s12984-021-00935-y</t>
  </si>
  <si>
    <t>The TActile MOuse 3 (TAMO3) - Haptic Sensory Substituion</t>
  </si>
  <si>
    <t xml:space="preserve">this paper presents a novel sensory substitution system that enables to learn three dimensional
digital information via touch when vision is unavailable. </t>
  </si>
  <si>
    <t>three dimensional digital information is difficult to see and visually impaired people can't see it</t>
  </si>
  <si>
    <t xml:space="preserve"> A mouse-shaped device, designed to
jointly perceive, with one finger only, local tactile height and inclination cues of arbitrary scalar fields.</t>
  </si>
  <si>
    <t>Farah</t>
  </si>
  <si>
    <t>https://doi.org/10.3758/s13414-024-02959-7</t>
  </si>
  <si>
    <t>Viewed touch influences tactile detection by altering decision criterion</t>
  </si>
  <si>
    <t>https://link.springer.com/article/10.3758/s13414-024-02959-7</t>
  </si>
  <si>
    <t xml:space="preserve">Vicarious Tactile activation - Tactile perception - Visual information </t>
  </si>
  <si>
    <t xml:space="preserve">this paper discusses the tactile perception when people see visual information </t>
  </si>
  <si>
    <t xml:space="preserve"> to know if visual information enhances tactile perception or it enhances the decision making </t>
  </si>
  <si>
    <t>These findings suggest that viewing touch influences tactile performance by altering tactile decision mechanisms rather than the tactile perceptual signal</t>
  </si>
  <si>
    <t>10.1186/s40580-026-00552-2</t>
  </si>
  <si>
    <t>Advances in neuroprostheses: interfaces,
materials, and applications</t>
  </si>
  <si>
    <t>https://link.springer.com/article/10.1186/s40580-026-00552-2</t>
  </si>
  <si>
    <t>Nanotechnology - neuroprostheses</t>
  </si>
  <si>
    <t>This review
examines the critical role of nanotechnology in building high performance neuroprostheses across six key classes:
motor, visual, tactile, language, memory and olfactory</t>
  </si>
  <si>
    <t>Biological systems struggle to communicate with electronic systems due to a mismatch at the neural interface.</t>
  </si>
  <si>
    <t>using nanotechnology</t>
  </si>
  <si>
    <t>10.1186/s41235-023-00495-w</t>
  </si>
  <si>
    <t>A direct comparison of sound and vibration
as sources of stimulation for a sensory
substitution glove</t>
  </si>
  <si>
    <t>https://link.springer.com/article/10.1186/s41235-023-00495-w</t>
  </si>
  <si>
    <t>sensory substitution devices - adequacy of touch - adequacy of hearing</t>
  </si>
  <si>
    <t xml:space="preserve">this paper discusses that touch and hearing can substitute for visual information </t>
  </si>
  <si>
    <t>autonomous mobility of visually impaired people</t>
  </si>
  <si>
    <t>Sensory substitution devices (SSDs) are designed to improve navigation</t>
  </si>
  <si>
    <t>s41378-026-01190-8</t>
  </si>
  <si>
    <t>Complementary visual localization and tactile
mapping approach for robotic perception of
millimeter-sized objects with irregular surfaces</t>
  </si>
  <si>
    <t>https://www.nature.com/articles/s41378-026-01190-8</t>
  </si>
  <si>
    <t xml:space="preserve">visual localization - tactile sensing </t>
  </si>
  <si>
    <t>This study provides a technological foundation for enhancing the autonomy and adaptability of
humanoid robots in unpredictable and unstructured environments, particularly to support precise robot manipulation
in such conditions.</t>
  </si>
  <si>
    <t xml:space="preserve">robots can't percieve small and irregular objects </t>
  </si>
  <si>
    <t xml:space="preserve">Foundation for sensory substitution systems that help robots percieve small and irregular objects </t>
  </si>
  <si>
    <t>x</t>
  </si>
  <si>
    <t>Fathy</t>
  </si>
  <si>
    <t>https://doi.org/10.1038/s41539-025-00385-4</t>
  </si>
  <si>
    <t>Learning visual to auditory sensory substitution reveals flexibility in image to sound mapping</t>
  </si>
  <si>
    <t>https://www.nature.com/articles/s41539-025-00385-4</t>
  </si>
  <si>
    <t>The vOICe
Visual-to-auditory sensory substitution
Sensory Substitution Device (SSD)
Image-to-sound mapping
Spectral-temporal acoustic mapping
Pitch-based spatial encoding
Time-based spatial encoding
Amplitude encoding for pixel brightness</t>
  </si>
  <si>
    <t>The paper presents and evaluates a relevant assistive technology for visual information accessibility, specifically
 The vOICe visual-to-auditory sensory substitution device (SSD), which converts visual information into sound 
using structured image-to-sound mappings.</t>
  </si>
  <si>
    <t>There is limited empirical evidence comparing fundamentally different image-to-sound axis mappings 
in visual-to-auditory sensory substitution systems, so it is unclear whether users must rely on
 the traditional pitch–elevation / time–horizontal mapping or can learn alternative mappings effectively.</t>
  </si>
  <si>
    <t>The study compares the traditional The vOICe image-to-sound mapping
with a reversed mapping and a control condition to test whether users 
can learn alternative visual-to-auditory mappings effectively.</t>
  </si>
  <si>
    <t>Learning visual to auditory sensory
substitution reveals flexibility in image to
sound mapping</t>
  </si>
  <si>
    <t>The vOICe; Sensory Substitution Device (SSD); Visual-to-auditory sensory substitution; Image-to-sound mapping; Spectral-temporal acoustic mapping; Pitch-based spatial encoding; Time-based spatial encoding; Amplitude encoding</t>
  </si>
  <si>
    <t>The study evaluates The vOICe, a visual-to-auditory sensory substitution technology designed to convert visual information 
into sound and support access to visual information.</t>
  </si>
  <si>
    <t>There is limited empirical work directly comparing fundamentally different image-to-sound axis mappings,
 leaving uncertainty about whether learning is constrained by traditional cross-modal correspondences such as pitch for elevation.</t>
  </si>
  <si>
    <t>The study compares the traditional The vOICe mapping with a reversed image-to-sound
 mapping and an arbitrary control mapping to determine whether users can effectively learn alternative structured visual-to-auditory mappings.</t>
  </si>
  <si>
    <t>10.1016/j.tics.2008.07.004</t>
  </si>
  <si>
    <t>Parahippocampal and retrosplenial contributions to human spatial navigation</t>
  </si>
  <si>
    <t>https://www.sciencedirect.com/science/article/abs/pii/S136466130800199X?</t>
  </si>
  <si>
    <t>Neuroimaging
fMRI
Parahippocampal Place Area (PPA)
Retrosplenial Complex (RSC)
Spatial cognition and navigation</t>
  </si>
  <si>
    <t>Because it is published by Elsevier and directly discusses human spatial navigation, including the brain mechanisms involved in understanding scenes</t>
  </si>
  <si>
    <t>The paper addresses the fact that the neural systems supporting human spatial navigation were not fully understood, especially the specific roles of the parahippocampal and retrosplenial regions</t>
  </si>
  <si>
    <t>The paper reviews neuroimaging, neuropsychology, neuroanatomy, and neurophysiology findings to explain how the PPA represents local visual scenes while the RSC helps place those scenes within the wider environment and supports navigation toward locations that may not be currently visible</t>
  </si>
  <si>
    <t>10.1038/s41598-020-59102-3</t>
  </si>
  <si>
    <t>Poor resolution at the back of the tongue is the bottleneck for spatial pattern recognition</t>
  </si>
  <si>
    <t>https://www.nature.com/articles/s41598-020-59102-3</t>
  </si>
  <si>
    <t>BrainPort Vision Pro
Head-mounted camera
Electro-tactile sensory substitution
Tongue stimulation
20 × 20 electrode array
Visual-to-tactile information conversion</t>
  </si>
  <si>
    <t>directly relevant to sensory substitution for blind people, especially using the tongue to receive visual information through electro-tactile stimulation</t>
  </si>
  <si>
    <t>Ahmed</t>
  </si>
  <si>
    <t>https://doi.org/10.1038/s41598-025-08155-3</t>
  </si>
  <si>
    <t>Multi-strategy dung beetle optimization for robust indoor object detection and tracking for visually impaired people with hybrid deep learning networks</t>
  </si>
  <si>
    <t xml:space="preserve"> 21_October_2025</t>
  </si>
  <si>
    <t>https://www.nature.com/articles/s41598-025-08155-3</t>
  </si>
  <si>
    <t>Median Filter (MF) — Image Pre-processing
Mask R-CNN — Object Detection and Localization
CapsNet — Feature Extraction
CNN-BiLSTM — Object Detection and Classification
MSDBO — Hyperparameter Optimization
Computer Vision / Deep Learning</t>
  </si>
  <si>
    <t xml:space="preserve"> included because it directly addresses indoor object detection and tracking for visually impaired people using computer vision and deep learning</t>
  </si>
  <si>
    <t>Visually impaired individuals face challenges in recognizing objects and responding to unexpected situations while navigating indoor environments. Existing object detection approaches may have limitations in accuracy, robustness, real-time performance, and adaptability to complex environments. The study addresses the need for reliable indoor object detection and tracking to support visually impaired people</t>
  </si>
  <si>
    <t>The proposed MSDBO-ODTHDLN model integrates image preprocessing using a median filter, the Mask R-CNN network for object detection, CapsNet for feature extraction, and a hybrid CNN-BiLSTM network for classification. A multi-strategy beetle swarm optimization (MSDBO) algorithm is employed to select hyperparameters and enhance model performance. This approach was evaluated on an indoor object detection dataset</t>
  </si>
  <si>
    <t>https://doi.org/10.1038/s41598-025-14946-5</t>
  </si>
  <si>
    <t>Leveraging assistive technology for visually impaired people through optimal deep transfer learning based object detection model</t>
  </si>
  <si>
    <t>https://www.nature.com/articles/s41598-025-14946-5#Sec12</t>
  </si>
  <si>
    <t>ABF – Image preprocessing; Faster R-CNN – Object detection; RPN – Region proposal; ResNet – Feature extraction; DenseNet-201 – Feature extraction; Bi-GRU – Classification; HOA – Hyperparameter optimization; Deep learning – AI approach; Computer vision – Visual processing.</t>
  </si>
  <si>
    <t>visually impaired people need accessible, practical, and accurate assistive technologies capable of detecting objects in their surrounding environments, while many solutions can be costly or un suitable for real time use.</t>
  </si>
  <si>
    <t>This research paper develops an AI-based object detection model tailored for the blind and visually impaired, utilizing Faster R-CNN, ResNet, DenseNet-201, and Bi-GRU algorithms, while employing the "Hiking Optimization Algorithm" (HOA) to optimize the model and enhance detection accuracy.</t>
  </si>
  <si>
    <t>https://doi.org/10.1038/s41598-025-20765-5</t>
  </si>
  <si>
    <t>Enhancing indoor monitoring of visually impaired people using temporal convolutional network with optimization model in IoT environment</t>
  </si>
  <si>
    <t xml:space="preserve"> 21 -October-2025</t>
  </si>
  <si>
    <t>https://www.nature.com/articles/s41598-025-20765-5#Abs1</t>
  </si>
  <si>
    <t>IoT – Assistive/Monitoring Environment; Min-Max Normalization – Data Pre-processing; SCA – Feature Selection; TCN – Temporal Feature Learning; Attention Mechanism – Context Modeling; TCNA – Activity Classification; EOO – Hyperparameter Optimization; Deep Learning – AI Approach.</t>
  </si>
  <si>
    <t xml:space="preserve">Visually impaired and disabled individuals may face difficulties with indoor movement and daily activities, creating a need for IoT-based systems capable of monitoring and recognizing activities using sensor data.
</t>
  </si>
  <si>
    <t xml:space="preserve">The paper develops an IoT-based deep learning model called MOAM-EIMVIP for indoor monitoring of visually impaired people. It uses min-max normalization for data preprocessing, the Sine-Cosine Algorithm (SCA) for feature selection, a Temporal Convolutional Network with an attention mechanism (TCNA) for activity classification, and the Eurasian Oystercatcher Optimizer (EOO) for hyperparameter tuning.
</t>
  </si>
  <si>
    <t>https://doi.org/10.1038/s41598-025-21720-0</t>
  </si>
  <si>
    <t>Enhancing grasping ability with vibrational guidance for individuals who are blind or partially sighted</t>
  </si>
  <si>
    <t xml:space="preserve"> 04 November 2025</t>
  </si>
  <si>
    <t>https://www.nature.com/articles/s41598-025-21720-0#Abs1</t>
  </si>
  <si>
    <t>Vibrotactile Bracelet – Wearable Tactile Feedback; 4 ERM Vibration Motors – Directional Haptic Feedback; Precision Microdrives 306-10H – Vibration Actuators; Insta360 One R Camera – Visual Monitoring; Laptop – System Control; Control Box – Bracelet Control</t>
  </si>
  <si>
    <t xml:space="preserve">The hardware used in this paper could be useful for our project, especially the vibrotactile bracelet and vibration motors. However, the system relies on a human experimenter to determine the required movement direction and send the corresponding tactile signal to the participant. Therefore, there is no AI model or autonomous object detection system implemented in the current experiment.
</t>
  </si>
  <si>
    <t>Visually impaired individuals may face difficulties in locating and grasping objects due to the absence of visual feedback.</t>
  </si>
  <si>
    <t>A vibration-based wristband equipped with four vibration motors distributed around the wrist, with each motor corresponding to a specific direction (up, down, left, right).
These vibrations provide haptic guidance that helps the user move their hand toward the target object, allowing them to then perform the grasping action themselves.
Note: The current system relies on an operator (a person conducting the experiment) to determine the required direction and send the corresponding commands to the wristband; therefore, it is not an autonomous system driven by artificial intelligence.</t>
  </si>
  <si>
    <t>https://doi.org/10.1038/s41598-025-29947-7</t>
  </si>
  <si>
    <t>A smart assistive system for visually challenged people through efficient object detection using deep learning with tunicate swarm algorithm</t>
  </si>
  <si>
    <t>https://www.nature.com/articles/s41598-025-29947-7#Abs1</t>
  </si>
  <si>
    <t xml:space="preserve">Median Filtering (MF) – Image Pre-processing; YOLOv8 – Object Detection; CapsNet – Feature Extraction; Deep Belief Network (DBN) – Detection and Classification; Tunicate Swarm Algorithm (TSA) – Hyperparameter Optimization, Deep Learning </t>
  </si>
  <si>
    <t>it directly addresses object detection for visually impaired people using deep learning and Computer vision</t>
  </si>
  <si>
    <t>Visually impaired people face difficulties in identifying and locating objects in indoor and outdoor environments, while conventional assistive tools provide limited environmental awareness and accuracy.</t>
  </si>
  <si>
    <t>The paper proposes the SASVCP-ODTSA model, which uses Median Filtering for image preprocessing, YOLOv8 for object detection, CapsNet for feature extraction, and DBN for classification, with Tunicate Swarm Algorithm (TSA) for parameter optimization.but the data set used for the solution is indoor not outdor</t>
  </si>
  <si>
    <t>https://doi.org/10.1038/s41598-025-28038-x</t>
  </si>
  <si>
    <t>Unveiling interactions of spatial-temporal information in tactile motion perception</t>
  </si>
  <si>
    <t>https://www.nature.com/articles/s41598-025-28038-x#Abs1</t>
  </si>
  <si>
    <t xml:space="preserve">Lab-designed Tactile Stimulator – Tactile Motion Generation; Stepper Motor (AM1524) – Precise Depth Control; Servo Motors (1024M006S and 1516E006SR) – Ball Rotation and Directional Control; Touchpad (Wacom PTH-660) – Participant Response Recording; Psychophysics Toolbox (PTB-3) – Experimental Data Recording; MATLAB – Data Processing and Mathematical Modeling.
</t>
  </si>
  <si>
    <t>it investigates how humans perceive tactile motion and how spatial and temporal features affect the perception of direction and speed. It also uses a lab-designed tactile stimulation device with controlled mechanical motion, providing useful knowledge for designing the tactile feedback component of our assistive system</t>
  </si>
  <si>
    <t>The interaction between spatial and temporal information in tactile motion perception is not fully understood, particularly how stimulus speed and spatial frequency affect perceived direction and speed</t>
  </si>
  <si>
    <t xml:space="preserve">
The study conducts two psychophysical experiments using a tactile stimulator to vary stimulus direction, speed, and spatial frequency, and evaluates participants’ perceived motion</t>
  </si>
  <si>
    <t>Dplicated</t>
  </si>
  <si>
    <t>https://doi.org/10.1038/s41598-025-99903-y</t>
  </si>
  <si>
    <t>Leveraging retinanet based object detection model for assisting visually impaired individuals with metaheuristic optimization algorithm</t>
  </si>
  <si>
    <t xml:space="preserve"> 08 May 2025</t>
  </si>
  <si>
    <t>https://www.nature.com/articles/s41598-025-99903-y#Abs1</t>
  </si>
  <si>
    <t>Wiener Filter (WF) → RetinaNet → EfficientNetB0 → LSTM-AE → Dandelion Optimizer (DO)</t>
  </si>
  <si>
    <t>This system detects objects for individuals with visual impairments using deep learning and computer vision, The model is designed to detect and recognize objects in real time.</t>
  </si>
  <si>
    <t>Visually impaired individuals face difficulties in recognizing objects in their surroundings, while existing object detection methods still require improvements in accuracy and real time performance under challenging conditions such as noise, occlusion, and varying environments.</t>
  </si>
  <si>
    <t>The paper proposes the ODMVII-MOA model, which combines Wiener Filter for image preprocessing, RetinaNet for object detection, EfficientNetB0 for feature extraction, LSTM-AE for classification, and Dandelion Optimizer for hyperparameter tuning to improve object detection for visually impaired individuals.</t>
  </si>
  <si>
    <t>https://doi.org/10.1038/s41598-026-37578-9</t>
  </si>
  <si>
    <t>Efficacy of electronic travel aids for the blind and visually impaired during wayfinding</t>
  </si>
  <si>
    <t xml:space="preserve"> 28 January 2026</t>
  </si>
  <si>
    <t>https://www.nature.com/articles/s41598-026-37578-9#Abs1</t>
  </si>
  <si>
    <t>https://doi.org/10.1007/s44443-025-00234-9</t>
  </si>
  <si>
    <t>AI smart cane technology and assistive navigation for visually
impaired users</t>
  </si>
  <si>
    <t>https://link.springer.com/article/10.1007/s44443-025-00234-9</t>
  </si>
  <si>
    <t>3shan review paper (summarizes existing smart cane technology and research)</t>
  </si>
  <si>
    <t>no. 10.1109/TVCG.2025.3549856</t>
  </si>
  <si>
    <t>SensARy Substitution: Augmented Reality Techniques to Enhance
Force Perception in Touchless Robot Control</t>
  </si>
  <si>
    <t>Mohsen</t>
  </si>
  <si>
    <t>10.1109/ACCESS.2025.3548552</t>
  </si>
  <si>
    <t>Sensory Substitution Device for Time Presentation: Spatial–Temporal Vibrotactile Encoding for Presenting Time on the Human Wrist</t>
  </si>
  <si>
    <t>`10-Mar-202</t>
  </si>
  <si>
    <t>https://doi.org/10.1109/ACCESS.2025.3548552?utm_source=chatgpt.com</t>
  </si>
  <si>
    <t>Vibrotactile feedback, Arduino Mega (ATmega2560), vibration motors</t>
  </si>
  <si>
    <t>Relevant to wearable haptic feedback and tactile information encoding.</t>
  </si>
  <si>
    <t>Communicating information through vibration patterns that users can understand accurately.</t>
  </si>
  <si>
    <t>A wrist-worn device that represents time using spatial and temporal vibration patterns.</t>
  </si>
  <si>
    <t>#wearable-tech</t>
  </si>
  <si>
    <t>#wearable-tech, #assistive-technology, #embedded-systems, #microcontroller, #accessibility, #visual-impairment</t>
  </si>
  <si>
    <t>M-01</t>
  </si>
  <si>
    <t>The paper focuses on presenting time through vibration, not AI-based environmental perception or navigation.</t>
  </si>
  <si>
    <t>doi:10.1016/j.tics.2003.10.013</t>
  </si>
  <si>
    <t>Sensory substitution and the
human–machine interface</t>
  </si>
  <si>
    <t xml:space="preserve">date </t>
  </si>
  <si>
    <t>Obstacle Detection, Depth Estimation And Warning
System For Visually Impaired People</t>
  </si>
  <si>
    <t>https://doi.org/10.1007/s13042-023-01887-6</t>
  </si>
  <si>
    <t>Structured deep learning based object‐specific distance estimation
from a monocular image</t>
  </si>
  <si>
    <t>https://link.springer.com/article/10.1007/s13042-023-01887-6</t>
  </si>
  <si>
    <t>M-02</t>
  </si>
  <si>
    <t>CAN'T Reach the pdf yet</t>
  </si>
  <si>
    <t>10.1109/TOH.2021.3077619</t>
  </si>
  <si>
    <t>Survey of Pseudo-Haptics: Haptic Feedback
Design and Application Proposals</t>
  </si>
  <si>
    <t>OCTOBER-DECEMBER 2021</t>
  </si>
  <si>
    <t>survey</t>
  </si>
  <si>
    <t>10.1177/10711813251360706</t>
  </si>
  <si>
    <t>Navigation Assistance Via Haptic Technology for Blind or Low-Vision Users: A Scoping Review</t>
  </si>
  <si>
    <t>SAGE</t>
  </si>
  <si>
    <t>https://journals.sagepub.com/doi/10.1177/10711813251360706</t>
  </si>
  <si>
    <t>Review paper (Has No one technology)</t>
  </si>
  <si>
    <t>Directly focuses on haptic and tactile technologies used to help blind or low-vision users navigate and receive directional guidance or obstacle warnings.</t>
  </si>
  <si>
    <t>Same Our Problem</t>
  </si>
  <si>
    <t>Review and evaluate haptic navigation approaches that communicate directions and obstacles through vibration, skin-stretch, or force feedback, sometimes combined with audio feedback.</t>
  </si>
  <si>
    <t>#assistive-technology</t>
  </si>
  <si>
    <t>#wearable-tech, #visual-impairment, #accessibility, #embedded-systems</t>
  </si>
  <si>
    <t>M-03</t>
  </si>
  <si>
    <r>
      <rPr>
        <sz val="11"/>
        <color rgb="FF000000"/>
        <rFont val="Calibri"/>
      </rPr>
      <t>Exactly like what we want to do (</t>
    </r>
    <r>
      <rPr>
        <b/>
        <sz val="11"/>
        <color rgb="FF000000"/>
        <rFont val="Calibri"/>
      </rPr>
      <t>Very Important</t>
    </r>
    <r>
      <rPr>
        <sz val="11"/>
        <color rgb="FF000000"/>
        <rFont val="Calibri"/>
      </rPr>
      <t>)     --- this paper mention also some papers talks about sound solutions not only haptic</t>
    </r>
  </si>
  <si>
    <t xml:space="preserve"> https://papers.ssrn.com/sol3/papers.cfm?abstract_id=4989285                                10.1109/TASE.2020.2971713</t>
  </si>
  <si>
    <t>Toward Image-to-Tactile Cross-Modal Perception
for Visually Impaired People</t>
  </si>
  <si>
    <t>https://ieeexplore.ieee.org/abstract/document/9018269</t>
  </si>
  <si>
    <t>M-04</t>
  </si>
  <si>
    <t>not peer reviewed (Need ask if this work or no)</t>
  </si>
  <si>
    <t>https://doi.org/10.1007/s12193-025-00452-5</t>
  </si>
  <si>
    <t>Vis-Assist: computer vision and haptic feedback-based wearable
assistive device for visually impaired</t>
  </si>
  <si>
    <t>https://link.springer.com/article/10.1007/s12193-025-00452-5</t>
  </si>
  <si>
    <t>M-05</t>
  </si>
  <si>
    <t>doi:10.1016/j.concog.2009.10.006</t>
  </si>
  <si>
    <t>Visual experiences in the blind induced by an auditory sensory substitution device</t>
  </si>
  <si>
    <t>sciencedirect</t>
  </si>
  <si>
    <t>https://www.sciencedirect.com/science/article/abs/pii/S1053810009001718?via%3Dihub</t>
  </si>
  <si>
    <t>Main Tag</t>
  </si>
  <si>
    <t>Custom Numbering M-##</t>
  </si>
  <si>
    <t>Additionals Notes</t>
  </si>
  <si>
    <t>Need to look for these</t>
  </si>
  <si>
    <t>https://hal.science/hal-01993932v1/document</t>
  </si>
  <si>
    <t xml:space="preserve">Duplicated </t>
  </si>
  <si>
    <t>Execlauded</t>
  </si>
  <si>
    <r>
      <rPr>
        <sz val="11"/>
        <color rgb="FF000000"/>
        <rFont val="Calibri"/>
      </rPr>
      <t xml:space="preserve">A smart obstacle avoiding technology based on depth camera
for blind and visually impaired people </t>
    </r>
    <r>
      <rPr>
        <sz val="11"/>
        <color rgb="FFFF0000"/>
        <rFont val="Calibri"/>
      </rPr>
      <t>(Commentry)</t>
    </r>
  </si>
  <si>
    <t xml:space="preserve">Excluded </t>
  </si>
  <si>
    <t>Sensory-driven micro-interventions for improved health and wellbeing</t>
  </si>
  <si>
    <t>Excluded although the study uses LiDAR and haptic feedback to convey obstacle-distance information, it focuses on remote vehicle control and obstacle avoidance rather than assistive technology for blind or visually impaired people.</t>
  </si>
  <si>
    <t>excluded Bec focuses on visuo-haptic augmented reality, texture presentation, and social touch rather than assistive technology for blind or visually impaired people.</t>
  </si>
  <si>
    <t>Included because it focuses on assisting blind and visually impaired people by converting visual information into tactile stimulation. The proposed TVSS allows users to explore surrounding objects through touch instead of vision and supports object recognition and environmental exploration. It is particularly relevant to sensory substitution because it presents a practical implementation of visual-to-tactile substitution and investigates how blind users actively explore their surroundings using tactile feedback.</t>
  </si>
  <si>
    <t>10.3233/RNN-221279</t>
  </si>
  <si>
    <t xml:space="preserve">Sensory augmentation for a rapid motor task
in a multisensory environment
</t>
  </si>
  <si>
    <t>https://journals.sagepub.com/doi/10.3233/RNN-221279</t>
  </si>
  <si>
    <t xml:space="preserve">Use sensory substitution and augmentation systems (SSASys) to enhance human perceptual abilities by translating information about the world into a new format 
Development in sensors and wearable devices to replace the sense of sight with hearing.
SSASys can augment and coordinate with existing sensorimotor skills rather than being limited to replacement use cases
</t>
  </si>
  <si>
    <t>related to sensor substitution</t>
  </si>
  <si>
    <t>it could be that the systems that control rapid and accurate hand movement are not easily penetrable by a SSASy.
 Findings from interception tasks already suggest a complex and subtle interplay between vision, planning, interoception, and the muscular-skeletal system</t>
  </si>
  <si>
    <t>we asked healthy sighted participants to play a stripped-down version of air hockey in an immersive virtual environment.
 It involved hitting a rapidly oncoming puck before it hit the closest edge of the virtual table, similar to previous manual interception tasks</t>
  </si>
  <si>
    <t>Duplicated (salma)</t>
  </si>
  <si>
    <t>https://doi.org/10.1038/s41598-025-27603-8</t>
  </si>
  <si>
    <t>An intelligent framework for
visually impaired people through
indoor object Detection-Based
assistive system using YOLO with
recurrent neural networks</t>
  </si>
  <si>
    <t>https://www.nature.com/articles/s41598-025-27603-8</t>
  </si>
  <si>
    <t>Gaussian Filtering (GF)
YOLOv12 for real-time object detection
DenseNet161 for feature extraction
BiGRU with Attention Mechanism (BiGRU-AM)
Ivy Optimization Algorithm (IOA) for hyperparameter tuning</t>
  </si>
  <si>
    <t>Visually impaired people face difficulties in independently recognizing indoor objects and navigating their surroundings safely.</t>
  </si>
  <si>
    <t>An IODAS-IOA assistive framework combining YOLOv12, DenseNet161, BiGRU-AM, and IOA for accurate real-time indoor object detection and safer navigation.</t>
  </si>
  <si>
    <t>Sensory Substitution Device for Time
Presentation: Spatial–Temporal
Vibrotactile Encoding for Presenting
Time on the Human Wrist</t>
  </si>
  <si>
    <t>Navigation Assistance Via Haptic
Technology for Blind or Low-Vision Users:
A Scoping Review</t>
  </si>
  <si>
    <t xml:space="preserve">July 28, 2025
</t>
  </si>
  <si>
    <t>sage</t>
  </si>
  <si>
    <t>10.1109/TASE.2020.2971713</t>
  </si>
  <si>
    <t>because paper published by taylor that not included in our scope</t>
  </si>
  <si>
    <t>It is unclear why tracing improves recognition: poor sensitivity, low spatial resolution, or limited processing capacity.</t>
  </si>
  <si>
    <t>Compare tracing, static and drawing presentations, with constant or adjusted stimulation intensity. Tracing improved recognition; results support low spatial resolution at the back of the tongue as the main limitation.</t>
  </si>
  <si>
    <t>10.1038/s41598-019-57217-w</t>
  </si>
  <si>
    <t>Neural Networks Mediating Perceptual Learning in Congenital Blindness</t>
  </si>
  <si>
    <t>https://www.nature.com/articles/s41598-019-57217-w</t>
  </si>
  <si>
    <t>Visual-to-tactile SSD; structural MRI; voxel-based morphometry; principal component analysis</t>
  </si>
  <si>
    <t>Relevant to sensory-substitution learning and obstacle avoidance in congenital blindness.</t>
  </si>
  <si>
    <t>The brain structures supporting nonvisual navigation learning are not fully understood.</t>
  </si>
  <si>
    <t>Compare obstacle-course learning in congenitally blind and blindfolded sighted participants, and relate performance to regional brain volumes.</t>
  </si>
  <si>
    <t>10.1038/s41598-021-90132-7</t>
  </si>
  <si>
    <t>Applying a novel visual-to-touch sensory substitution for studying tactile reference frames</t>
  </si>
  <si>
    <t>https://www.nature.com/articles/s41598-021-90132-7</t>
  </si>
  <si>
    <t>Tactile Glove; 15 arm vibration motors; image-to-vibration conversion; spatial and temporal encoding</t>
  </si>
  <si>
    <t>Relevant to mapping visual information onto wearable tactile stimulation.</t>
  </si>
  <si>
    <t>The effect of body posture on interpreting tactile spatial information is unclear.</t>
  </si>
  <si>
    <t>Convert image columns into arm vibrations and test spatial judgments across arm postures in 52 blindfolded participants.</t>
  </si>
  <si>
    <t>10.1038/s41598-021-94133-4</t>
  </si>
  <si>
    <t>Training-induced plasticity enables visualizing sounds with a visual-to-auditory conversion device</t>
  </si>
  <si>
    <t>https://www.nature.com/articles/s41598-021-94133-4</t>
  </si>
  <si>
    <t>The vOICe; camera glasses; headphones; crossmodal interference task; auditory tests</t>
  </si>
  <si>
    <t>Relevant to training and individual differences in auditory sensory substitution.</t>
  </si>
  <si>
    <t>The contribution of visual and auditory processes after SSD training remains unclear.</t>
  </si>
  <si>
    <t>Compare pre- and post-training sound identification with visual distractors. Measure auditory ability and subjective experience alongside training.</t>
  </si>
  <si>
    <t>10.1038/s41598-022-08187-z</t>
  </si>
  <si>
    <t>Congenitally blind adults learning face-shapes through auditory sensory substitution</t>
  </si>
  <si>
    <t>https://www.nature.com/articles/s41598-022-08187-z</t>
  </si>
  <si>
    <t>Visual-to-auditory SSD; cartoon-face sound representations; structured training</t>
  </si>
  <si>
    <t>Directly studies nonvisual recognition in congenitally blind adults.</t>
  </si>
  <si>
    <t>Whether people without visual experience can learn and generalize face-shape recognition through sound is uncertain.</t>
  </si>
  <si>
    <t>Train expert SSD users on six cartoon faces for about 12 hours, then test inverted faces and learning of six additional faces.</t>
  </si>
  <si>
    <t>10.1038/s41598-023-49507-1</t>
  </si>
  <si>
    <t>Blind people can actively manipulate virtual objects with a novel tactile device</t>
  </si>
  <si>
    <t>https://www.nature.com/articles/s41598-023-49507-1</t>
  </si>
  <si>
    <t>Mouse-shaped haptic device; tactile height and inclination cues; keyboard-controlled virtual objects</t>
  </si>
  <si>
    <t>Directly studies tactile interaction and spatial representation in blind participants.</t>
  </si>
  <si>
    <t>Static tactile graphics limit active manipulation and construction of spatial content.</t>
  </si>
  <si>
    <t>Twelve blind participants explore virtual shapes using a haptic device and reposition objects with a keyboard to solve spatial puzzles.</t>
  </si>
  <si>
    <t>10.1038/s41598-024-74416-2</t>
  </si>
  <si>
    <t>Improved YOLOv5 algorithm combined with depth camera and embedded system for blind indoor visual assistance</t>
  </si>
  <si>
    <t>https://www.nature.com/articles/s41598-024-74416-2</t>
  </si>
  <si>
    <t>YOLOv5; GhostNet; coordinate attention; BiFPN; RealSense D435i; Raspberry Pi 4 B; speech interface</t>
  </si>
  <si>
    <t>Directly supports indoor object finding and distance feedback for visually impaired users.</t>
  </si>
  <si>
    <t>Indoor object-finding aids can be costly, difficult to carry and computationally demanding.</t>
  </si>
  <si>
    <t>Use a lightweight modified YOLOv5 model with RGB-depth images. Accept a spoken target and announce its distance through a voice interface.</t>
  </si>
  <si>
    <t>10.1038/s41598-024-79845-7</t>
  </si>
  <si>
    <t>A shape-changing haptic navigation interface for vision impairment</t>
  </si>
  <si>
    <t>https://www.nature.com/articles/s41598-024-79845-7</t>
  </si>
  <si>
    <t>Shape-changing handheld haptic interface; two-axis bending; VR position and orientation tracking</t>
  </si>
  <si>
    <t>Directly evaluates nonvisual spatial guidance with visually impaired participants.</t>
  </si>
  <si>
    <t>Nonvisual interfaces can struggle to communicate precise navigation directions.</t>
  </si>
  <si>
    <t>Compare a bending interface with vibration in virtual-target localization. Visually impaired participants located targets faster and more efficiently using shape change.</t>
  </si>
  <si>
    <t>10.1038/s41598-025-01529-7</t>
  </si>
  <si>
    <t>Embedded solution to detect and classify head level objects using stereo vision for visually impaired people with audio feedback</t>
  </si>
  <si>
    <t>https://www.nature.com/articles/s41598-025-01529-7</t>
  </si>
  <si>
    <t>Stereo vision; YOLOv5; embedded processing; range and orientation estimation; audio feedback</t>
  </si>
  <si>
    <t>Directly addresses head-level obstacle awareness for blind users.</t>
  </si>
  <si>
    <t>Detect five classes of head-level objects, calculate relative range and orientation, and provide audio warnings. Evaluate the system using dataset, field and user tests.</t>
  </si>
  <si>
    <t>technology</t>
  </si>
  <si>
    <t>solution</t>
  </si>
  <si>
    <t>Haptic Feedback</t>
  </si>
  <si>
    <t>#LiDAR, #obstacle-detection, #distance-sensing, #force-feedback, #robotics, #embedded-systems</t>
  </si>
  <si>
    <t>Sensory Substitution</t>
  </si>
  <si>
    <t>#visual-to-tactile, #tactile-display, #image-processing, #active-sensing, #camera-based-system, #assistive-technology</t>
  </si>
  <si>
    <t>#AI-Based-Smart-Navigation</t>
  </si>
  <si>
    <t>#Object-Detection #YOLOv3-Tiny #Obstacle-Avoidance #Sensor-Fusion #Deep-Reinforcement-Learning #Fog-Computing #IoT #Safe-Route-Planning #Extended-Kalman-Filter</t>
  </si>
  <si>
    <t>.</t>
  </si>
  <si>
    <t>restricted access</t>
  </si>
  <si>
    <t>PRISMA 2020 Flow Tracking — PASR Systematic Literature Review</t>
  </si>
  <si>
    <t>Yellow cells are editable inputs. All other values are calculated automatically.</t>
  </si>
  <si>
    <t>PRISMA Stage</t>
  </si>
  <si>
    <t>Count</t>
  </si>
  <si>
    <t>Notes</t>
  </si>
  <si>
    <t>1. Records Identified (all databases/registers)</t>
  </si>
  <si>
    <t>Manual input: total hits across IEEE Xplore, ACM DL, Scopus, etc.</t>
  </si>
  <si>
    <t>2. Duplicate Records Removed</t>
  </si>
  <si>
    <t>Manual input: duplicates removed before screening.</t>
  </si>
  <si>
    <t>3. Records Screened (title/abstract)</t>
  </si>
  <si>
    <t>Auto: Identified − Duplicates removed.</t>
  </si>
  <si>
    <t>4. Records Excluded (title/abstract screening)</t>
  </si>
  <si>
    <t>Manual input: excluded after title/abstract screening.</t>
  </si>
  <si>
    <t>5. Full-text Papers Assessed for Eligibility</t>
  </si>
  <si>
    <t>Auto: Screened − Excluded at screening.</t>
  </si>
  <si>
    <t>6. Full-text Papers Excluded (with reasons)</t>
  </si>
  <si>
    <t>Manual input: excluded after full-text assessment.</t>
  </si>
  <si>
    <t>7. Final Papers Included in Review</t>
  </si>
  <si>
    <t>Auto: Full-text assessed − Full-text excluded.</t>
  </si>
  <si>
    <t>Exclusion Reason</t>
  </si>
  <si>
    <t>Not peer-reviewed</t>
  </si>
  <si>
    <t>Wrong domain / off-topic</t>
  </si>
  <si>
    <t>Duplicate publication</t>
  </si>
  <si>
    <t>Insufficient methodological detail</t>
  </si>
  <si>
    <t>Not accessible in full text</t>
  </si>
  <si>
    <t>Other</t>
  </si>
  <si>
    <t>Total (should equal row 6 above)</t>
  </si>
  <si>
    <t>PASR Systematic Literature Review — Statistics Dashboard</t>
  </si>
  <si>
    <t>Live counts computed from the Papers Database sheet. Update automatically as records are added.</t>
  </si>
  <si>
    <t>Key Metrics</t>
  </si>
  <si>
    <t>Total Papers</t>
  </si>
  <si>
    <t>Papers Reviewed (Completed/Verified)</t>
  </si>
  <si>
    <t>Papers Verified</t>
  </si>
  <si>
    <t>Completion Percentage</t>
  </si>
  <si>
    <t>Verification Percentage</t>
  </si>
  <si>
    <t>Publications per Year</t>
  </si>
  <si>
    <t>Category</t>
  </si>
  <si>
    <t>Papers</t>
  </si>
  <si>
    <t>Publisher Distribution</t>
  </si>
  <si>
    <t>MDPI</t>
  </si>
  <si>
    <t>Research Domains</t>
  </si>
  <si>
    <t>SOC team</t>
  </si>
  <si>
    <t>penetartion team</t>
  </si>
  <si>
    <t>Database team</t>
  </si>
  <si>
    <t>Web</t>
  </si>
  <si>
    <t>Datasets (common)</t>
  </si>
  <si>
    <t>NSL-KDD</t>
  </si>
  <si>
    <t>CICIDS2017</t>
  </si>
  <si>
    <t>CICIDS2018</t>
  </si>
  <si>
    <t>UNSW-NB15</t>
  </si>
  <si>
    <t>KDD Cup 99</t>
  </si>
  <si>
    <t>CSE-CIC-IDS2018</t>
  </si>
  <si>
    <t>TON_IoT</t>
  </si>
  <si>
    <t>OWASP Benchmark</t>
  </si>
  <si>
    <t>Custom Dataset</t>
  </si>
  <si>
    <t>Synthetic Dataset</t>
  </si>
  <si>
    <t>Attack Types (common)</t>
  </si>
  <si>
    <t>SQL Injection</t>
  </si>
  <si>
    <t>Cross-Site Scripting (XSS)</t>
  </si>
  <si>
    <t>prompt injection</t>
  </si>
  <si>
    <t>model poisoning</t>
  </si>
  <si>
    <t>DDoS</t>
  </si>
  <si>
    <t>lateral movment</t>
  </si>
  <si>
    <t>Privilege Escalation</t>
  </si>
  <si>
    <t>BOLA</t>
  </si>
  <si>
    <t>Token Replay (csrf)</t>
  </si>
  <si>
    <t>MITM</t>
  </si>
  <si>
    <t>spoofing</t>
  </si>
  <si>
    <t>reconnaissance</t>
  </si>
  <si>
    <t>Security Layers</t>
  </si>
  <si>
    <t>Application</t>
  </si>
  <si>
    <t>Network</t>
  </si>
  <si>
    <t>Host</t>
  </si>
  <si>
    <t>Cloud</t>
  </si>
  <si>
    <t>Database</t>
  </si>
  <si>
    <t>Endpoint</t>
  </si>
  <si>
    <t>Identity</t>
  </si>
  <si>
    <t>Runtime</t>
  </si>
  <si>
    <t>AI Techniques</t>
  </si>
  <si>
    <t>LLM</t>
  </si>
  <si>
    <t>CNN</t>
  </si>
  <si>
    <t>RNN</t>
  </si>
  <si>
    <t>LSTM</t>
  </si>
  <si>
    <t>Transformer</t>
  </si>
  <si>
    <t>BERT</t>
  </si>
  <si>
    <t>GPT</t>
  </si>
  <si>
    <t>Random Forest</t>
  </si>
  <si>
    <t>Decision Tree</t>
  </si>
  <si>
    <t>SVM</t>
  </si>
  <si>
    <t>KNN</t>
  </si>
  <si>
    <t>Naive Bayes</t>
  </si>
  <si>
    <t>XGBoost</t>
  </si>
  <si>
    <t>Autoencoder</t>
  </si>
  <si>
    <t>GAN</t>
  </si>
  <si>
    <t>Graph Neural Network</t>
  </si>
  <si>
    <t>Hybrid</t>
  </si>
  <si>
    <t>Research Gap Summary — PASR</t>
  </si>
  <si>
    <t>Synthesized per research area. Populate after papers in each domain have been reviewed.</t>
  </si>
  <si>
    <t>Research Area</t>
  </si>
  <si>
    <t>Current State</t>
  </si>
  <si>
    <t>Existing Limitations</t>
  </si>
  <si>
    <t>Open Challenges</t>
  </si>
  <si>
    <t>Future Directions</t>
  </si>
  <si>
    <t>Relation to PASR</t>
  </si>
  <si>
    <t>SOC</t>
  </si>
  <si>
    <t>AI-Assisted Penetration Testing</t>
  </si>
  <si>
    <t>Database Security</t>
  </si>
  <si>
    <t>AI-Assisted Full Stack Development</t>
  </si>
  <si>
    <t>PASR (Cross-Domain Synthesis)</t>
  </si>
  <si>
    <t>Cybersecurity Research Taxonomy — PASR</t>
  </si>
  <si>
    <t>Structured category hierarchy used to classify every paper in the Papers Database sheet.</t>
  </si>
  <si>
    <t>Subcategory</t>
  </si>
  <si>
    <t>Description</t>
  </si>
  <si>
    <t>Number of Papers</t>
  </si>
  <si>
    <t>Cybersecurity</t>
  </si>
  <si>
    <t>SOC (Security Operations Center)</t>
  </si>
  <si>
    <t>Monitoring, detection, triage, and incident response within a security operations center.</t>
  </si>
  <si>
    <t>Penetration Testing</t>
  </si>
  <si>
    <t>AI-assisted offensive security: reconnaissance, exploitation, red-teaming, automated pentesting.</t>
  </si>
  <si>
    <t>Protection of data stores: access control, injection defense, encryption, anomaly detection.</t>
  </si>
  <si>
    <t>Full Stack Development</t>
  </si>
  <si>
    <t>AI-assisted secure software/full-stack development practices and tooling.</t>
  </si>
  <si>
    <t>Total</t>
  </si>
  <si>
    <t>Hierarchy Diagram (reference)</t>
  </si>
  <si>
    <t xml:space="preserve">   +-- SOC</t>
  </si>
  <si>
    <t xml:space="preserve">   +-- Penetration Testing</t>
  </si>
  <si>
    <t xml:space="preserve">   +-- Database Security</t>
  </si>
  <si>
    <t xml:space="preserve">   +-- Full Stack Development</t>
  </si>
  <si>
    <t>Instructions — PASR Systematic Literature Review Workbook</t>
  </si>
  <si>
    <t>Read this sheet before entering data. Consistency across reviewers is essential for valid statistics.</t>
  </si>
  <si>
    <t>1. General Workflow</t>
  </si>
  <si>
    <t>Step 1</t>
  </si>
  <si>
    <t>Search databases (IEEE Xplore, ACM DL, Scopus, ScienceDirect, SpringerLink, arXiv) and log every hit's count on the 'PRISMA Tracking' sheet.</t>
  </si>
  <si>
    <t>Step 2</t>
  </si>
  <si>
    <t>After de-duplication and screening, add each surviving paper as one row in 'Papers Database'. Paper ID is generated automatically once a Title is entered.</t>
  </si>
  <si>
    <t>Step 3</t>
  </si>
  <si>
    <t>Fill in every column for a paper in a single sitting where possible; partial rows trigger the highlight rules described below.</t>
  </si>
  <si>
    <t>Step 4</t>
  </si>
  <si>
    <t>Update 'Reading Status' and 'Verification Status' as review proceeds. A second reviewer should independently verify before marking 'Verified'.</t>
  </si>
  <si>
    <t>Step 5</t>
  </si>
  <si>
    <t>The 'Statistics Dashboard', 'Taxonomy', and PRISMA counts update automatically — no manual recalculation needed.</t>
  </si>
  <si>
    <t>2. Column-by-Column Guidance</t>
  </si>
  <si>
    <t>Paper ID</t>
  </si>
  <si>
    <t>Auto-generated (PID-0001, PID-0002, ...). Do not overwrite.</t>
  </si>
  <si>
    <t>Title / Authors</t>
  </si>
  <si>
    <t>Copy exactly as published. Use 'Last, F. M.; Last, F. M.' format for Authors.</t>
  </si>
  <si>
    <t>Choose from the dropdown. Use 'Other' only if the source is not listed.</t>
  </si>
  <si>
    <t>DOI</t>
  </si>
  <si>
    <t>Always include if available — required for duplicate detection. Format: 10.xxxx/xxxxx.</t>
  </si>
  <si>
    <t>Primary Domain</t>
  </si>
  <si>
    <t>Exactly one of SOC / Penetration Testing / Database Security / Full Stack Development — pick the closest fit.</t>
  </si>
  <si>
    <t>Subdomain / Research Category / Application Area / Industry</t>
  </si>
  <si>
    <t>Free text, but reuse existing values already entered by other reviewers where possible (check 'Taxonomy' sheet for the controlled vocabulary).</t>
  </si>
  <si>
    <t>Research Problem / Objective / Question</t>
  </si>
  <si>
    <t>One to two sentences each, paraphrased in your own words — do not copy verbatim from the abstract.</t>
  </si>
  <si>
    <t>AI Used, AI Technique, Machine Learning Type</t>
  </si>
  <si>
    <t>AI Technique and ML Type use dropdowns. If a paper uses no AI, set 'AI Used' = No and leave AI Technique / ML Type as 'None' or blank.</t>
  </si>
  <si>
    <t>Attack Type / Threat Category / MITRE ATT&amp;CK Technique</t>
  </si>
  <si>
    <t>Use standard terminology (e.g., MITRE ATT&amp;CK IDs like T1190) whenever the paper references it.</t>
  </si>
  <si>
    <t>Accuracy / Precision / Recall / F1 / ROC-AUC</t>
  </si>
  <si>
    <t>Enter as decimal fractions between 0 and 1 (e.g., 0.947), not percentages.</t>
  </si>
  <si>
    <t>Research Gap</t>
  </si>
  <si>
    <t>Mandatory for every reviewed paper — this field feeds directly into the 'Research Gap Summary' sheet.</t>
  </si>
  <si>
    <t>Explicitly state how the paper's findings support, contrast with, or motivate the PASR framework.</t>
  </si>
  <si>
    <t>Assigned Reviewer / Reading Status / Verification Status</t>
  </si>
  <si>
    <t>Keep current at all times; the Dashboard's completion and verification percentages depend on these fields.</t>
  </si>
  <si>
    <t>3. Color &amp; Highlight Legend</t>
  </si>
  <si>
    <t>Red highlight</t>
  </si>
  <si>
    <t>Duplicate DOI/Title, or a paper still 'Not Started' in Reading Status.</t>
  </si>
  <si>
    <t>Yellow highlight</t>
  </si>
  <si>
    <t>Missing DOI, missing Research Gap, missing required field, or Verification Status = Pending/Needs Review.</t>
  </si>
  <si>
    <t>Yellow cell fill (PRISMA sheet)</t>
  </si>
  <si>
    <t>Manually editable input cell — every other cell computes automatically.</t>
  </si>
  <si>
    <t>4. Scalability</t>
  </si>
  <si>
    <t>Capacity</t>
  </si>
  <si>
    <t>'Papers Database' and 'References' are pre-formatted for up to 500 papers (rows 3-502), well beyond the ~150 papers planned, to accommodate scope growth to 500+.</t>
  </si>
  <si>
    <t>Adding rows</t>
  </si>
  <si>
    <t>If more than 500 papers are needed, select a formatted row, copy it, and insert new rows above the last row of the Excel Table — formulas, validation, and formatting extend automatically within a Table.</t>
  </si>
  <si>
    <t>5. Sheet Overview</t>
  </si>
  <si>
    <t>Papers Database</t>
  </si>
  <si>
    <t>Master data-entry sheet — one row per paper, 63 structured fields.</t>
  </si>
  <si>
    <t>PRISMA Tracking</t>
  </si>
  <si>
    <t>PRISMA 2020-style flow counts (identification -&gt; screening -&gt; eligibility -&gt; inclusion).</t>
  </si>
  <si>
    <t>Statistics Dashboard</t>
  </si>
  <si>
    <t>Auto-computed KPIs, breakdown tables, and charts.</t>
  </si>
  <si>
    <t>Taxonomy</t>
  </si>
  <si>
    <t>Controlled domain/subdomain hierarchy and paper counts per category.</t>
  </si>
  <si>
    <t>Research Gap Summary</t>
  </si>
  <si>
    <t>Synthesized narrative gaps per research area, feeding the PASR motivation section.</t>
  </si>
  <si>
    <t>References</t>
  </si>
  <si>
    <t>Formatted citation list (IEEE style) and BibTeX for the final manuscript.</t>
  </si>
  <si>
    <t>Instructions</t>
  </si>
  <si>
    <t>This sheet.</t>
  </si>
  <si>
    <t>PrimaryDomain</t>
  </si>
  <si>
    <t>ReadingStatus</t>
  </si>
  <si>
    <t>VerificationStatus</t>
  </si>
  <si>
    <t>MLType</t>
  </si>
  <si>
    <t>AITechnique</t>
  </si>
  <si>
    <t>SecurityLayer</t>
  </si>
  <si>
    <t>YesNo</t>
  </si>
  <si>
    <t>AttackTypeStats</t>
  </si>
  <si>
    <t>DatasetStats</t>
  </si>
  <si>
    <t>Years</t>
  </si>
  <si>
    <t>Not Started</t>
  </si>
  <si>
    <t>Pending</t>
  </si>
  <si>
    <t>None</t>
  </si>
  <si>
    <t>Yes</t>
  </si>
  <si>
    <t>Reading</t>
  </si>
  <si>
    <t>Verified</t>
  </si>
  <si>
    <t>Supervised</t>
  </si>
  <si>
    <t>No</t>
  </si>
  <si>
    <t>Completed</t>
  </si>
  <si>
    <t>Needs Review</t>
  </si>
  <si>
    <t>Unsupervised</t>
  </si>
  <si>
    <t>Phishing</t>
  </si>
  <si>
    <t>Semi-Supervised</t>
  </si>
  <si>
    <t>Ransomware</t>
  </si>
  <si>
    <t>Reinforcement Learning</t>
  </si>
  <si>
    <t>Deep Learning</t>
  </si>
  <si>
    <t>Malware</t>
  </si>
  <si>
    <t>Transfer Learning</t>
  </si>
  <si>
    <t>Federated Learning</t>
  </si>
  <si>
    <t>Zero-Day Exploit</t>
  </si>
  <si>
    <t>Man-in-the-Middle</t>
  </si>
  <si>
    <t>Insider Threat</t>
  </si>
  <si>
    <t>Command Injection</t>
  </si>
  <si>
    <t>Buffer Overflow</t>
  </si>
  <si>
    <t>Credential Stuffing</t>
  </si>
  <si>
    <t>API Abuse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</si>
</sst>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6">
    <font>
      <sz val="11"/>
      <color theme="1"/>
      <name val="Calibri"/>
      <family val="2"/>
      <charset val="1"/>
    </font>
    <font>
      <sz val="11"/>
      <color theme="1"/>
      <name val="Calibri"/>
      <scheme val="minor"/>
    </font>
    <font>
      <b/>
      <sz val="10"/>
      <color rgb="FFFFFFFF"/>
      <name val="Calibri"/>
      <charset val="1"/>
    </font>
    <font>
      <sz val="10"/>
      <name val="Calibri"/>
      <charset val="1"/>
    </font>
    <font>
      <b/>
      <sz val="16"/>
      <color rgb="FF003C71"/>
      <name val="Calibri"/>
      <charset val="1"/>
    </font>
    <font>
      <i/>
      <sz val="11"/>
      <color rgb="FF595959"/>
      <name val="Calibri"/>
      <charset val="1"/>
    </font>
    <font>
      <b/>
      <sz val="11"/>
      <name val="Calibri"/>
      <charset val="1"/>
    </font>
    <font>
      <i/>
      <sz val="9"/>
      <color rgb="FF595959"/>
      <name val="Calibri"/>
      <charset val="1"/>
    </font>
    <font>
      <b/>
      <sz val="12"/>
      <color rgb="FF003C71"/>
      <name val="Calibri"/>
      <charset val="1"/>
    </font>
    <font>
      <b/>
      <sz val="11"/>
      <name val="Cambria"/>
      <charset val="1"/>
    </font>
    <font>
      <b/>
      <sz val="10"/>
      <color rgb="FF003C71"/>
      <name val="Calibri"/>
      <charset val="1"/>
    </font>
    <font>
      <sz val="10"/>
      <name val="Consolas"/>
      <charset val="1"/>
    </font>
    <font>
      <b/>
      <sz val="10"/>
      <name val="Calibri"/>
      <charset val="1"/>
    </font>
    <font>
      <u/>
      <sz val="11"/>
      <color theme="10"/>
      <name val="Calibri"/>
      <family val="2"/>
      <charset val="1"/>
    </font>
    <font>
      <sz val="11"/>
      <color rgb="FF000000"/>
      <name val="Calibri"/>
      <family val="2"/>
      <charset val="1"/>
    </font>
    <font>
      <sz val="11"/>
      <color rgb="FF000000"/>
      <name val="Arial"/>
    </font>
    <font>
      <sz val="10"/>
      <name val="Calibri"/>
      <family val="2"/>
      <charset val="1"/>
    </font>
    <font>
      <b/>
      <sz val="10"/>
      <color rgb="FFFFFFFF"/>
      <name val="Calibri"/>
      <family val="2"/>
      <charset val="1"/>
    </font>
    <font>
      <u/>
      <sz val="11"/>
      <color theme="10"/>
      <name val="Arial"/>
      <family val="2"/>
      <scheme val="minor"/>
    </font>
    <font>
      <b/>
      <sz val="10"/>
      <name val="Calibri"/>
      <family val="2"/>
      <charset val="1"/>
    </font>
    <font>
      <b/>
      <sz val="12"/>
      <color rgb="FF003C71"/>
      <name val="Calibri"/>
      <family val="2"/>
      <charset val="1"/>
    </font>
    <font>
      <sz val="11"/>
      <color rgb="FF006100"/>
      <name val="Calibri"/>
      <scheme val="minor"/>
    </font>
    <font>
      <sz val="11"/>
      <color rgb="FF9C0006"/>
      <name val="Calibri"/>
      <scheme val="minor"/>
    </font>
    <font>
      <u/>
      <sz val="11"/>
      <color theme="10"/>
      <name val="Arial"/>
      <scheme val="minor"/>
    </font>
    <font>
      <sz val="26"/>
      <color theme="0"/>
      <name val="Calibri"/>
      <family val="2"/>
      <charset val="1"/>
    </font>
    <font>
      <sz val="11"/>
      <color rgb="FF1F1F1F"/>
      <name val="Calibri"/>
      <scheme val="minor"/>
    </font>
    <font>
      <sz val="11"/>
      <color rgb="FF000000"/>
      <name val="Calibri"/>
      <scheme val="minor"/>
    </font>
    <font>
      <sz val="11"/>
      <color rgb="FF111111"/>
      <name val="Calibri"/>
      <scheme val="minor"/>
    </font>
    <font>
      <sz val="11"/>
      <color rgb="FF333333"/>
      <name val="Calibri"/>
      <scheme val="minor"/>
    </font>
    <font>
      <u/>
      <sz val="11"/>
      <color theme="10"/>
      <name val="Calibri"/>
      <scheme val="minor"/>
    </font>
    <font>
      <sz val="11"/>
      <color theme="1"/>
      <name val="Arial"/>
      <scheme val="minor"/>
    </font>
    <font>
      <sz val="11"/>
      <color theme="1"/>
      <name val="Calibri"/>
    </font>
    <font>
      <sz val="10.5"/>
      <color rgb="FF333333"/>
      <name val="Calibri"/>
      <scheme val="minor"/>
    </font>
    <font>
      <sz val="12"/>
      <color rgb="FF1F1F1F"/>
      <name val="Calibri"/>
      <scheme val="minor"/>
    </font>
    <font>
      <sz val="13.5"/>
      <color rgb="FF333333"/>
      <name val="Calibri"/>
      <scheme val="minor"/>
    </font>
    <font>
      <sz val="12"/>
      <color rgb="FF000000"/>
      <name val="Calibri"/>
    </font>
    <font>
      <sz val="12"/>
      <color rgb="FF333333"/>
      <name val="Open Sans"/>
    </font>
    <font>
      <sz val="11"/>
      <color rgb="FF000000"/>
      <name val="Arial"/>
      <scheme val="minor"/>
    </font>
    <font>
      <sz val="20"/>
      <color rgb="FF9C0006"/>
      <name val="Calibri"/>
    </font>
    <font>
      <sz val="11"/>
      <color rgb="FF000000"/>
      <name val="Calibri"/>
    </font>
    <font>
      <sz val="20"/>
      <color rgb="FF000000"/>
      <name val="Arial"/>
    </font>
    <font>
      <b/>
      <sz val="11"/>
      <color rgb="FF000000"/>
      <name val="Calibri"/>
    </font>
    <font>
      <sz val="11"/>
      <color rgb="FFFF0000"/>
      <name val="Calibri"/>
    </font>
    <font>
      <u/>
      <sz val="11"/>
      <color rgb="FF000000"/>
      <name val="Arial"/>
      <scheme val="minor"/>
    </font>
    <font>
      <sz val="11"/>
      <color rgb="FF333333"/>
      <name val="HelveticaNeue Regular"/>
    </font>
    <font>
      <sz val="11"/>
      <color rgb="FF242424"/>
      <name val="Aptos Narrow"/>
    </font>
    <font>
      <sz val="12"/>
      <color rgb="FF222222"/>
      <name val="-Apple-System"/>
      <charset val="1"/>
    </font>
    <font>
      <sz val="11"/>
      <color theme="10"/>
      <name val="Arial"/>
      <scheme val="minor"/>
    </font>
    <font>
      <sz val="11"/>
      <color theme="10"/>
      <name val="Calibri"/>
      <family val="2"/>
      <charset val="1"/>
    </font>
    <font>
      <sz val="11"/>
      <color theme="1"/>
      <name val="Segoe UI"/>
      <charset val="1"/>
    </font>
    <font>
      <sz val="16"/>
      <color rgb="FF000000"/>
      <name val="Calibri"/>
      <family val="2"/>
      <charset val="1"/>
    </font>
    <font>
      <sz val="12"/>
      <color rgb="FF222222"/>
      <name val="-Apple-System"/>
    </font>
    <font>
      <sz val="11"/>
      <color theme="1"/>
      <name val="Segoe UI"/>
    </font>
    <font>
      <u/>
      <sz val="11"/>
      <color rgb="FF000000"/>
      <name val="Calibri"/>
      <scheme val="minor"/>
    </font>
    <font>
      <sz val="12"/>
      <color rgb="FFFFFF00"/>
      <name val="Calibri"/>
      <scheme val="minor"/>
    </font>
    <font>
      <sz val="11"/>
      <color rgb="FF0000FF"/>
      <name val="Calibri"/>
      <scheme val="minor"/>
    </font>
  </fonts>
  <fills count="20">
    <fill>
      <patternFill patternType="none"/>
    </fill>
    <fill>
      <patternFill patternType="gray125"/>
    </fill>
    <fill>
      <patternFill patternType="solid">
        <fgColor rgb="FF003C71"/>
        <bgColor rgb="FF0B5394"/>
      </patternFill>
    </fill>
    <fill>
      <patternFill patternType="solid">
        <fgColor rgb="FFFFEB9C"/>
        <bgColor rgb="FFF2F2F2"/>
      </patternFill>
    </fill>
    <fill>
      <patternFill patternType="solid">
        <fgColor rgb="FFF2F2F2"/>
        <bgColor rgb="FFF9F9F9"/>
      </patternFill>
    </fill>
    <fill>
      <patternFill patternType="solid">
        <fgColor rgb="FFFFFFFF"/>
        <bgColor rgb="FFF9F9F9"/>
      </patternFill>
    </fill>
    <fill>
      <patternFill patternType="solid">
        <fgColor theme="4" tint="0.79998168889431442"/>
        <bgColor theme="4" tint="0.79998168889431442"/>
      </patternFill>
    </fill>
    <fill>
      <patternFill patternType="solid">
        <fgColor rgb="FFFFFFFF"/>
        <bgColor indexed="64"/>
      </patternFill>
    </fill>
    <fill>
      <patternFill patternType="solid">
        <fgColor rgb="FFC6EFCE"/>
      </patternFill>
    </fill>
    <fill>
      <patternFill patternType="solid">
        <fgColor rgb="FFFFC7CE"/>
      </patternFill>
    </fill>
    <fill>
      <patternFill patternType="solid">
        <fgColor theme="4" tint="-0.499984740745262"/>
        <bgColor indexed="64"/>
      </patternFill>
    </fill>
    <fill>
      <patternFill patternType="solid">
        <fgColor rgb="FF244062"/>
        <bgColor indexed="64"/>
      </patternFill>
    </fill>
    <fill>
      <patternFill patternType="solid">
        <fgColor rgb="FFDCE6F1"/>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C6EFCE"/>
        <bgColor indexed="64"/>
      </patternFill>
    </fill>
    <fill>
      <patternFill patternType="solid">
        <fgColor rgb="FFECD7D6"/>
        <bgColor indexed="64"/>
      </patternFill>
    </fill>
  </fills>
  <borders count="22">
    <border>
      <left/>
      <right/>
      <top/>
      <bottom/>
      <diagonal/>
    </border>
    <border>
      <left style="thin">
        <color rgb="FFB7B7B7"/>
      </left>
      <right style="thin">
        <color rgb="FFB7B7B7"/>
      </right>
      <top style="thin">
        <color rgb="FFB7B7B7"/>
      </top>
      <bottom style="thin">
        <color rgb="FFB7B7B7"/>
      </bottom>
      <diagonal/>
    </border>
    <border>
      <left/>
      <right/>
      <top style="thin">
        <color theme="4" tint="0.39997558519241921"/>
      </top>
      <bottom style="thin">
        <color theme="4" tint="0.39997558519241921"/>
      </bottom>
      <diagonal/>
    </border>
    <border>
      <left style="thin">
        <color rgb="FFB7B7B7"/>
      </left>
      <right style="thin">
        <color rgb="FFB7B7B7"/>
      </right>
      <top/>
      <bottom style="thin">
        <color rgb="FFB7B7B7"/>
      </bottom>
      <diagonal/>
    </border>
    <border>
      <left style="medium">
        <color theme="0"/>
      </left>
      <right style="medium">
        <color theme="0"/>
      </right>
      <top style="medium">
        <color theme="0"/>
      </top>
      <bottom/>
      <diagonal/>
    </border>
    <border>
      <left style="medium">
        <color theme="0"/>
      </left>
      <right style="medium">
        <color theme="0"/>
      </right>
      <top/>
      <bottom/>
      <diagonal/>
    </border>
    <border>
      <left/>
      <right/>
      <top style="medium">
        <color theme="0"/>
      </top>
      <bottom/>
      <diagonal/>
    </border>
    <border>
      <left/>
      <right/>
      <top style="medium">
        <color theme="0"/>
      </top>
      <bottom style="thin">
        <color theme="4" tint="0.39997558519241921"/>
      </bottom>
      <diagonal/>
    </border>
    <border>
      <left style="medium">
        <color theme="0"/>
      </left>
      <right/>
      <top style="thin">
        <color theme="4" tint="0.39997558519241921"/>
      </top>
      <bottom style="thin">
        <color theme="4" tint="0.39997558519241921"/>
      </bottom>
      <diagonal/>
    </border>
    <border>
      <left style="medium">
        <color theme="0"/>
      </left>
      <right/>
      <top/>
      <bottom/>
      <diagonal/>
    </border>
    <border>
      <left style="medium">
        <color theme="0"/>
      </left>
      <right/>
      <top style="thin">
        <color theme="4" tint="0.39997558519241921"/>
      </top>
      <bottom style="medium">
        <color theme="0"/>
      </bottom>
      <diagonal/>
    </border>
    <border>
      <left/>
      <right/>
      <top style="thin">
        <color theme="4" tint="0.39997558519241921"/>
      </top>
      <bottom style="medium">
        <color theme="0"/>
      </bottom>
      <diagonal/>
    </border>
    <border>
      <left/>
      <right style="medium">
        <color theme="0"/>
      </right>
      <top style="thin">
        <color theme="4" tint="0.39997558519241921"/>
      </top>
      <bottom style="medium">
        <color theme="0"/>
      </bottom>
      <diagonal/>
    </border>
    <border>
      <left style="thick">
        <color theme="0"/>
      </left>
      <right/>
      <top style="thick">
        <color theme="0"/>
      </top>
      <bottom/>
      <diagonal/>
    </border>
    <border>
      <left style="thin">
        <color rgb="FFB7B7B7"/>
      </left>
      <right style="thin">
        <color rgb="FFB7B7B7"/>
      </right>
      <top style="thin">
        <color rgb="FFB7B7B7"/>
      </top>
      <bottom/>
      <diagonal/>
    </border>
    <border>
      <left style="medium">
        <color theme="0"/>
      </left>
      <right style="medium">
        <color theme="0"/>
      </right>
      <top style="medium">
        <color theme="0"/>
      </top>
      <bottom style="medium">
        <color theme="0"/>
      </bottom>
      <diagonal/>
    </border>
    <border>
      <left style="thick">
        <color theme="0"/>
      </left>
      <right/>
      <top/>
      <bottom/>
      <diagonal/>
    </border>
    <border>
      <left style="thick">
        <color theme="0"/>
      </left>
      <right/>
      <top/>
      <bottom style="thick">
        <color theme="0"/>
      </bottom>
      <diagonal/>
    </border>
    <border>
      <left style="thin">
        <color rgb="FF000000"/>
      </left>
      <right style="thin">
        <color rgb="FF000000"/>
      </right>
      <top style="thin">
        <color rgb="FF000000"/>
      </top>
      <bottom style="thin">
        <color rgb="FF000000"/>
      </bottom>
      <diagonal/>
    </border>
    <border>
      <left/>
      <right/>
      <top/>
      <bottom style="thin">
        <color theme="4" tint="0.39997558519241921"/>
      </bottom>
      <diagonal/>
    </border>
    <border>
      <left style="medium">
        <color theme="0"/>
      </left>
      <right style="medium">
        <color theme="0"/>
      </right>
      <top/>
      <bottom style="medium">
        <color theme="0"/>
      </bottom>
      <diagonal/>
    </border>
    <border>
      <left/>
      <right/>
      <top style="thin">
        <color theme="4" tint="0.39997558519241921"/>
      </top>
      <bottom/>
      <diagonal/>
    </border>
  </borders>
  <cellStyleXfs count="4">
    <xf numFmtId="0" fontId="0" fillId="0" borderId="0"/>
    <xf numFmtId="0" fontId="13" fillId="0" borderId="0" applyNumberFormat="0" applyFill="0" applyBorder="0" applyAlignment="0" applyProtection="0"/>
    <xf numFmtId="0" fontId="21" fillId="8" borderId="0" applyNumberFormat="0" applyBorder="0" applyAlignment="0" applyProtection="0"/>
    <xf numFmtId="0" fontId="22" fillId="9" borderId="0" applyNumberFormat="0" applyBorder="0" applyAlignment="0" applyProtection="0"/>
  </cellStyleXfs>
  <cellXfs count="367">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vertical="center"/>
    </xf>
    <xf numFmtId="0" fontId="4" fillId="0" borderId="0" xfId="0" applyFont="1"/>
    <xf numFmtId="0" fontId="5" fillId="0" borderId="0" xfId="0" applyFont="1"/>
    <xf numFmtId="0" fontId="3" fillId="0" borderId="1" xfId="0" applyFont="1" applyBorder="1"/>
    <xf numFmtId="0" fontId="6" fillId="3" borderId="1" xfId="0" applyFont="1" applyFill="1" applyBorder="1" applyAlignment="1">
      <alignment horizontal="center" vertical="center"/>
    </xf>
    <xf numFmtId="0" fontId="7" fillId="0" borderId="1" xfId="0" applyFont="1" applyBorder="1" applyAlignment="1">
      <alignment horizontal="left" vertical="center" wrapText="1"/>
    </xf>
    <xf numFmtId="0" fontId="6" fillId="0" borderId="1" xfId="0" applyFont="1" applyBorder="1" applyAlignment="1">
      <alignment horizontal="center" vertical="center"/>
    </xf>
    <xf numFmtId="0" fontId="8" fillId="0" borderId="0" xfId="0" applyFont="1"/>
    <xf numFmtId="0" fontId="2" fillId="2" borderId="1" xfId="0" applyFont="1" applyFill="1" applyBorder="1"/>
    <xf numFmtId="0" fontId="0" fillId="3" borderId="1" xfId="0" applyFill="1" applyBorder="1" applyAlignment="1">
      <alignment horizontal="center" vertical="center"/>
    </xf>
    <xf numFmtId="0" fontId="9" fillId="0" borderId="0" xfId="0" applyFont="1"/>
    <xf numFmtId="0" fontId="9" fillId="0" borderId="1" xfId="0" applyFont="1" applyBorder="1" applyAlignment="1">
      <alignment horizontal="center" vertical="center"/>
    </xf>
    <xf numFmtId="0" fontId="3" fillId="4" borderId="1" xfId="0" applyFont="1" applyFill="1" applyBorder="1"/>
    <xf numFmtId="0" fontId="8" fillId="5" borderId="1" xfId="0" applyFont="1" applyFill="1" applyBorder="1"/>
    <xf numFmtId="0" fontId="2" fillId="2" borderId="0" xfId="0" applyFont="1" applyFill="1"/>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10" fillId="0" borderId="1" xfId="0" applyFont="1" applyBorder="1" applyAlignment="1">
      <alignment horizontal="center" vertical="center"/>
    </xf>
    <xf numFmtId="0" fontId="9" fillId="0" borderId="0" xfId="0" applyFont="1" applyAlignment="1">
      <alignment horizontal="center" vertical="center"/>
    </xf>
    <xf numFmtId="0" fontId="11" fillId="0" borderId="0" xfId="0" applyFont="1"/>
    <xf numFmtId="0" fontId="12" fillId="0" borderId="1" xfId="0" applyFont="1" applyBorder="1" applyAlignment="1">
      <alignment horizontal="left" vertical="center" wrapText="1"/>
    </xf>
    <xf numFmtId="0" fontId="0" fillId="0" borderId="1" xfId="0" applyBorder="1" applyAlignment="1">
      <alignment horizontal="left" vertical="center" wrapText="1"/>
    </xf>
    <xf numFmtId="0" fontId="14" fillId="0" borderId="0" xfId="0" applyFont="1"/>
    <xf numFmtId="0" fontId="16" fillId="0" borderId="1" xfId="0" applyFont="1" applyBorder="1" applyAlignment="1">
      <alignment vertical="center"/>
    </xf>
    <xf numFmtId="0" fontId="18" fillId="6" borderId="2" xfId="1" applyFont="1" applyFill="1" applyBorder="1"/>
    <xf numFmtId="0" fontId="18" fillId="0" borderId="2" xfId="1" applyFont="1" applyBorder="1"/>
    <xf numFmtId="0" fontId="0" fillId="0" borderId="2" xfId="0" applyBorder="1"/>
    <xf numFmtId="0" fontId="16" fillId="0" borderId="0" xfId="0" applyFont="1" applyAlignment="1">
      <alignment horizontal="left" vertical="center" wrapText="1"/>
    </xf>
    <xf numFmtId="0" fontId="19" fillId="0" borderId="0" xfId="0" applyFont="1" applyAlignment="1">
      <alignment horizontal="left" vertical="center" wrapText="1"/>
    </xf>
    <xf numFmtId="0" fontId="20" fillId="0" borderId="0" xfId="0" applyFont="1"/>
    <xf numFmtId="0" fontId="3" fillId="0" borderId="3" xfId="0" applyFont="1" applyBorder="1"/>
    <xf numFmtId="0" fontId="0" fillId="0" borderId="0" xfId="0" applyAlignment="1">
      <alignment horizontal="center"/>
    </xf>
    <xf numFmtId="0" fontId="23" fillId="0" borderId="2" xfId="1" applyFont="1" applyBorder="1"/>
    <xf numFmtId="0" fontId="23" fillId="6" borderId="2" xfId="1" applyFont="1" applyFill="1" applyBorder="1"/>
    <xf numFmtId="0" fontId="0" fillId="0" borderId="6" xfId="0" applyBorder="1"/>
    <xf numFmtId="0" fontId="23" fillId="6" borderId="11" xfId="1" applyFont="1" applyFill="1" applyBorder="1"/>
    <xf numFmtId="0" fontId="17" fillId="2" borderId="14"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0" fillId="0" borderId="0" xfId="0" applyAlignment="1">
      <alignment wrapText="1"/>
    </xf>
    <xf numFmtId="0" fontId="13" fillId="0" borderId="0" xfId="1"/>
    <xf numFmtId="0" fontId="23" fillId="6" borderId="2" xfId="1" applyFont="1" applyFill="1" applyBorder="1" applyAlignment="1">
      <alignment wrapText="1"/>
    </xf>
    <xf numFmtId="0" fontId="0" fillId="0" borderId="0" xfId="0" applyAlignment="1">
      <alignment vertical="center" wrapText="1"/>
    </xf>
    <xf numFmtId="15" fontId="0" fillId="0" borderId="0" xfId="0" applyNumberFormat="1"/>
    <xf numFmtId="0" fontId="13" fillId="0" borderId="2" xfId="1" applyBorder="1"/>
    <xf numFmtId="0" fontId="25" fillId="12" borderId="0" xfId="0" applyFont="1" applyFill="1" applyAlignment="1">
      <alignment horizontal="left" vertical="center" wrapText="1"/>
    </xf>
    <xf numFmtId="0" fontId="13" fillId="6" borderId="2" xfId="1" applyFill="1" applyBorder="1"/>
    <xf numFmtId="0" fontId="23" fillId="12" borderId="2" xfId="1" applyFont="1" applyFill="1" applyBorder="1"/>
    <xf numFmtId="0" fontId="15" fillId="0" borderId="0" xfId="0" applyFont="1" applyAlignment="1">
      <alignment vertical="center" wrapText="1"/>
    </xf>
    <xf numFmtId="0" fontId="23" fillId="6" borderId="2" xfId="1" applyFont="1" applyFill="1" applyBorder="1" applyAlignment="1">
      <alignment vertical="center" wrapText="1"/>
    </xf>
    <xf numFmtId="0" fontId="26" fillId="7" borderId="0" xfId="0" applyFont="1" applyFill="1" applyAlignment="1">
      <alignment horizontal="left" vertical="center" wrapText="1"/>
    </xf>
    <xf numFmtId="0" fontId="15" fillId="0" borderId="0" xfId="0" applyFont="1" applyAlignment="1">
      <alignment horizontal="left" vertical="center" wrapText="1"/>
    </xf>
    <xf numFmtId="0" fontId="27" fillId="7" borderId="0" xfId="0" applyFont="1" applyFill="1" applyAlignment="1">
      <alignment horizontal="left" vertical="center" wrapText="1"/>
    </xf>
    <xf numFmtId="0" fontId="28" fillId="12" borderId="0" xfId="0" applyFont="1" applyFill="1" applyAlignment="1">
      <alignment horizontal="left" vertical="center" wrapText="1"/>
    </xf>
    <xf numFmtId="0" fontId="13" fillId="0" borderId="0" xfId="1" applyAlignment="1">
      <alignment vertical="center"/>
    </xf>
    <xf numFmtId="0" fontId="0" fillId="0" borderId="0" xfId="0" applyAlignment="1">
      <alignment vertical="center"/>
    </xf>
    <xf numFmtId="0" fontId="29" fillId="0" borderId="0" xfId="1" applyFont="1" applyAlignment="1">
      <alignment horizontal="left" vertical="center" wrapText="1"/>
    </xf>
    <xf numFmtId="0" fontId="29" fillId="0" borderId="2" xfId="1" applyFont="1" applyBorder="1" applyAlignment="1">
      <alignment horizontal="left" vertical="center" wrapText="1"/>
    </xf>
    <xf numFmtId="0" fontId="29" fillId="12" borderId="0" xfId="1" applyFont="1" applyFill="1" applyAlignment="1">
      <alignment horizontal="left" vertical="center" wrapText="1"/>
    </xf>
    <xf numFmtId="0" fontId="26" fillId="12" borderId="0" xfId="0" applyFont="1" applyFill="1" applyAlignment="1">
      <alignment horizontal="left" vertical="center" wrapText="1"/>
    </xf>
    <xf numFmtId="0" fontId="29" fillId="12" borderId="2" xfId="1" applyFont="1" applyFill="1" applyBorder="1" applyAlignment="1">
      <alignment horizontal="left" vertical="center" wrapText="1"/>
    </xf>
    <xf numFmtId="0" fontId="26" fillId="0" borderId="0" xfId="0" applyFont="1" applyAlignment="1">
      <alignment horizontal="left" vertical="center" wrapText="1"/>
    </xf>
    <xf numFmtId="0" fontId="29" fillId="0" borderId="0" xfId="1" applyFont="1" applyAlignment="1">
      <alignment horizontal="left" vertical="center" wrapText="1" readingOrder="1"/>
    </xf>
    <xf numFmtId="0" fontId="26" fillId="0" borderId="0" xfId="0" applyFont="1" applyAlignment="1">
      <alignment horizontal="left" vertical="center"/>
    </xf>
    <xf numFmtId="0" fontId="29" fillId="12" borderId="0" xfId="1" applyFont="1" applyFill="1" applyAlignment="1">
      <alignment horizontal="left" vertical="center"/>
    </xf>
    <xf numFmtId="0" fontId="26" fillId="12" borderId="2" xfId="1" applyFont="1" applyFill="1" applyBorder="1" applyAlignment="1">
      <alignment horizontal="left" vertical="center" wrapText="1"/>
    </xf>
    <xf numFmtId="0" fontId="32" fillId="12" borderId="0" xfId="0" applyFont="1" applyFill="1" applyAlignment="1">
      <alignment horizontal="left" vertical="center" readingOrder="1"/>
    </xf>
    <xf numFmtId="0" fontId="29" fillId="6" borderId="2" xfId="1" applyFont="1" applyFill="1" applyBorder="1" applyAlignment="1">
      <alignment horizontal="left" vertical="center" wrapText="1"/>
    </xf>
    <xf numFmtId="0" fontId="26" fillId="6" borderId="2" xfId="1" applyFont="1" applyFill="1" applyBorder="1" applyAlignment="1">
      <alignment horizontal="left" vertical="center" wrapText="1"/>
    </xf>
    <xf numFmtId="0" fontId="26" fillId="14" borderId="0" xfId="0" applyFont="1" applyFill="1" applyAlignment="1">
      <alignment horizontal="left" vertical="center"/>
    </xf>
    <xf numFmtId="0" fontId="34" fillId="14" borderId="0" xfId="0" applyFont="1" applyFill="1" applyAlignment="1">
      <alignment horizontal="left" vertical="center" wrapText="1" readingOrder="1"/>
    </xf>
    <xf numFmtId="0" fontId="33" fillId="14" borderId="0" xfId="0" applyFont="1" applyFill="1" applyAlignment="1">
      <alignment horizontal="left" vertical="center" wrapText="1"/>
    </xf>
    <xf numFmtId="0" fontId="26" fillId="14" borderId="0" xfId="0" applyFont="1" applyFill="1" applyAlignment="1">
      <alignment horizontal="left" vertical="center" wrapText="1" readingOrder="1"/>
    </xf>
    <xf numFmtId="0" fontId="23" fillId="0" borderId="2" xfId="1" applyFont="1" applyBorder="1" applyAlignment="1">
      <alignment wrapText="1"/>
    </xf>
    <xf numFmtId="0" fontId="35" fillId="8" borderId="2" xfId="2" applyFont="1" applyBorder="1" applyAlignment="1">
      <alignment horizontal="left" vertical="top"/>
    </xf>
    <xf numFmtId="15" fontId="23" fillId="6" borderId="2" xfId="1" applyNumberFormat="1" applyFont="1" applyFill="1" applyBorder="1"/>
    <xf numFmtId="0" fontId="0" fillId="0" borderId="0" xfId="0" applyAlignment="1">
      <alignment horizontal="center" vertical="center"/>
    </xf>
    <xf numFmtId="0" fontId="13" fillId="0" borderId="2" xfId="1" applyBorder="1" applyAlignment="1">
      <alignment vertical="center"/>
    </xf>
    <xf numFmtId="17" fontId="0" fillId="0" borderId="0" xfId="0" applyNumberFormat="1"/>
    <xf numFmtId="0" fontId="36" fillId="0" borderId="0" xfId="0" applyFont="1"/>
    <xf numFmtId="0" fontId="13" fillId="6" borderId="2" xfId="1" applyFill="1" applyBorder="1" applyAlignment="1">
      <alignment vertical="center"/>
    </xf>
    <xf numFmtId="0" fontId="23" fillId="6" borderId="2" xfId="1" applyFont="1" applyFill="1" applyBorder="1" applyAlignment="1">
      <alignment horizontal="left" vertical="center"/>
    </xf>
    <xf numFmtId="0" fontId="23" fillId="6" borderId="2" xfId="1" applyFont="1" applyFill="1" applyBorder="1" applyAlignment="1">
      <alignment horizontal="center"/>
    </xf>
    <xf numFmtId="0" fontId="26" fillId="12" borderId="0" xfId="0" applyFont="1" applyFill="1" applyAlignment="1">
      <alignment horizontal="center" vertical="center" wrapText="1"/>
    </xf>
    <xf numFmtId="0" fontId="26" fillId="14" borderId="0" xfId="0" applyFont="1" applyFill="1" applyAlignment="1">
      <alignment horizontal="center" vertical="center" wrapText="1"/>
    </xf>
    <xf numFmtId="0" fontId="26" fillId="0" borderId="0" xfId="0" applyFont="1" applyAlignment="1">
      <alignment horizontal="center" vertical="center" wrapText="1"/>
    </xf>
    <xf numFmtId="0" fontId="26" fillId="12" borderId="0" xfId="0" applyFont="1" applyFill="1" applyAlignment="1">
      <alignment horizontal="center" vertical="center"/>
    </xf>
    <xf numFmtId="0" fontId="26" fillId="0" borderId="0" xfId="0" applyFont="1" applyAlignment="1">
      <alignment horizontal="center" vertical="center"/>
    </xf>
    <xf numFmtId="0" fontId="26" fillId="14" borderId="0" xfId="0" applyFont="1" applyFill="1" applyAlignment="1">
      <alignment horizontal="center" vertical="center"/>
    </xf>
    <xf numFmtId="0" fontId="26" fillId="6" borderId="2" xfId="1" applyFont="1" applyFill="1" applyBorder="1" applyAlignment="1">
      <alignment horizontal="center" vertical="center" wrapText="1"/>
    </xf>
    <xf numFmtId="0" fontId="23" fillId="0" borderId="2" xfId="1" applyFont="1" applyBorder="1" applyAlignment="1">
      <alignment horizontal="center"/>
    </xf>
    <xf numFmtId="17" fontId="23" fillId="6" borderId="2" xfId="1" applyNumberFormat="1" applyFont="1" applyFill="1" applyBorder="1"/>
    <xf numFmtId="0" fontId="33" fillId="14" borderId="0" xfId="0" applyFont="1" applyFill="1" applyAlignment="1">
      <alignment vertical="center" wrapText="1"/>
    </xf>
    <xf numFmtId="0" fontId="30" fillId="6" borderId="2" xfId="1" applyFont="1" applyFill="1" applyBorder="1" applyAlignment="1">
      <alignment vertical="center"/>
    </xf>
    <xf numFmtId="0" fontId="15" fillId="0" borderId="0" xfId="0" applyFont="1" applyAlignment="1">
      <alignment horizontal="center" vertical="center" wrapText="1"/>
    </xf>
    <xf numFmtId="0" fontId="30" fillId="6" borderId="2" xfId="1" applyFont="1" applyFill="1" applyBorder="1" applyAlignment="1">
      <alignment vertical="center" wrapText="1"/>
    </xf>
    <xf numFmtId="0" fontId="37" fillId="6" borderId="2" xfId="1" applyFont="1" applyFill="1" applyBorder="1" applyAlignment="1">
      <alignment horizontal="center" vertical="center"/>
    </xf>
    <xf numFmtId="0" fontId="37" fillId="6" borderId="2" xfId="1" applyFont="1" applyFill="1" applyBorder="1" applyAlignment="1">
      <alignment wrapText="1"/>
    </xf>
    <xf numFmtId="0" fontId="37" fillId="6" borderId="2" xfId="1" applyFont="1" applyFill="1" applyBorder="1" applyAlignment="1">
      <alignment vertical="center" wrapText="1"/>
    </xf>
    <xf numFmtId="0" fontId="0" fillId="0" borderId="0" xfId="0" applyFont="1" applyAlignment="1">
      <alignment horizontal="center" vertical="center"/>
    </xf>
    <xf numFmtId="0" fontId="31" fillId="6" borderId="2" xfId="1" applyFont="1" applyFill="1" applyBorder="1" applyAlignment="1">
      <alignment horizontal="center" vertical="center" wrapText="1"/>
    </xf>
    <xf numFmtId="0" fontId="30" fillId="6" borderId="2" xfId="1" applyFont="1" applyFill="1" applyBorder="1" applyAlignment="1">
      <alignment horizontal="left" vertical="center" wrapText="1"/>
    </xf>
    <xf numFmtId="0" fontId="30" fillId="6" borderId="2" xfId="1" applyFont="1" applyFill="1" applyBorder="1" applyAlignment="1">
      <alignment horizontal="center" vertical="center"/>
    </xf>
    <xf numFmtId="0" fontId="33" fillId="14" borderId="0" xfId="0" applyFont="1" applyFill="1" applyAlignment="1">
      <alignment horizontal="center" vertical="center" wrapText="1"/>
    </xf>
    <xf numFmtId="0" fontId="35" fillId="8" borderId="2" xfId="2" applyFont="1" applyBorder="1" applyAlignment="1">
      <alignment horizontal="center" vertical="center"/>
    </xf>
    <xf numFmtId="0" fontId="30" fillId="6" borderId="2" xfId="1" applyFont="1" applyFill="1" applyBorder="1" applyAlignment="1">
      <alignment horizontal="center" vertical="center" wrapText="1"/>
    </xf>
    <xf numFmtId="15" fontId="22" fillId="9" borderId="0" xfId="3" applyNumberFormat="1"/>
    <xf numFmtId="15" fontId="22" fillId="9" borderId="2" xfId="3" applyNumberFormat="1" applyBorder="1"/>
    <xf numFmtId="0" fontId="0" fillId="0" borderId="0" xfId="0" applyFont="1" applyAlignment="1">
      <alignment horizontal="center" vertical="center" wrapText="1"/>
    </xf>
    <xf numFmtId="0" fontId="30" fillId="0" borderId="2" xfId="1" applyFont="1" applyBorder="1" applyAlignment="1">
      <alignment horizontal="center" vertical="center" wrapText="1"/>
    </xf>
    <xf numFmtId="0" fontId="30" fillId="0" borderId="2" xfId="1" applyFont="1" applyBorder="1" applyAlignment="1">
      <alignment horizontal="left" vertical="center" wrapText="1"/>
    </xf>
    <xf numFmtId="0" fontId="13" fillId="0" borderId="2" xfId="1" applyBorder="1" applyAlignment="1">
      <alignment horizontal="center" vertical="center"/>
    </xf>
    <xf numFmtId="0" fontId="22" fillId="9" borderId="2" xfId="3" applyBorder="1" applyAlignment="1">
      <alignment horizontal="left" vertical="center"/>
    </xf>
    <xf numFmtId="0" fontId="38" fillId="9" borderId="2" xfId="3" applyFont="1" applyBorder="1" applyAlignment="1">
      <alignment horizontal="left" vertical="center"/>
    </xf>
    <xf numFmtId="0" fontId="26" fillId="9" borderId="2" xfId="3" applyFont="1" applyBorder="1" applyAlignment="1">
      <alignment horizontal="left" vertical="center"/>
    </xf>
    <xf numFmtId="0" fontId="24" fillId="10" borderId="0" xfId="0" applyFont="1" applyFill="1" applyBorder="1" applyAlignment="1">
      <alignment horizontal="center" vertical="center" textRotation="90"/>
    </xf>
    <xf numFmtId="0" fontId="26" fillId="0" borderId="2" xfId="1" applyFont="1" applyBorder="1" applyAlignment="1">
      <alignment horizontal="left" vertical="center" wrapText="1"/>
    </xf>
    <xf numFmtId="0" fontId="40" fillId="0" borderId="0" xfId="0" applyFont="1" applyAlignment="1">
      <alignment horizontal="center" vertical="center"/>
    </xf>
    <xf numFmtId="0" fontId="40" fillId="12" borderId="0" xfId="0" applyFont="1" applyFill="1" applyAlignment="1">
      <alignment horizontal="center" vertical="center"/>
    </xf>
    <xf numFmtId="0" fontId="26" fillId="6" borderId="2" xfId="1" applyFont="1" applyFill="1" applyBorder="1" applyAlignment="1">
      <alignment vertical="center" wrapText="1"/>
    </xf>
    <xf numFmtId="0" fontId="26" fillId="6" borderId="2" xfId="1" applyFont="1" applyFill="1" applyBorder="1" applyAlignment="1">
      <alignment wrapText="1"/>
    </xf>
    <xf numFmtId="0" fontId="37" fillId="6" borderId="2" xfId="1" applyFont="1" applyFill="1" applyBorder="1" applyAlignment="1">
      <alignment vertical="center"/>
    </xf>
    <xf numFmtId="0" fontId="23" fillId="6" borderId="2" xfId="1" applyFont="1" applyFill="1" applyBorder="1" applyAlignment="1">
      <alignment horizontal="center" vertical="center"/>
    </xf>
    <xf numFmtId="0" fontId="23" fillId="15" borderId="2" xfId="1" applyFont="1" applyFill="1" applyBorder="1" applyAlignment="1">
      <alignment horizontal="center" vertical="center"/>
    </xf>
    <xf numFmtId="0" fontId="13" fillId="15" borderId="2" xfId="1" applyFill="1" applyBorder="1" applyAlignment="1">
      <alignment horizontal="center" vertical="center"/>
    </xf>
    <xf numFmtId="0" fontId="23" fillId="12" borderId="2" xfId="1" applyFont="1" applyFill="1" applyBorder="1" applyAlignment="1">
      <alignment horizontal="center" vertical="center"/>
    </xf>
    <xf numFmtId="0" fontId="13" fillId="6" borderId="2" xfId="1" applyFill="1" applyBorder="1" applyAlignment="1">
      <alignment horizontal="center" vertical="center"/>
    </xf>
    <xf numFmtId="0" fontId="13" fillId="0" borderId="0" xfId="1" applyAlignment="1">
      <alignment horizontal="center" vertical="center"/>
    </xf>
    <xf numFmtId="0" fontId="30" fillId="15" borderId="2" xfId="1" applyFont="1" applyFill="1" applyBorder="1" applyAlignment="1">
      <alignment horizontal="center" vertical="center" wrapText="1"/>
    </xf>
    <xf numFmtId="0" fontId="23" fillId="0" borderId="2" xfId="1" applyFont="1" applyBorder="1" applyAlignment="1">
      <alignment horizontal="center" vertical="center"/>
    </xf>
    <xf numFmtId="0" fontId="23" fillId="6" borderId="2" xfId="1" applyFont="1" applyFill="1" applyBorder="1" applyAlignment="1">
      <alignment horizontal="center" vertical="center" wrapText="1"/>
    </xf>
    <xf numFmtId="0" fontId="0" fillId="0" borderId="6" xfId="0" applyBorder="1" applyAlignment="1">
      <alignment horizontal="center" vertical="center"/>
    </xf>
    <xf numFmtId="0" fontId="0" fillId="0" borderId="0" xfId="0" applyBorder="1" applyAlignment="1">
      <alignment horizontal="center" vertical="center"/>
    </xf>
    <xf numFmtId="0" fontId="0" fillId="15" borderId="0" xfId="0" applyFont="1" applyFill="1" applyAlignment="1">
      <alignment horizontal="center" vertical="center"/>
    </xf>
    <xf numFmtId="0" fontId="30" fillId="16" borderId="2" xfId="1" applyFont="1" applyFill="1" applyBorder="1" applyAlignment="1">
      <alignment horizontal="left" vertical="center" wrapText="1"/>
    </xf>
    <xf numFmtId="0" fontId="14" fillId="16" borderId="0" xfId="0" applyFont="1" applyFill="1" applyAlignment="1">
      <alignment horizontal="center" vertical="center"/>
    </xf>
    <xf numFmtId="0" fontId="40" fillId="16" borderId="0" xfId="0" applyFont="1" applyFill="1" applyAlignment="1">
      <alignment horizontal="center" vertical="center"/>
    </xf>
    <xf numFmtId="0" fontId="0" fillId="16" borderId="0" xfId="0" applyFont="1" applyFill="1" applyAlignment="1">
      <alignment horizontal="center" vertical="center"/>
    </xf>
    <xf numFmtId="0" fontId="0" fillId="0" borderId="0" xfId="0" applyAlignment="1">
      <alignment horizontal="center" vertical="center" wrapText="1"/>
    </xf>
    <xf numFmtId="0" fontId="30" fillId="15" borderId="2" xfId="1" applyFont="1" applyFill="1" applyBorder="1" applyAlignment="1">
      <alignment horizontal="center" vertical="center"/>
    </xf>
    <xf numFmtId="0" fontId="13" fillId="15" borderId="2" xfId="1" applyFill="1" applyBorder="1" applyAlignment="1">
      <alignment vertical="center"/>
    </xf>
    <xf numFmtId="0" fontId="30" fillId="15" borderId="2" xfId="1" applyFont="1" applyFill="1" applyBorder="1" applyAlignment="1">
      <alignment horizontal="left" vertical="center" wrapText="1"/>
    </xf>
    <xf numFmtId="0" fontId="30" fillId="15" borderId="2" xfId="1" applyFont="1" applyFill="1" applyBorder="1" applyAlignment="1">
      <alignment horizontal="left" vertical="center"/>
    </xf>
    <xf numFmtId="0" fontId="13" fillId="16" borderId="2" xfId="1" applyFill="1" applyBorder="1" applyAlignment="1">
      <alignment horizontal="center" vertical="center"/>
    </xf>
    <xf numFmtId="0" fontId="13" fillId="16" borderId="2" xfId="1" applyFill="1" applyBorder="1" applyAlignment="1">
      <alignment vertical="center"/>
    </xf>
    <xf numFmtId="0" fontId="35" fillId="16" borderId="2" xfId="2" applyFont="1" applyFill="1" applyBorder="1" applyAlignment="1">
      <alignment horizontal="center" vertical="center"/>
    </xf>
    <xf numFmtId="0" fontId="30" fillId="16" borderId="2" xfId="1" applyFont="1" applyFill="1" applyBorder="1" applyAlignment="1">
      <alignment horizontal="center" vertical="center"/>
    </xf>
    <xf numFmtId="0" fontId="30" fillId="16" borderId="2" xfId="1" applyFont="1" applyFill="1" applyBorder="1" applyAlignment="1">
      <alignment horizontal="center" vertical="center" wrapText="1"/>
    </xf>
    <xf numFmtId="0" fontId="33" fillId="16" borderId="0" xfId="0" applyFont="1" applyFill="1" applyAlignment="1">
      <alignment horizontal="center" vertical="center" wrapText="1"/>
    </xf>
    <xf numFmtId="0" fontId="39" fillId="0" borderId="0" xfId="0" applyFont="1" applyAlignment="1">
      <alignment horizontal="center" vertical="center"/>
    </xf>
    <xf numFmtId="0" fontId="13" fillId="16" borderId="0" xfId="1" applyFill="1" applyAlignment="1">
      <alignment horizontal="center" vertical="center"/>
    </xf>
    <xf numFmtId="0" fontId="0" fillId="16" borderId="0" xfId="0" applyFill="1" applyAlignment="1">
      <alignment horizontal="center" vertical="center" wrapText="1"/>
    </xf>
    <xf numFmtId="0" fontId="35" fillId="8" borderId="2" xfId="2" applyFont="1" applyBorder="1" applyAlignment="1">
      <alignment horizontal="center" vertical="top"/>
    </xf>
    <xf numFmtId="0" fontId="39" fillId="16" borderId="0" xfId="0" applyFont="1" applyFill="1" applyAlignment="1">
      <alignment horizontal="center" vertical="center" wrapText="1"/>
    </xf>
    <xf numFmtId="0" fontId="33" fillId="15" borderId="0" xfId="0" applyFont="1" applyFill="1" applyAlignment="1">
      <alignment horizontal="center" vertical="center" wrapText="1"/>
    </xf>
    <xf numFmtId="0" fontId="26" fillId="0" borderId="2" xfId="1" applyFont="1" applyBorder="1" applyAlignment="1">
      <alignment wrapText="1"/>
    </xf>
    <xf numFmtId="0" fontId="23" fillId="15" borderId="0" xfId="1" applyFont="1" applyFill="1" applyBorder="1" applyAlignment="1">
      <alignment horizontal="center" vertical="center"/>
    </xf>
    <xf numFmtId="0" fontId="37" fillId="6" borderId="2" xfId="1" applyFont="1" applyFill="1" applyBorder="1" applyAlignment="1">
      <alignment horizontal="center" vertical="center" wrapText="1"/>
    </xf>
    <xf numFmtId="0" fontId="23" fillId="0" borderId="2" xfId="1" applyFont="1" applyBorder="1" applyAlignment="1">
      <alignment horizontal="center" vertical="center" wrapText="1"/>
    </xf>
    <xf numFmtId="0" fontId="39" fillId="0" borderId="2" xfId="1" applyFont="1" applyBorder="1" applyAlignment="1">
      <alignment horizontal="center" vertical="center"/>
    </xf>
    <xf numFmtId="0" fontId="18" fillId="15" borderId="2" xfId="1" applyFont="1" applyFill="1" applyBorder="1" applyAlignment="1">
      <alignment horizontal="center" vertical="center"/>
    </xf>
    <xf numFmtId="0" fontId="13" fillId="0" borderId="0" xfId="1" applyAlignment="1">
      <alignment horizontal="center" vertical="center" wrapText="1"/>
    </xf>
    <xf numFmtId="0" fontId="13" fillId="0" borderId="2" xfId="1" applyBorder="1" applyAlignment="1">
      <alignment horizontal="center" vertical="center" wrapText="1"/>
    </xf>
    <xf numFmtId="0" fontId="37" fillId="0" borderId="2" xfId="1" applyFont="1" applyBorder="1" applyAlignment="1">
      <alignment horizontal="center" vertical="center" wrapText="1"/>
    </xf>
    <xf numFmtId="0" fontId="37" fillId="0" borderId="2" xfId="1" applyFont="1" applyBorder="1" applyAlignment="1">
      <alignment horizontal="center" vertical="center"/>
    </xf>
    <xf numFmtId="0" fontId="13" fillId="6" borderId="2" xfId="1" applyFill="1" applyBorder="1" applyAlignment="1">
      <alignment horizontal="center"/>
    </xf>
    <xf numFmtId="0" fontId="23" fillId="16" borderId="2" xfId="1" applyFont="1" applyFill="1" applyBorder="1" applyAlignment="1">
      <alignment horizontal="center" vertical="center"/>
    </xf>
    <xf numFmtId="0" fontId="23" fillId="16" borderId="2" xfId="1" applyFont="1" applyFill="1" applyBorder="1" applyAlignment="1">
      <alignment horizontal="center" vertical="center" wrapText="1"/>
    </xf>
    <xf numFmtId="0" fontId="30" fillId="15" borderId="2" xfId="1" applyFont="1" applyFill="1" applyBorder="1" applyAlignment="1">
      <alignment vertical="center"/>
    </xf>
    <xf numFmtId="0" fontId="37" fillId="0" borderId="2" xfId="1" applyFont="1" applyBorder="1" applyAlignment="1">
      <alignment vertical="center" wrapText="1"/>
    </xf>
    <xf numFmtId="0" fontId="37" fillId="0" borderId="2" xfId="1" applyFont="1" applyBorder="1" applyAlignment="1">
      <alignment vertical="center"/>
    </xf>
    <xf numFmtId="0" fontId="43" fillId="6" borderId="2" xfId="1" applyFont="1" applyFill="1" applyBorder="1" applyAlignment="1">
      <alignment horizontal="center"/>
    </xf>
    <xf numFmtId="0" fontId="14" fillId="13" borderId="0" xfId="0" applyFont="1" applyFill="1" applyAlignment="1">
      <alignment wrapText="1"/>
    </xf>
    <xf numFmtId="0" fontId="14" fillId="0" borderId="0" xfId="0" applyFont="1" applyAlignment="1">
      <alignment wrapText="1"/>
    </xf>
    <xf numFmtId="0" fontId="37" fillId="13" borderId="2" xfId="1" applyFont="1" applyFill="1" applyBorder="1" applyAlignment="1">
      <alignment wrapText="1"/>
    </xf>
    <xf numFmtId="0" fontId="37" fillId="0" borderId="2" xfId="1" applyFont="1" applyBorder="1" applyAlignment="1">
      <alignment horizontal="left" vertical="center"/>
    </xf>
    <xf numFmtId="0" fontId="37" fillId="6" borderId="2" xfId="1" applyFont="1" applyFill="1" applyBorder="1" applyAlignment="1">
      <alignment horizontal="left" vertical="center"/>
    </xf>
    <xf numFmtId="17" fontId="43" fillId="6" borderId="2" xfId="1" applyNumberFormat="1" applyFont="1" applyFill="1" applyBorder="1"/>
    <xf numFmtId="0" fontId="36" fillId="16" borderId="0" xfId="0" applyFont="1" applyFill="1"/>
    <xf numFmtId="0" fontId="0" fillId="17" borderId="0" xfId="0" applyFill="1" applyAlignment="1">
      <alignment horizontal="center" vertical="center"/>
    </xf>
    <xf numFmtId="0" fontId="0" fillId="6" borderId="2" xfId="1" applyFont="1" applyFill="1" applyBorder="1" applyAlignment="1">
      <alignment horizontal="center" vertical="center" wrapText="1"/>
    </xf>
    <xf numFmtId="0" fontId="23" fillId="6" borderId="18" xfId="1" applyFont="1" applyFill="1" applyBorder="1" applyAlignment="1">
      <alignment horizontal="center" vertical="center" wrapText="1"/>
    </xf>
    <xf numFmtId="0" fontId="33" fillId="14" borderId="18" xfId="0" applyFont="1" applyFill="1" applyBorder="1" applyAlignment="1">
      <alignment horizontal="center" vertical="center" wrapText="1"/>
    </xf>
    <xf numFmtId="0" fontId="23" fillId="6" borderId="18" xfId="1" applyFont="1" applyFill="1" applyBorder="1" applyAlignment="1">
      <alignment wrapText="1"/>
    </xf>
    <xf numFmtId="0" fontId="0" fillId="0" borderId="18" xfId="0" applyBorder="1" applyAlignment="1">
      <alignment wrapText="1"/>
    </xf>
    <xf numFmtId="0" fontId="13" fillId="0" borderId="19" xfId="1" applyBorder="1" applyAlignment="1">
      <alignment vertical="center"/>
    </xf>
    <xf numFmtId="0" fontId="0" fillId="0" borderId="0" xfId="0" applyFont="1" applyAlignment="1">
      <alignment horizontal="center"/>
    </xf>
    <xf numFmtId="0" fontId="37" fillId="6" borderId="11" xfId="1" applyFont="1" applyFill="1" applyBorder="1" applyAlignment="1">
      <alignment horizontal="center" vertical="center"/>
    </xf>
    <xf numFmtId="0" fontId="0" fillId="17" borderId="0" xfId="0" applyFill="1" applyAlignment="1">
      <alignment horizontal="center"/>
    </xf>
    <xf numFmtId="0" fontId="14" fillId="0" borderId="9" xfId="1" applyFont="1" applyBorder="1" applyAlignment="1">
      <alignment vertical="center"/>
    </xf>
    <xf numFmtId="0" fontId="14" fillId="6" borderId="8" xfId="1" applyFont="1" applyFill="1" applyBorder="1" applyAlignment="1">
      <alignment vertical="center"/>
    </xf>
    <xf numFmtId="0" fontId="14" fillId="6" borderId="10" xfId="1" applyFont="1" applyFill="1" applyBorder="1" applyAlignment="1">
      <alignment vertical="center"/>
    </xf>
    <xf numFmtId="0" fontId="14" fillId="0" borderId="9" xfId="1" applyFont="1" applyBorder="1" applyAlignment="1">
      <alignment vertical="center" wrapText="1"/>
    </xf>
    <xf numFmtId="0" fontId="14" fillId="6" borderId="8" xfId="1" applyFont="1" applyFill="1" applyBorder="1" applyAlignment="1">
      <alignment vertical="center" wrapText="1"/>
    </xf>
    <xf numFmtId="0" fontId="37" fillId="17" borderId="2" xfId="1" applyFont="1" applyFill="1" applyBorder="1" applyAlignment="1">
      <alignment horizontal="center" vertical="center"/>
    </xf>
    <xf numFmtId="0" fontId="26" fillId="6" borderId="2" xfId="1" applyFont="1" applyFill="1" applyBorder="1" applyAlignment="1">
      <alignment horizontal="center" vertical="center"/>
    </xf>
    <xf numFmtId="0" fontId="35" fillId="18" borderId="2" xfId="2" applyFont="1" applyFill="1" applyBorder="1" applyAlignment="1">
      <alignment horizontal="center" vertical="center"/>
    </xf>
    <xf numFmtId="0" fontId="33" fillId="18" borderId="0" xfId="0" applyFont="1" applyFill="1" applyAlignment="1">
      <alignment horizontal="center" vertical="center" wrapText="1"/>
    </xf>
    <xf numFmtId="0" fontId="45" fillId="0" borderId="0" xfId="0" applyFont="1" applyAlignment="1">
      <alignment horizontal="center"/>
    </xf>
    <xf numFmtId="0" fontId="0" fillId="0" borderId="6" xfId="0" applyBorder="1" applyAlignment="1">
      <alignment horizontal="center" vertical="center" wrapText="1"/>
    </xf>
    <xf numFmtId="0" fontId="13" fillId="0" borderId="7" xfId="1" applyBorder="1" applyAlignment="1">
      <alignment horizontal="center" vertical="center"/>
    </xf>
    <xf numFmtId="0" fontId="15" fillId="6" borderId="2" xfId="1" applyFont="1" applyFill="1" applyBorder="1" applyAlignment="1">
      <alignment horizontal="center" vertical="center" wrapText="1"/>
    </xf>
    <xf numFmtId="0" fontId="0" fillId="0" borderId="0" xfId="0" applyBorder="1" applyAlignment="1">
      <alignment horizontal="center" vertical="center" wrapText="1"/>
    </xf>
    <xf numFmtId="0" fontId="44" fillId="7" borderId="0" xfId="0" applyFont="1" applyFill="1" applyAlignment="1">
      <alignment horizontal="center" wrapText="1"/>
    </xf>
    <xf numFmtId="0" fontId="13" fillId="0" borderId="0" xfId="1" applyAlignment="1">
      <alignment horizontal="center"/>
    </xf>
    <xf numFmtId="0" fontId="46" fillId="0" borderId="0" xfId="0" applyFont="1"/>
    <xf numFmtId="0" fontId="14" fillId="0" borderId="6" xfId="0" applyFont="1" applyBorder="1" applyAlignment="1">
      <alignment horizontal="center" wrapText="1"/>
    </xf>
    <xf numFmtId="0" fontId="37" fillId="6" borderId="2" xfId="1" applyFont="1" applyFill="1" applyBorder="1" applyAlignment="1">
      <alignment horizontal="center" wrapText="1"/>
    </xf>
    <xf numFmtId="0" fontId="14" fillId="0" borderId="0" xfId="0" applyFont="1" applyAlignment="1">
      <alignment horizontal="center"/>
    </xf>
    <xf numFmtId="0" fontId="14" fillId="0" borderId="0" xfId="0" applyFont="1" applyAlignment="1">
      <alignment horizontal="center" wrapText="1"/>
    </xf>
    <xf numFmtId="0" fontId="37" fillId="6" borderId="2" xfId="1" applyFont="1" applyFill="1" applyBorder="1" applyAlignment="1">
      <alignment horizontal="center"/>
    </xf>
    <xf numFmtId="0" fontId="14" fillId="0" borderId="0" xfId="0" applyFont="1" applyBorder="1" applyAlignment="1">
      <alignment horizontal="center"/>
    </xf>
    <xf numFmtId="0" fontId="37" fillId="6" borderId="11" xfId="1" applyFont="1" applyFill="1" applyBorder="1" applyAlignment="1">
      <alignment horizontal="center" wrapText="1"/>
    </xf>
    <xf numFmtId="0" fontId="37" fillId="6" borderId="12" xfId="1" applyFont="1" applyFill="1" applyBorder="1" applyAlignment="1">
      <alignment horizontal="center"/>
    </xf>
    <xf numFmtId="0" fontId="37" fillId="0" borderId="7" xfId="1" applyFont="1" applyBorder="1" applyAlignment="1">
      <alignment horizontal="center" vertical="center" wrapText="1"/>
    </xf>
    <xf numFmtId="0" fontId="37" fillId="6" borderId="11" xfId="1" applyFont="1" applyFill="1" applyBorder="1" applyAlignment="1">
      <alignment horizontal="center" vertical="center" wrapText="1"/>
    </xf>
    <xf numFmtId="0" fontId="47" fillId="6" borderId="2" xfId="1" applyFont="1" applyFill="1" applyBorder="1"/>
    <xf numFmtId="0" fontId="47" fillId="0" borderId="2" xfId="1" applyFont="1" applyBorder="1"/>
    <xf numFmtId="0" fontId="47" fillId="6" borderId="2" xfId="1" applyFont="1" applyFill="1" applyBorder="1" applyAlignment="1">
      <alignment wrapText="1"/>
    </xf>
    <xf numFmtId="0" fontId="47" fillId="0" borderId="2" xfId="1" applyFont="1" applyBorder="1" applyAlignment="1">
      <alignment wrapText="1"/>
    </xf>
    <xf numFmtId="0" fontId="0" fillId="0" borderId="0" xfId="0" applyFont="1"/>
    <xf numFmtId="0" fontId="48" fillId="6" borderId="2" xfId="1" applyFont="1" applyFill="1" applyBorder="1"/>
    <xf numFmtId="0" fontId="48" fillId="0" borderId="2" xfId="1" applyFont="1" applyBorder="1"/>
    <xf numFmtId="0" fontId="26" fillId="0" borderId="2" xfId="1" applyFont="1" applyBorder="1"/>
    <xf numFmtId="0" fontId="26" fillId="6" borderId="2" xfId="1" applyFont="1" applyFill="1" applyBorder="1"/>
    <xf numFmtId="0" fontId="37" fillId="0" borderId="2" xfId="1" applyFont="1" applyBorder="1" applyAlignment="1">
      <alignment wrapText="1"/>
    </xf>
    <xf numFmtId="0" fontId="37" fillId="6" borderId="2" xfId="1" applyFont="1" applyFill="1" applyBorder="1"/>
    <xf numFmtId="0" fontId="37" fillId="0" borderId="2" xfId="1" applyFont="1" applyBorder="1"/>
    <xf numFmtId="0" fontId="43" fillId="6" borderId="2" xfId="1" applyFont="1" applyFill="1" applyBorder="1"/>
    <xf numFmtId="0" fontId="14" fillId="6" borderId="2" xfId="1" applyFont="1" applyFill="1" applyBorder="1"/>
    <xf numFmtId="0" fontId="49" fillId="0" borderId="0" xfId="0" applyFont="1"/>
    <xf numFmtId="0" fontId="13" fillId="14" borderId="0" xfId="1" applyFill="1" applyAlignment="1">
      <alignment horizontal="center" vertical="center"/>
    </xf>
    <xf numFmtId="0" fontId="0" fillId="14" borderId="0" xfId="0" applyFill="1" applyAlignment="1">
      <alignment horizontal="right" vertical="center"/>
    </xf>
    <xf numFmtId="0" fontId="23" fillId="14" borderId="2" xfId="1" applyFont="1" applyFill="1" applyBorder="1" applyAlignment="1">
      <alignment horizontal="center" vertical="center" wrapText="1"/>
    </xf>
    <xf numFmtId="0" fontId="13" fillId="14" borderId="2" xfId="1" applyFill="1" applyBorder="1" applyAlignment="1">
      <alignment horizontal="center" vertical="center"/>
    </xf>
    <xf numFmtId="0" fontId="35" fillId="14" borderId="2" xfId="2" applyFont="1" applyFill="1" applyBorder="1" applyAlignment="1">
      <alignment horizontal="center" vertical="center"/>
    </xf>
    <xf numFmtId="0" fontId="0" fillId="0" borderId="1" xfId="0" applyFont="1" applyBorder="1" applyAlignment="1">
      <alignment horizontal="center" vertical="center"/>
    </xf>
    <xf numFmtId="164" fontId="0" fillId="5" borderId="1" xfId="0" applyNumberFormat="1" applyFont="1" applyFill="1" applyBorder="1"/>
    <xf numFmtId="0" fontId="0" fillId="5" borderId="1" xfId="0" applyFont="1" applyFill="1" applyBorder="1"/>
    <xf numFmtId="0" fontId="14" fillId="6" borderId="2" xfId="1" applyFont="1" applyFill="1" applyBorder="1" applyAlignment="1">
      <alignment horizontal="center" vertical="center"/>
    </xf>
    <xf numFmtId="0" fontId="0" fillId="14" borderId="0" xfId="0" applyFill="1" applyAlignment="1">
      <alignment horizontal="center" vertical="center" wrapText="1"/>
    </xf>
    <xf numFmtId="0" fontId="0" fillId="6" borderId="2" xfId="1" applyFont="1" applyFill="1" applyBorder="1" applyAlignment="1">
      <alignment horizontal="center" vertical="center"/>
    </xf>
    <xf numFmtId="0" fontId="0" fillId="16" borderId="0" xfId="0" applyFill="1" applyAlignment="1">
      <alignment horizontal="center" vertical="center"/>
    </xf>
    <xf numFmtId="0" fontId="50" fillId="17" borderId="0" xfId="0" applyFont="1" applyFill="1" applyAlignment="1">
      <alignment horizontal="center" vertical="center"/>
    </xf>
    <xf numFmtId="49" fontId="0" fillId="6" borderId="18" xfId="1" applyNumberFormat="1" applyFont="1" applyFill="1" applyBorder="1" applyAlignment="1">
      <alignment horizontal="center" vertical="center" wrapText="1"/>
    </xf>
    <xf numFmtId="0" fontId="0" fillId="15" borderId="0" xfId="0" applyFill="1" applyAlignment="1">
      <alignment horizontal="center" vertical="center"/>
    </xf>
    <xf numFmtId="0" fontId="14" fillId="0" borderId="0" xfId="0" applyFont="1" applyAlignment="1">
      <alignment vertical="center" wrapText="1"/>
    </xf>
    <xf numFmtId="0" fontId="14" fillId="0" borderId="2" xfId="1" applyFont="1" applyBorder="1" applyAlignment="1">
      <alignment horizontal="center" vertical="center"/>
    </xf>
    <xf numFmtId="0" fontId="23" fillId="15" borderId="0" xfId="1" applyFont="1" applyFill="1" applyAlignment="1">
      <alignment horizontal="center" vertical="center"/>
    </xf>
    <xf numFmtId="0" fontId="24" fillId="10" borderId="0" xfId="0" applyFont="1" applyFill="1" applyAlignment="1">
      <alignment horizontal="center" vertical="center" textRotation="90"/>
    </xf>
    <xf numFmtId="0" fontId="14" fillId="16" borderId="0" xfId="0" applyFont="1" applyFill="1" applyAlignment="1">
      <alignment horizontal="center" vertical="center" wrapText="1"/>
    </xf>
    <xf numFmtId="0" fontId="14" fillId="0" borderId="0" xfId="0" applyFont="1" applyAlignment="1">
      <alignment horizontal="center" vertical="center"/>
    </xf>
    <xf numFmtId="0" fontId="51" fillId="0" borderId="0" xfId="0" applyFont="1"/>
    <xf numFmtId="0" fontId="52" fillId="0" borderId="0" xfId="0" applyFont="1"/>
    <xf numFmtId="0" fontId="16" fillId="0" borderId="1" xfId="0" applyFont="1" applyBorder="1" applyAlignment="1">
      <alignment horizontal="center" vertical="center"/>
    </xf>
    <xf numFmtId="0" fontId="37" fillId="6" borderId="0" xfId="1" applyFont="1" applyFill="1" applyBorder="1" applyAlignment="1">
      <alignment horizontal="center" vertical="center"/>
    </xf>
    <xf numFmtId="0" fontId="37" fillId="6" borderId="0" xfId="1" applyFont="1" applyFill="1" applyBorder="1" applyAlignment="1">
      <alignment horizontal="center" wrapText="1"/>
    </xf>
    <xf numFmtId="0" fontId="30" fillId="6" borderId="0" xfId="1" applyFont="1" applyFill="1" applyBorder="1" applyAlignment="1">
      <alignment horizontal="center" vertical="center" wrapText="1"/>
    </xf>
    <xf numFmtId="0" fontId="26" fillId="6" borderId="0" xfId="1" applyFont="1" applyFill="1" applyBorder="1"/>
    <xf numFmtId="0" fontId="26" fillId="0" borderId="0" xfId="1" applyFont="1" applyBorder="1"/>
    <xf numFmtId="0" fontId="37" fillId="6" borderId="11" xfId="1" applyFont="1" applyFill="1" applyBorder="1" applyAlignment="1">
      <alignment horizontal="center"/>
    </xf>
    <xf numFmtId="0" fontId="14" fillId="0" borderId="6" xfId="0" applyFont="1" applyBorder="1" applyAlignment="1">
      <alignment horizontal="center" vertical="center" wrapText="1"/>
    </xf>
    <xf numFmtId="0" fontId="37" fillId="6" borderId="0" xfId="1" applyFont="1" applyFill="1" applyAlignment="1">
      <alignment horizontal="center" wrapText="1"/>
    </xf>
    <xf numFmtId="0" fontId="17" fillId="2" borderId="14" xfId="0" applyNumberFormat="1" applyFont="1" applyFill="1" applyBorder="1" applyAlignment="1">
      <alignment horizontal="center" vertical="center" wrapText="1"/>
    </xf>
    <xf numFmtId="0" fontId="0" fillId="0" borderId="0" xfId="0" applyNumberFormat="1" applyAlignment="1">
      <alignment horizontal="center" vertical="center"/>
    </xf>
    <xf numFmtId="0" fontId="33" fillId="14" borderId="0" xfId="0" applyNumberFormat="1" applyFont="1" applyFill="1" applyAlignment="1">
      <alignment horizontal="center" vertical="center" wrapText="1"/>
    </xf>
    <xf numFmtId="0" fontId="37" fillId="6" borderId="2" xfId="1" applyNumberFormat="1" applyFont="1" applyFill="1" applyBorder="1" applyAlignment="1">
      <alignment wrapText="1"/>
    </xf>
    <xf numFmtId="0" fontId="43" fillId="6" borderId="2" xfId="1" applyNumberFormat="1" applyFont="1" applyFill="1" applyBorder="1"/>
    <xf numFmtId="0" fontId="22" fillId="9" borderId="2" xfId="3" applyNumberFormat="1" applyBorder="1"/>
    <xf numFmtId="0" fontId="0" fillId="0" borderId="0" xfId="0" applyNumberFormat="1"/>
    <xf numFmtId="0" fontId="23" fillId="6" borderId="2" xfId="1" applyNumberFormat="1" applyFont="1" applyFill="1" applyBorder="1"/>
    <xf numFmtId="0" fontId="16" fillId="0" borderId="1" xfId="0" applyNumberFormat="1" applyFont="1" applyBorder="1" applyAlignment="1">
      <alignment vertical="center"/>
    </xf>
    <xf numFmtId="0" fontId="13" fillId="6" borderId="2" xfId="1" applyFill="1" applyBorder="1" applyAlignment="1">
      <alignment vertical="center" wrapText="1"/>
    </xf>
    <xf numFmtId="0" fontId="37" fillId="6" borderId="12" xfId="1" applyFont="1" applyFill="1" applyBorder="1" applyAlignment="1">
      <alignment horizontal="center" vertical="center"/>
    </xf>
    <xf numFmtId="0" fontId="53" fillId="6" borderId="2" xfId="1" applyFont="1" applyFill="1" applyBorder="1" applyAlignment="1">
      <alignment horizontal="center"/>
    </xf>
    <xf numFmtId="0" fontId="33" fillId="18" borderId="0" xfId="0" applyFont="1" applyFill="1" applyAlignment="1">
      <alignment horizontal="left" vertical="center" wrapText="1"/>
    </xf>
    <xf numFmtId="0" fontId="31" fillId="0" borderId="0" xfId="0" applyFont="1" applyAlignment="1">
      <alignment horizontal="center" vertical="center" wrapText="1"/>
    </xf>
    <xf numFmtId="0" fontId="33" fillId="13" borderId="0" xfId="0" applyFont="1" applyFill="1" applyAlignment="1">
      <alignment horizontal="center" vertical="center" wrapText="1"/>
    </xf>
    <xf numFmtId="0" fontId="41" fillId="0" borderId="0" xfId="0" applyFont="1" applyAlignment="1">
      <alignment horizontal="center" vertical="center" wrapText="1"/>
    </xf>
    <xf numFmtId="0" fontId="13" fillId="6" borderId="18" xfId="1" applyFill="1" applyBorder="1" applyAlignment="1">
      <alignment horizontal="center" vertical="center" wrapText="1"/>
    </xf>
    <xf numFmtId="0" fontId="30" fillId="6" borderId="18" xfId="1" applyFont="1" applyFill="1" applyBorder="1" applyAlignment="1">
      <alignment horizontal="center" vertical="center" wrapText="1"/>
    </xf>
    <xf numFmtId="0" fontId="13" fillId="6" borderId="2" xfId="1" applyFill="1" applyBorder="1" applyAlignment="1">
      <alignment horizontal="center" vertical="center" wrapText="1"/>
    </xf>
    <xf numFmtId="0" fontId="0" fillId="13" borderId="0" xfId="0" applyFill="1" applyAlignment="1">
      <alignment vertical="center" wrapText="1"/>
    </xf>
    <xf numFmtId="15" fontId="26" fillId="6" borderId="2" xfId="1" applyNumberFormat="1" applyFont="1" applyFill="1" applyBorder="1" applyAlignment="1">
      <alignment horizontal="left" vertical="center"/>
    </xf>
    <xf numFmtId="15" fontId="0" fillId="0" borderId="0" xfId="0" applyNumberFormat="1" applyAlignment="1">
      <alignment horizontal="left"/>
    </xf>
    <xf numFmtId="0" fontId="14" fillId="0" borderId="0" xfId="0" applyFont="1" applyAlignment="1">
      <alignment horizontal="center" vertical="center" wrapText="1"/>
    </xf>
    <xf numFmtId="0" fontId="0" fillId="0" borderId="6" xfId="0" applyBorder="1" applyAlignment="1">
      <alignment vertical="center"/>
    </xf>
    <xf numFmtId="0" fontId="23" fillId="6" borderId="2" xfId="1" applyFont="1" applyFill="1" applyBorder="1" applyAlignment="1">
      <alignment vertical="center"/>
    </xf>
    <xf numFmtId="0" fontId="45" fillId="0" borderId="0" xfId="0" applyFont="1" applyAlignment="1">
      <alignment horizontal="center" vertical="center"/>
    </xf>
    <xf numFmtId="0" fontId="44" fillId="7" borderId="0" xfId="0" applyFont="1" applyFill="1" applyAlignment="1">
      <alignment horizontal="center" vertical="center" wrapText="1"/>
    </xf>
    <xf numFmtId="0" fontId="37" fillId="6" borderId="0" xfId="1" applyFont="1" applyFill="1" applyBorder="1" applyAlignment="1">
      <alignment horizontal="center" vertical="center" wrapText="1"/>
    </xf>
    <xf numFmtId="0" fontId="23" fillId="6" borderId="11" xfId="1" applyFont="1" applyFill="1" applyBorder="1" applyAlignment="1">
      <alignment vertical="center"/>
    </xf>
    <xf numFmtId="0" fontId="33" fillId="19" borderId="0" xfId="0" applyFont="1" applyFill="1" applyAlignment="1">
      <alignment horizontal="center" vertical="center" wrapText="1"/>
    </xf>
    <xf numFmtId="0" fontId="55" fillId="6" borderId="2" xfId="1" applyFont="1" applyFill="1" applyBorder="1" applyAlignment="1">
      <alignment horizontal="center" vertical="center"/>
    </xf>
    <xf numFmtId="0" fontId="23" fillId="14" borderId="2" xfId="1" applyFont="1" applyFill="1" applyBorder="1"/>
    <xf numFmtId="0" fontId="13" fillId="14" borderId="2" xfId="1" applyFill="1" applyBorder="1"/>
    <xf numFmtId="0" fontId="26" fillId="14" borderId="2" xfId="1" applyFont="1" applyFill="1" applyBorder="1"/>
    <xf numFmtId="0" fontId="23" fillId="14" borderId="2" xfId="1" applyFont="1" applyFill="1" applyBorder="1" applyAlignment="1">
      <alignment horizontal="center"/>
    </xf>
    <xf numFmtId="0" fontId="35" fillId="14" borderId="2" xfId="2" applyFont="1" applyFill="1" applyBorder="1" applyAlignment="1">
      <alignment horizontal="left" vertical="top"/>
    </xf>
    <xf numFmtId="14" fontId="23" fillId="6" borderId="2" xfId="1" applyNumberFormat="1" applyFont="1" applyFill="1" applyBorder="1"/>
    <xf numFmtId="0" fontId="0" fillId="0" borderId="18" xfId="0" applyBorder="1" applyAlignment="1">
      <alignment horizontal="center" wrapText="1"/>
    </xf>
    <xf numFmtId="15" fontId="0" fillId="0" borderId="0" xfId="0" applyNumberFormat="1" applyAlignment="1">
      <alignment wrapText="1"/>
    </xf>
    <xf numFmtId="0" fontId="13" fillId="14" borderId="0" xfId="1" applyFill="1"/>
    <xf numFmtId="0" fontId="0" fillId="14" borderId="0" xfId="0" applyFill="1" applyAlignment="1"/>
    <xf numFmtId="0" fontId="0" fillId="14" borderId="0" xfId="0" applyFill="1"/>
    <xf numFmtId="0" fontId="0" fillId="14" borderId="0" xfId="0" applyFill="1" applyAlignment="1">
      <alignment horizontal="center"/>
    </xf>
    <xf numFmtId="0" fontId="15" fillId="14" borderId="2" xfId="1" applyFont="1" applyFill="1" applyBorder="1"/>
    <xf numFmtId="0" fontId="16" fillId="0" borderId="1" xfId="0" applyFont="1" applyBorder="1"/>
    <xf numFmtId="0" fontId="13" fillId="0" borderId="1" xfId="1" applyBorder="1"/>
    <xf numFmtId="0" fontId="30" fillId="0" borderId="2" xfId="1" applyFont="1" applyBorder="1"/>
    <xf numFmtId="0" fontId="0" fillId="14" borderId="0" xfId="0" applyFill="1" applyAlignment="1">
      <alignment horizontal="center" vertical="center"/>
    </xf>
    <xf numFmtId="0" fontId="37" fillId="13" borderId="18" xfId="1" applyFont="1" applyFill="1" applyBorder="1" applyAlignment="1">
      <alignment vertical="center" wrapText="1"/>
    </xf>
    <xf numFmtId="0" fontId="37" fillId="6" borderId="18" xfId="1" applyFont="1" applyFill="1" applyBorder="1" applyAlignment="1">
      <alignment horizontal="center" vertical="center"/>
    </xf>
    <xf numFmtId="0" fontId="13" fillId="6" borderId="18" xfId="1" applyFill="1" applyBorder="1" applyAlignment="1">
      <alignment vertical="center"/>
    </xf>
    <xf numFmtId="0" fontId="30" fillId="6" borderId="18" xfId="1" applyFont="1" applyFill="1" applyBorder="1" applyAlignment="1">
      <alignment vertical="center" wrapText="1"/>
    </xf>
    <xf numFmtId="0" fontId="35" fillId="8" borderId="18" xfId="2" applyFont="1" applyBorder="1" applyAlignment="1">
      <alignment horizontal="left" vertical="top"/>
    </xf>
    <xf numFmtId="0" fontId="30" fillId="6" borderId="18" xfId="1" applyFont="1" applyFill="1" applyBorder="1" applyAlignment="1">
      <alignment vertical="center"/>
    </xf>
    <xf numFmtId="0" fontId="0" fillId="0" borderId="18" xfId="0" applyBorder="1"/>
    <xf numFmtId="0" fontId="0" fillId="13" borderId="18" xfId="0" applyFill="1" applyBorder="1" applyAlignment="1">
      <alignment vertical="center" wrapText="1"/>
    </xf>
    <xf numFmtId="0" fontId="0" fillId="0" borderId="18" xfId="0" applyBorder="1" applyAlignment="1">
      <alignment horizontal="center" vertical="center"/>
    </xf>
    <xf numFmtId="0" fontId="13" fillId="0" borderId="18" xfId="1" applyBorder="1" applyAlignment="1">
      <alignment vertical="center"/>
    </xf>
    <xf numFmtId="0" fontId="15" fillId="0" borderId="18" xfId="0" applyFont="1" applyBorder="1" applyAlignment="1">
      <alignment horizontal="center" vertical="center" wrapText="1"/>
    </xf>
    <xf numFmtId="0" fontId="33" fillId="14" borderId="18" xfId="0" applyFont="1" applyFill="1" applyBorder="1" applyAlignment="1">
      <alignment vertical="center" wrapText="1"/>
    </xf>
    <xf numFmtId="0" fontId="15" fillId="0" borderId="18" xfId="0" applyFont="1" applyBorder="1" applyAlignment="1">
      <alignment vertical="center" wrapText="1"/>
    </xf>
    <xf numFmtId="0" fontId="37" fillId="13" borderId="18" xfId="1" applyFont="1" applyFill="1" applyBorder="1" applyAlignment="1">
      <alignment wrapText="1"/>
    </xf>
    <xf numFmtId="0" fontId="0" fillId="13" borderId="18" xfId="0" applyFill="1" applyBorder="1" applyAlignment="1">
      <alignment wrapText="1"/>
    </xf>
    <xf numFmtId="0" fontId="13" fillId="0" borderId="18" xfId="1" applyBorder="1" applyAlignment="1">
      <alignment horizontal="center" vertical="center"/>
    </xf>
    <xf numFmtId="0" fontId="30" fillId="15" borderId="18" xfId="1" applyFont="1" applyFill="1" applyBorder="1" applyAlignment="1">
      <alignment vertical="center"/>
    </xf>
    <xf numFmtId="0" fontId="37" fillId="0" borderId="18" xfId="1" applyFont="1" applyBorder="1" applyAlignment="1">
      <alignment vertical="center" wrapText="1"/>
    </xf>
    <xf numFmtId="0" fontId="37" fillId="6" borderId="18" xfId="1" applyFont="1" applyFill="1" applyBorder="1" applyAlignment="1">
      <alignment vertical="center" wrapText="1"/>
    </xf>
    <xf numFmtId="0" fontId="13" fillId="6" borderId="18" xfId="1" applyFill="1" applyBorder="1"/>
    <xf numFmtId="0" fontId="13" fillId="0" borderId="18" xfId="1" applyBorder="1"/>
    <xf numFmtId="0" fontId="15" fillId="0" borderId="18" xfId="0" applyFont="1" applyBorder="1" applyAlignment="1">
      <alignment horizontal="left" vertical="center" wrapText="1"/>
    </xf>
    <xf numFmtId="0" fontId="37" fillId="0" borderId="18" xfId="1" applyFont="1" applyBorder="1" applyAlignment="1">
      <alignment vertical="center"/>
    </xf>
    <xf numFmtId="0" fontId="43" fillId="6" borderId="18" xfId="1" applyFont="1" applyFill="1" applyBorder="1" applyAlignment="1">
      <alignment horizontal="center"/>
    </xf>
    <xf numFmtId="0" fontId="23" fillId="6" borderId="18" xfId="1" applyFont="1" applyFill="1" applyBorder="1"/>
    <xf numFmtId="0" fontId="37" fillId="6" borderId="18" xfId="1" applyFont="1" applyFill="1" applyBorder="1" applyAlignment="1">
      <alignment vertical="center"/>
    </xf>
    <xf numFmtId="0" fontId="0" fillId="13" borderId="18" xfId="0" applyFill="1" applyBorder="1"/>
    <xf numFmtId="0" fontId="0" fillId="0" borderId="18" xfId="0" applyBorder="1" applyAlignment="1">
      <alignment horizontal="center"/>
    </xf>
    <xf numFmtId="0" fontId="23" fillId="0" borderId="18" xfId="1" applyFont="1" applyBorder="1"/>
    <xf numFmtId="0" fontId="13" fillId="0" borderId="21" xfId="1" applyBorder="1" applyAlignment="1">
      <alignment vertical="center"/>
    </xf>
    <xf numFmtId="0" fontId="35" fillId="8" borderId="21" xfId="2" applyFont="1" applyBorder="1" applyAlignment="1">
      <alignment horizontal="left" vertical="top"/>
    </xf>
    <xf numFmtId="0" fontId="35" fillId="8" borderId="19" xfId="2" applyFont="1" applyBorder="1" applyAlignment="1">
      <alignment horizontal="left" vertical="top"/>
    </xf>
    <xf numFmtId="0" fontId="26" fillId="0" borderId="19" xfId="1" applyFont="1" applyBorder="1" applyAlignment="1">
      <alignment horizontal="left" vertical="center" wrapText="1"/>
    </xf>
    <xf numFmtId="0" fontId="13" fillId="15" borderId="0" xfId="1" applyFill="1" applyAlignment="1">
      <alignment vertical="center"/>
    </xf>
    <xf numFmtId="0" fontId="29" fillId="15" borderId="0" xfId="1" applyFont="1" applyFill="1" applyAlignment="1">
      <alignment horizontal="left" vertical="center" wrapText="1"/>
    </xf>
    <xf numFmtId="0" fontId="29" fillId="15" borderId="0" xfId="1" applyFont="1" applyFill="1" applyAlignment="1">
      <alignment horizontal="left" vertical="center" wrapText="1" readingOrder="1"/>
    </xf>
    <xf numFmtId="0" fontId="52" fillId="0" borderId="0" xfId="0" applyFont="1" applyAlignment="1">
      <alignment wrapText="1"/>
    </xf>
    <xf numFmtId="0" fontId="47" fillId="6" borderId="2" xfId="1" applyFont="1" applyFill="1" applyBorder="1" applyAlignment="1">
      <alignment vertical="center" wrapText="1"/>
    </xf>
    <xf numFmtId="0" fontId="47" fillId="12" borderId="2" xfId="1" applyFont="1" applyFill="1" applyBorder="1" applyAlignment="1">
      <alignment wrapText="1"/>
    </xf>
    <xf numFmtId="0" fontId="15" fillId="12" borderId="0" xfId="0" applyFont="1" applyFill="1" applyAlignment="1">
      <alignment horizontal="center" vertical="center" wrapText="1"/>
    </xf>
    <xf numFmtId="0" fontId="13" fillId="12" borderId="2" xfId="1" applyFill="1" applyBorder="1" applyAlignment="1">
      <alignment horizontal="left" vertical="center" wrapText="1"/>
    </xf>
    <xf numFmtId="0" fontId="24" fillId="10" borderId="4" xfId="0" applyFont="1" applyFill="1" applyBorder="1" applyAlignment="1">
      <alignment horizontal="center" vertical="center" textRotation="90"/>
    </xf>
    <xf numFmtId="0" fontId="24" fillId="10" borderId="13" xfId="0" applyFont="1" applyFill="1" applyBorder="1" applyAlignment="1">
      <alignment horizontal="center" vertical="center" textRotation="90"/>
    </xf>
    <xf numFmtId="0" fontId="24" fillId="10" borderId="16" xfId="0" applyFont="1" applyFill="1" applyBorder="1" applyAlignment="1">
      <alignment horizontal="center" vertical="center" textRotation="90"/>
    </xf>
    <xf numFmtId="0" fontId="24" fillId="10" borderId="17" xfId="0" applyFont="1" applyFill="1" applyBorder="1" applyAlignment="1">
      <alignment horizontal="center" vertical="center" textRotation="90"/>
    </xf>
    <xf numFmtId="0" fontId="24" fillId="11" borderId="4" xfId="0" applyFont="1" applyFill="1" applyBorder="1" applyAlignment="1">
      <alignment horizontal="center" vertical="center" textRotation="90"/>
    </xf>
    <xf numFmtId="0" fontId="24" fillId="10" borderId="15" xfId="0" applyFont="1" applyFill="1" applyBorder="1" applyAlignment="1">
      <alignment horizontal="center" vertical="center" textRotation="90"/>
    </xf>
    <xf numFmtId="0" fontId="24" fillId="10" borderId="5" xfId="0" applyFont="1" applyFill="1" applyBorder="1" applyAlignment="1">
      <alignment horizontal="center" vertical="center" textRotation="90"/>
    </xf>
    <xf numFmtId="0" fontId="24" fillId="10" borderId="20" xfId="0" applyFont="1" applyFill="1" applyBorder="1" applyAlignment="1">
      <alignment horizontal="center" vertical="center" textRotation="90"/>
    </xf>
    <xf numFmtId="0" fontId="1" fillId="6" borderId="2" xfId="1" applyFont="1" applyFill="1" applyBorder="1" applyAlignment="1">
      <alignment horizontal="center" vertical="center" wrapText="1"/>
    </xf>
    <xf numFmtId="0" fontId="1" fillId="12" borderId="0" xfId="0" applyFont="1" applyFill="1" applyAlignment="1">
      <alignment horizontal="left" vertical="center" wrapText="1"/>
    </xf>
    <xf numFmtId="0" fontId="1" fillId="7" borderId="0" xfId="0" applyFont="1" applyFill="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NumberFormat="1" applyFont="1" applyAlignment="1">
      <alignment horizontal="left" vertical="center"/>
    </xf>
  </cellXfs>
  <cellStyles count="4">
    <cellStyle name="Bad" xfId="3" builtinId="27"/>
    <cellStyle name="Good" xfId="2" builtinId="26"/>
    <cellStyle name="Hyperlink" xfId="1" builtinId="8"/>
    <cellStyle name="Normal" xfId="0" builtinId="0"/>
  </cellStyles>
  <dxfs count="150">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vertical="center"/>
    </dxf>
    <dxf>
      <alignment vertical="center"/>
    </dxf>
    <dxf>
      <alignment vertical="center"/>
    </dxf>
    <dxf>
      <alignment vertical="center"/>
    </dxf>
    <dxf>
      <alignment vertical="center"/>
    </dxf>
    <dxf>
      <alignment vertic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alignment horizontal="center"/>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alignment horizontal="center"/>
    </dxf>
    <dxf>
      <numFmt numFmtId="0" formatCode="Genera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alignment horizontal="center"/>
    </dxf>
    <dxf>
      <alignment horizontal="center"/>
    </dxf>
    <dxf>
      <alignment horizontal="center"/>
    </dxf>
    <dxf>
      <alignment horizontal="center"/>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alignment horizontal="center"/>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4F81BD"/>
      <rgbColor rgb="FFB7B7B7"/>
      <rgbColor rgb="FF878787"/>
      <rgbColor rgb="FF93A9CE"/>
      <rgbColor rgb="FFAB4744"/>
      <rgbColor rgb="FFF9F9F9"/>
      <rgbColor rgb="FFF2F2F2"/>
      <rgbColor rgb="FF660066"/>
      <rgbColor rgb="FFDC853E"/>
      <rgbColor rgb="FF0B5394"/>
      <rgbColor rgb="FFD9D9D9"/>
      <rgbColor rgb="FF000080"/>
      <rgbColor rgb="FFFF00FF"/>
      <rgbColor rgb="FFFFFF00"/>
      <rgbColor rgb="FF00FFFF"/>
      <rgbColor rgb="FF800080"/>
      <rgbColor rgb="FF800000"/>
      <rgbColor rgb="FF008080"/>
      <rgbColor rgb="FF0000FF"/>
      <rgbColor rgb="FF00CCFF"/>
      <rgbColor rgb="FFCCFFFF"/>
      <rgbColor rgb="FFCCFFCC"/>
      <rgbColor rgb="FFFFEB9C"/>
      <rgbColor rgb="FFB8CD97"/>
      <rgbColor rgb="FFD09493"/>
      <rgbColor rgb="FF8AA64F"/>
      <rgbColor rgb="FFFFC7CE"/>
      <rgbColor rgb="FF4672A8"/>
      <rgbColor rgb="FF33CCCC"/>
      <rgbColor rgb="FF9BBB59"/>
      <rgbColor rgb="FFFFC72C"/>
      <rgbColor rgb="FFFF9900"/>
      <rgbColor rgb="FFFF6600"/>
      <rgbColor rgb="FF725990"/>
      <rgbColor rgb="FFA99BBD"/>
      <rgbColor rgb="FF003C71"/>
      <rgbColor rgb="FF4299B0"/>
      <rgbColor rgb="FF003300"/>
      <rgbColor rgb="FF333300"/>
      <rgbColor rgb="FF993300"/>
      <rgbColor rgb="FFC0504D"/>
      <rgbColor rgb="FF8064A2"/>
      <rgbColor rgb="FF595959"/>
      <rgbColor rgb="00003366"/>
      <rgbColor rgb="00339966"/>
      <rgbColor rgb="00003300"/>
      <rgbColor rgb="00333300"/>
      <rgbColor rgb="00993300"/>
      <rgbColor rgb="00993366"/>
      <rgbColor rgb="00333399"/>
      <rgbColor rgb="00333333"/>
    </indexedColors>
    <mruColors>
      <color rgb="FFDCE6F1"/>
      <color rgb="FFC6EFCE"/>
      <color rgb="FFECD7D6"/>
      <color rgb="FF3166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Publications per Year</a:t>
            </a:r>
          </a:p>
        </c:rich>
      </c:tx>
      <c:overlay val="0"/>
      <c:spPr>
        <a:noFill/>
        <a:ln w="0">
          <a:noFill/>
        </a:ln>
      </c:spPr>
    </c:title>
    <c:autoTitleDeleted val="0"/>
    <c:plotArea>
      <c:layout/>
      <c:barChart>
        <c:barDir val="col"/>
        <c:grouping val="clustered"/>
        <c:varyColors val="0"/>
        <c:ser>
          <c:idx val="0"/>
          <c:order val="0"/>
          <c:tx>
            <c:strRef>
              <c:f>'Statistics Dashboard'!$D$14</c:f>
              <c:strCache>
                <c:ptCount val="1"/>
                <c:pt idx="0">
                  <c:v>Papers</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'Statistics Dashboard'!$B$15:$B$28</c:f>
              <c:numCache>
                <c:formatCode>General</c:formatCode>
                <c:ptCount val="14"/>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numCache>
            </c:numRef>
          </c:cat>
          <c:val>
            <c:numRef>
              <c:f>'Statistics Dashboard'!$D$15:$D$28</c:f>
              <c:numCache>
                <c:formatCode>General</c:formatCode>
                <c:ptCount val="14"/>
                <c:pt idx="0">
                  <c:v>2</c:v>
                </c:pt>
                <c:pt idx="1">
                  <c:v>1</c:v>
                </c:pt>
                <c:pt idx="2">
                  <c:v>0</c:v>
                </c:pt>
                <c:pt idx="3">
                  <c:v>0</c:v>
                </c:pt>
                <c:pt idx="4">
                  <c:v>1</c:v>
                </c:pt>
                <c:pt idx="5">
                  <c:v>3</c:v>
                </c:pt>
                <c:pt idx="6">
                  <c:v>4</c:v>
                </c:pt>
                <c:pt idx="7">
                  <c:v>9</c:v>
                </c:pt>
                <c:pt idx="8">
                  <c:v>5</c:v>
                </c:pt>
                <c:pt idx="9">
                  <c:v>15</c:v>
                </c:pt>
                <c:pt idx="10">
                  <c:v>9</c:v>
                </c:pt>
                <c:pt idx="11">
                  <c:v>11</c:v>
                </c:pt>
                <c:pt idx="12">
                  <c:v>12</c:v>
                </c:pt>
                <c:pt idx="13">
                  <c:v>0</c:v>
                </c:pt>
              </c:numCache>
            </c:numRef>
          </c:val>
          <c:extLst>
            <c:ext xmlns:c16="http://schemas.microsoft.com/office/drawing/2014/chart" uri="{C3380CC4-5D6E-409C-BE32-E72D297353CC}">
              <c16:uniqueId val="{00000000-3C09-4B1B-ADE0-719B477E69AE}"/>
            </c:ext>
          </c:extLst>
        </c:ser>
        <c:dLbls>
          <c:showLegendKey val="0"/>
          <c:showVal val="0"/>
          <c:showCatName val="0"/>
          <c:showSerName val="0"/>
          <c:showPercent val="0"/>
          <c:showBubbleSize val="0"/>
        </c:dLbls>
        <c:gapWidth val="150"/>
        <c:axId val="88181296"/>
        <c:axId val="6936537"/>
      </c:barChart>
      <c:catAx>
        <c:axId val="881812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36537"/>
        <c:crosses val="autoZero"/>
        <c:auto val="1"/>
        <c:lblAlgn val="ctr"/>
        <c:lblOffset val="100"/>
        <c:noMultiLvlLbl val="0"/>
      </c:catAx>
      <c:valAx>
        <c:axId val="693653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Papers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18129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Publisher Distribution</a:t>
            </a:r>
          </a:p>
        </c:rich>
      </c:tx>
      <c:overlay val="0"/>
      <c:spPr>
        <a:noFill/>
        <a:ln w="0">
          <a:noFill/>
        </a:ln>
      </c:spPr>
    </c:title>
    <c:autoTitleDeleted val="0"/>
    <c:plotArea>
      <c:layout/>
      <c:pieChart>
        <c:varyColors val="1"/>
        <c:ser>
          <c:idx val="0"/>
          <c:order val="0"/>
          <c:tx>
            <c:strRef>
              <c:f>'Statistics Dashboard'!$D$32</c:f>
              <c:strCache>
                <c:ptCount val="1"/>
                <c:pt idx="0">
                  <c:v>Papers</c:v>
                </c:pt>
              </c:strCache>
            </c:strRef>
          </c:tx>
          <c:spPr>
            <a:solidFill>
              <a:srgbClr val="4F81BD"/>
            </a:solidFill>
            <a:ln w="0">
              <a:noFill/>
            </a:ln>
          </c:spPr>
          <c:dPt>
            <c:idx val="0"/>
            <c:bubble3D val="0"/>
            <c:spPr>
              <a:solidFill>
                <a:srgbClr val="4672A8"/>
              </a:solidFill>
              <a:ln w="0">
                <a:noFill/>
              </a:ln>
            </c:spPr>
            <c:extLst>
              <c:ext xmlns:c16="http://schemas.microsoft.com/office/drawing/2014/chart" uri="{C3380CC4-5D6E-409C-BE32-E72D297353CC}">
                <c16:uniqueId val="{00000001-28EE-4DA0-8EE9-C01AEEC1822A}"/>
              </c:ext>
            </c:extLst>
          </c:dPt>
          <c:dPt>
            <c:idx val="1"/>
            <c:bubble3D val="0"/>
            <c:spPr>
              <a:solidFill>
                <a:srgbClr val="AB4744"/>
              </a:solidFill>
              <a:ln w="0">
                <a:noFill/>
              </a:ln>
            </c:spPr>
            <c:extLst>
              <c:ext xmlns:c16="http://schemas.microsoft.com/office/drawing/2014/chart" uri="{C3380CC4-5D6E-409C-BE32-E72D297353CC}">
                <c16:uniqueId val="{00000003-28EE-4DA0-8EE9-C01AEEC1822A}"/>
              </c:ext>
            </c:extLst>
          </c:dPt>
          <c:dPt>
            <c:idx val="2"/>
            <c:bubble3D val="0"/>
            <c:spPr>
              <a:solidFill>
                <a:srgbClr val="8AA64F"/>
              </a:solidFill>
              <a:ln w="0">
                <a:noFill/>
              </a:ln>
            </c:spPr>
            <c:extLst>
              <c:ext xmlns:c16="http://schemas.microsoft.com/office/drawing/2014/chart" uri="{C3380CC4-5D6E-409C-BE32-E72D297353CC}">
                <c16:uniqueId val="{00000005-28EE-4DA0-8EE9-C01AEEC1822A}"/>
              </c:ext>
            </c:extLst>
          </c:dPt>
          <c:dPt>
            <c:idx val="3"/>
            <c:bubble3D val="0"/>
            <c:spPr>
              <a:solidFill>
                <a:srgbClr val="725990"/>
              </a:solidFill>
              <a:ln w="0">
                <a:noFill/>
              </a:ln>
            </c:spPr>
            <c:extLst>
              <c:ext xmlns:c16="http://schemas.microsoft.com/office/drawing/2014/chart" uri="{C3380CC4-5D6E-409C-BE32-E72D297353CC}">
                <c16:uniqueId val="{00000007-28EE-4DA0-8EE9-C01AEEC1822A}"/>
              </c:ext>
            </c:extLst>
          </c:dPt>
          <c:dPt>
            <c:idx val="4"/>
            <c:bubble3D val="0"/>
            <c:spPr>
              <a:solidFill>
                <a:srgbClr val="4299B0"/>
              </a:solidFill>
              <a:ln w="0">
                <a:noFill/>
              </a:ln>
            </c:spPr>
            <c:extLst>
              <c:ext xmlns:c16="http://schemas.microsoft.com/office/drawing/2014/chart" uri="{C3380CC4-5D6E-409C-BE32-E72D297353CC}">
                <c16:uniqueId val="{00000009-28EE-4DA0-8EE9-C01AEEC1822A}"/>
              </c:ext>
            </c:extLst>
          </c:dPt>
          <c:dPt>
            <c:idx val="5"/>
            <c:bubble3D val="0"/>
            <c:spPr>
              <a:solidFill>
                <a:srgbClr val="DC853E"/>
              </a:solidFill>
              <a:ln w="0">
                <a:noFill/>
              </a:ln>
            </c:spPr>
            <c:extLst>
              <c:ext xmlns:c16="http://schemas.microsoft.com/office/drawing/2014/chart" uri="{C3380CC4-5D6E-409C-BE32-E72D297353CC}">
                <c16:uniqueId val="{0000000B-28EE-4DA0-8EE9-C01AEEC1822A}"/>
              </c:ext>
            </c:extLst>
          </c:dPt>
          <c:dPt>
            <c:idx val="6"/>
            <c:bubble3D val="0"/>
            <c:spPr>
              <a:solidFill>
                <a:srgbClr val="93A9CE"/>
              </a:solidFill>
              <a:ln w="0">
                <a:noFill/>
              </a:ln>
            </c:spPr>
            <c:extLst>
              <c:ext xmlns:c16="http://schemas.microsoft.com/office/drawing/2014/chart" uri="{C3380CC4-5D6E-409C-BE32-E72D297353CC}">
                <c16:uniqueId val="{0000000D-28EE-4DA0-8EE9-C01AEEC1822A}"/>
              </c:ext>
            </c:extLst>
          </c:dPt>
          <c:dPt>
            <c:idx val="7"/>
            <c:bubble3D val="0"/>
            <c:spPr>
              <a:solidFill>
                <a:srgbClr val="D09493"/>
              </a:solidFill>
              <a:ln w="0">
                <a:noFill/>
              </a:ln>
            </c:spPr>
            <c:extLst>
              <c:ext xmlns:c16="http://schemas.microsoft.com/office/drawing/2014/chart" uri="{C3380CC4-5D6E-409C-BE32-E72D297353CC}">
                <c16:uniqueId val="{0000000F-28EE-4DA0-8EE9-C01AEEC1822A}"/>
              </c:ext>
            </c:extLst>
          </c:dPt>
          <c:dPt>
            <c:idx val="8"/>
            <c:bubble3D val="0"/>
            <c:spPr>
              <a:solidFill>
                <a:srgbClr val="B8CD97"/>
              </a:solidFill>
              <a:ln w="0">
                <a:noFill/>
              </a:ln>
            </c:spPr>
            <c:extLst>
              <c:ext xmlns:c16="http://schemas.microsoft.com/office/drawing/2014/chart" uri="{C3380CC4-5D6E-409C-BE32-E72D297353CC}">
                <c16:uniqueId val="{00000011-28EE-4DA0-8EE9-C01AEEC1822A}"/>
              </c:ext>
            </c:extLst>
          </c:dPt>
          <c:dPt>
            <c:idx val="9"/>
            <c:bubble3D val="0"/>
            <c:spPr>
              <a:solidFill>
                <a:srgbClr val="A99BBD"/>
              </a:solidFill>
              <a:ln w="0">
                <a:noFill/>
              </a:ln>
            </c:spPr>
            <c:extLst>
              <c:ext xmlns:c16="http://schemas.microsoft.com/office/drawing/2014/chart" uri="{C3380CC4-5D6E-409C-BE32-E72D297353CC}">
                <c16:uniqueId val="{00000013-28EE-4DA0-8EE9-C01AEEC1822A}"/>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8EE-4DA0-8EE9-C01AEEC1822A}"/>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28EE-4DA0-8EE9-C01AEEC1822A}"/>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28EE-4DA0-8EE9-C01AEEC1822A}"/>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28EE-4DA0-8EE9-C01AEEC1822A}"/>
                </c:ext>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28EE-4DA0-8EE9-C01AEEC1822A}"/>
                </c:ext>
              </c:extLst>
            </c:dLbl>
            <c:dLbl>
              <c:idx val="5"/>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28EE-4DA0-8EE9-C01AEEC1822A}"/>
                </c:ext>
              </c:extLst>
            </c:dLbl>
            <c:dLbl>
              <c:idx val="6"/>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28EE-4DA0-8EE9-C01AEEC1822A}"/>
                </c:ext>
              </c:extLst>
            </c:dLbl>
            <c:dLbl>
              <c:idx val="7"/>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28EE-4DA0-8EE9-C01AEEC1822A}"/>
                </c:ext>
              </c:extLst>
            </c:dLbl>
            <c:dLbl>
              <c:idx val="8"/>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28EE-4DA0-8EE9-C01AEEC1822A}"/>
                </c:ext>
              </c:extLst>
            </c:dLbl>
            <c:dLbl>
              <c:idx val="9"/>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28EE-4DA0-8EE9-C01AEEC1822A}"/>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'Statistics Dashboard'!$B$33:$B$42</c:f>
              <c:strCache>
                <c:ptCount val="10"/>
                <c:pt idx="0">
                  <c:v>IEEE</c:v>
                </c:pt>
                <c:pt idx="1">
                  <c:v>ACM</c:v>
                </c:pt>
                <c:pt idx="2">
                  <c:v>Springer</c:v>
                </c:pt>
                <c:pt idx="3">
                  <c:v>Elsevier</c:v>
                </c:pt>
                <c:pt idx="4">
                  <c:v>MDPI</c:v>
                </c:pt>
                <c:pt idx="5">
                  <c:v>Wiley</c:v>
                </c:pt>
                <c:pt idx="6">
                  <c:v>Taylor &amp; Francis</c:v>
                </c:pt>
                <c:pt idx="7">
                  <c:v>Nature</c:v>
                </c:pt>
                <c:pt idx="8">
                  <c:v>arXiv</c:v>
                </c:pt>
                <c:pt idx="9">
                  <c:v>Other</c:v>
                </c:pt>
              </c:strCache>
            </c:strRef>
          </c:cat>
          <c:val>
            <c:numRef>
              <c:f>'Statistics Dashboard'!$D$33:$D$42</c:f>
              <c:numCache>
                <c:formatCode>General</c:formatCode>
                <c:ptCount val="10"/>
                <c:pt idx="0">
                  <c:v>14</c:v>
                </c:pt>
                <c:pt idx="1">
                  <c:v>2</c:v>
                </c:pt>
                <c:pt idx="2">
                  <c:v>19</c:v>
                </c:pt>
                <c:pt idx="3">
                  <c:v>15</c:v>
                </c:pt>
                <c:pt idx="4">
                  <c:v>1</c:v>
                </c:pt>
                <c:pt idx="5">
                  <c:v>4</c:v>
                </c:pt>
                <c:pt idx="6">
                  <c:v>1</c:v>
                </c:pt>
                <c:pt idx="7">
                  <c:v>14</c:v>
                </c:pt>
                <c:pt idx="8">
                  <c:v>3</c:v>
                </c:pt>
                <c:pt idx="9">
                  <c:v>0</c:v>
                </c:pt>
              </c:numCache>
            </c:numRef>
          </c:val>
          <c:extLst>
            <c:ext xmlns:c16="http://schemas.microsoft.com/office/drawing/2014/chart" uri="{C3380CC4-5D6E-409C-BE32-E72D297353CC}">
              <c16:uniqueId val="{00000014-28EE-4DA0-8EE9-C01AEEC1822A}"/>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Research Domains</a:t>
            </a:r>
          </a:p>
        </c:rich>
      </c:tx>
      <c:overlay val="0"/>
      <c:spPr>
        <a:noFill/>
        <a:ln w="0">
          <a:noFill/>
        </a:ln>
      </c:spPr>
    </c:title>
    <c:autoTitleDeleted val="0"/>
    <c:plotArea>
      <c:layout/>
      <c:pieChart>
        <c:varyColors val="1"/>
        <c:ser>
          <c:idx val="0"/>
          <c:order val="0"/>
          <c:tx>
            <c:strRef>
              <c:f>'Statistics Dashboard'!$D$46</c:f>
              <c:strCache>
                <c:ptCount val="1"/>
                <c:pt idx="0">
                  <c:v>Papers</c:v>
                </c:pt>
              </c:strCache>
            </c:strRef>
          </c:tx>
          <c:spPr>
            <a:solidFill>
              <a:srgbClr val="4F81BD"/>
            </a:solidFill>
            <a:ln w="0">
              <a:noFill/>
            </a:ln>
          </c:spPr>
          <c:dPt>
            <c:idx val="0"/>
            <c:bubble3D val="0"/>
            <c:extLst>
              <c:ext xmlns:c16="http://schemas.microsoft.com/office/drawing/2014/chart" uri="{C3380CC4-5D6E-409C-BE32-E72D297353CC}">
                <c16:uniqueId val="{00000001-60E2-4561-A139-3D5722D016FB}"/>
              </c:ext>
            </c:extLst>
          </c:dPt>
          <c:dPt>
            <c:idx val="1"/>
            <c:bubble3D val="0"/>
            <c:spPr>
              <a:solidFill>
                <a:srgbClr val="C0504D"/>
              </a:solidFill>
              <a:ln w="0">
                <a:noFill/>
              </a:ln>
            </c:spPr>
            <c:extLst>
              <c:ext xmlns:c16="http://schemas.microsoft.com/office/drawing/2014/chart" uri="{C3380CC4-5D6E-409C-BE32-E72D297353CC}">
                <c16:uniqueId val="{00000003-60E2-4561-A139-3D5722D016FB}"/>
              </c:ext>
            </c:extLst>
          </c:dPt>
          <c:dPt>
            <c:idx val="2"/>
            <c:bubble3D val="0"/>
            <c:spPr>
              <a:solidFill>
                <a:srgbClr val="9BBB59"/>
              </a:solidFill>
              <a:ln w="0">
                <a:noFill/>
              </a:ln>
            </c:spPr>
            <c:extLst>
              <c:ext xmlns:c16="http://schemas.microsoft.com/office/drawing/2014/chart" uri="{C3380CC4-5D6E-409C-BE32-E72D297353CC}">
                <c16:uniqueId val="{00000005-60E2-4561-A139-3D5722D016FB}"/>
              </c:ext>
            </c:extLst>
          </c:dPt>
          <c:dPt>
            <c:idx val="3"/>
            <c:bubble3D val="0"/>
            <c:spPr>
              <a:solidFill>
                <a:srgbClr val="8064A2"/>
              </a:solidFill>
              <a:ln w="0">
                <a:noFill/>
              </a:ln>
            </c:spPr>
            <c:extLst>
              <c:ext xmlns:c16="http://schemas.microsoft.com/office/drawing/2014/chart" uri="{C3380CC4-5D6E-409C-BE32-E72D297353CC}">
                <c16:uniqueId val="{00000007-60E2-4561-A139-3D5722D016FB}"/>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60E2-4561-A139-3D5722D016FB}"/>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60E2-4561-A139-3D5722D016FB}"/>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60E2-4561-A139-3D5722D016FB}"/>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60E2-4561-A139-3D5722D016FB}"/>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'Statistics Dashboard'!$B$47:$B$50</c:f>
              <c:strCache>
                <c:ptCount val="4"/>
                <c:pt idx="0">
                  <c:v>SOC team</c:v>
                </c:pt>
                <c:pt idx="1">
                  <c:v>penetartion team</c:v>
                </c:pt>
                <c:pt idx="2">
                  <c:v>Database team</c:v>
                </c:pt>
                <c:pt idx="3">
                  <c:v>Web</c:v>
                </c:pt>
              </c:strCache>
            </c:strRef>
          </c:cat>
          <c:val>
            <c:numRef>
              <c:f>'Statistics Dashboard'!$D$47:$D$50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60E2-4561-A139-3D5722D016FB}"/>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AI Techniques</a:t>
            </a:r>
          </a:p>
        </c:rich>
      </c:tx>
      <c:overlay val="0"/>
      <c:spPr>
        <a:noFill/>
        <a:ln w="0">
          <a:noFill/>
        </a:ln>
      </c:spPr>
    </c:title>
    <c:autoTitleDeleted val="0"/>
    <c:plotArea>
      <c:layout/>
      <c:barChart>
        <c:barDir val="col"/>
        <c:grouping val="clustered"/>
        <c:varyColors val="0"/>
        <c:ser>
          <c:idx val="0"/>
          <c:order val="0"/>
          <c:tx>
            <c:strRef>
              <c:f>'Statistics Dashboard'!#REF!</c:f>
              <c:strCache>
                <c:ptCount val="1"/>
                <c:pt idx="0">
                  <c:v>#REF!</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'Statistics Dashboard'!#REF!</c:f>
              <c:strCache>
                <c:ptCount val="1"/>
                <c:pt idx="0">
                  <c:v>#REF!</c:v>
                </c:pt>
              </c:strCache>
            </c:strRef>
          </c:cat>
          <c:val>
            <c:numRef>
              <c:f>'Statistics Dashboard'!#REF!</c:f>
              <c:numCache>
                <c:formatCode>General</c:formatCode>
                <c:ptCount val="1"/>
                <c:pt idx="0">
                  <c:v>1</c:v>
                </c:pt>
              </c:numCache>
            </c:numRef>
          </c:val>
          <c:extLst>
            <c:ext xmlns:c16="http://schemas.microsoft.com/office/drawing/2014/chart" uri="{C3380CC4-5D6E-409C-BE32-E72D297353CC}">
              <c16:uniqueId val="{00000000-B876-40E1-A524-6C4E5A2E629E}"/>
            </c:ext>
          </c:extLst>
        </c:ser>
        <c:dLbls>
          <c:showLegendKey val="0"/>
          <c:showVal val="0"/>
          <c:showCatName val="0"/>
          <c:showSerName val="0"/>
          <c:showPercent val="0"/>
          <c:showBubbleSize val="0"/>
        </c:dLbls>
        <c:gapWidth val="150"/>
        <c:axId val="85392608"/>
        <c:axId val="98985123"/>
      </c:barChart>
      <c:catAx>
        <c:axId val="8539260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8985123"/>
        <c:crosses val="autoZero"/>
        <c:auto val="1"/>
        <c:lblAlgn val="ctr"/>
        <c:lblOffset val="100"/>
        <c:noMultiLvlLbl val="0"/>
      </c:catAx>
      <c:valAx>
        <c:axId val="9898512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Papers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39260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Datasets</a:t>
            </a:r>
          </a:p>
        </c:rich>
      </c:tx>
      <c:overlay val="0"/>
      <c:spPr>
        <a:noFill/>
        <a:ln w="0">
          <a:noFill/>
        </a:ln>
      </c:spPr>
    </c:title>
    <c:autoTitleDeleted val="0"/>
    <c:plotArea>
      <c:layout/>
      <c:barChart>
        <c:barDir val="col"/>
        <c:grouping val="clustered"/>
        <c:varyColors val="0"/>
        <c:ser>
          <c:idx val="0"/>
          <c:order val="0"/>
          <c:tx>
            <c:strRef>
              <c:f>'Statistics Dashboard'!$D$54</c:f>
              <c:strCache>
                <c:ptCount val="1"/>
                <c:pt idx="0">
                  <c:v>Papers</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'Statistics Dashboard'!$B$55:$B$65</c:f>
              <c:strCache>
                <c:ptCount val="11"/>
                <c:pt idx="0">
                  <c:v>NSL-KDD</c:v>
                </c:pt>
                <c:pt idx="1">
                  <c:v>CICIDS2017</c:v>
                </c:pt>
                <c:pt idx="2">
                  <c:v>CICIDS2018</c:v>
                </c:pt>
                <c:pt idx="3">
                  <c:v>UNSW-NB15</c:v>
                </c:pt>
                <c:pt idx="4">
                  <c:v>KDD Cup 99</c:v>
                </c:pt>
                <c:pt idx="5">
                  <c:v>CSE-CIC-IDS2018</c:v>
                </c:pt>
                <c:pt idx="6">
                  <c:v>TON_IoT</c:v>
                </c:pt>
                <c:pt idx="7">
                  <c:v>OWASP Benchmark</c:v>
                </c:pt>
                <c:pt idx="8">
                  <c:v>Custom Dataset</c:v>
                </c:pt>
                <c:pt idx="9">
                  <c:v>Synthetic Dataset</c:v>
                </c:pt>
                <c:pt idx="10">
                  <c:v>Other</c:v>
                </c:pt>
              </c:strCache>
            </c:strRef>
          </c:cat>
          <c:val>
            <c:numRef>
              <c:f>'Statistics Dashboard'!$D$55:$D$65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A6F9-4495-A0C5-772317F23C82}"/>
            </c:ext>
          </c:extLst>
        </c:ser>
        <c:dLbls>
          <c:showLegendKey val="0"/>
          <c:showVal val="0"/>
          <c:showCatName val="0"/>
          <c:showSerName val="0"/>
          <c:showPercent val="0"/>
          <c:showBubbleSize val="0"/>
        </c:dLbls>
        <c:gapWidth val="150"/>
        <c:axId val="40741484"/>
        <c:axId val="22585338"/>
      </c:barChart>
      <c:catAx>
        <c:axId val="407414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585338"/>
        <c:crosses val="autoZero"/>
        <c:auto val="1"/>
        <c:lblAlgn val="ctr"/>
        <c:lblOffset val="100"/>
        <c:noMultiLvlLbl val="0"/>
      </c:catAx>
      <c:valAx>
        <c:axId val="2258533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Papers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74148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Attack Types</a:t>
            </a:r>
          </a:p>
        </c:rich>
      </c:tx>
      <c:overlay val="0"/>
      <c:spPr>
        <a:noFill/>
        <a:ln w="0">
          <a:noFill/>
        </a:ln>
      </c:spPr>
    </c:title>
    <c:autoTitleDeleted val="0"/>
    <c:plotArea>
      <c:layout/>
      <c:barChart>
        <c:barDir val="col"/>
        <c:grouping val="clustered"/>
        <c:varyColors val="0"/>
        <c:ser>
          <c:idx val="0"/>
          <c:order val="0"/>
          <c:tx>
            <c:strRef>
              <c:f>'Statistics Dashboard'!$D$69</c:f>
              <c:strCache>
                <c:ptCount val="1"/>
                <c:pt idx="0">
                  <c:v>Papers</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'Statistics Dashboard'!$B$70:$B$81</c:f>
              <c:strCache>
                <c:ptCount val="12"/>
                <c:pt idx="0">
                  <c:v>SQL Injection</c:v>
                </c:pt>
                <c:pt idx="1">
                  <c:v>Cross-Site Scripting (XSS)</c:v>
                </c:pt>
                <c:pt idx="2">
                  <c:v>prompt injection</c:v>
                </c:pt>
                <c:pt idx="3">
                  <c:v>model poisoning</c:v>
                </c:pt>
                <c:pt idx="4">
                  <c:v>DDoS</c:v>
                </c:pt>
                <c:pt idx="5">
                  <c:v>lateral movment</c:v>
                </c:pt>
                <c:pt idx="6">
                  <c:v>Privilege Escalation</c:v>
                </c:pt>
                <c:pt idx="7">
                  <c:v>BOLA</c:v>
                </c:pt>
                <c:pt idx="8">
                  <c:v>Token Replay (csrf)</c:v>
                </c:pt>
                <c:pt idx="9">
                  <c:v>MITM</c:v>
                </c:pt>
                <c:pt idx="10">
                  <c:v>spoofing</c:v>
                </c:pt>
                <c:pt idx="11">
                  <c:v>reconnaissance</c:v>
                </c:pt>
              </c:strCache>
            </c:strRef>
          </c:cat>
          <c:val>
            <c:numRef>
              <c:f>'Statistics Dashboard'!$D$70:$D$81</c:f>
              <c:numCache>
                <c:formatCode>General</c:formatCode>
                <c:ptCount val="12"/>
                <c:pt idx="0">
                  <c:v>22</c:v>
                </c:pt>
                <c:pt idx="1">
                  <c:v>18</c:v>
                </c:pt>
                <c:pt idx="2">
                  <c:v>15</c:v>
                </c:pt>
                <c:pt idx="3">
                  <c:v>15</c:v>
                </c:pt>
                <c:pt idx="4">
                  <c:v>28</c:v>
                </c:pt>
                <c:pt idx="5">
                  <c:v>8</c:v>
                </c:pt>
                <c:pt idx="6">
                  <c:v>10</c:v>
                </c:pt>
                <c:pt idx="7">
                  <c:v>7</c:v>
                </c:pt>
                <c:pt idx="8">
                  <c:v>6</c:v>
                </c:pt>
                <c:pt idx="9">
                  <c:v>5</c:v>
                </c:pt>
                <c:pt idx="10">
                  <c:v>4</c:v>
                </c:pt>
                <c:pt idx="11">
                  <c:v>3</c:v>
                </c:pt>
              </c:numCache>
            </c:numRef>
          </c:val>
          <c:extLst>
            <c:ext xmlns:c16="http://schemas.microsoft.com/office/drawing/2014/chart" uri="{C3380CC4-5D6E-409C-BE32-E72D297353CC}">
              <c16:uniqueId val="{00000000-5DB2-4552-8DAC-E05D91A68D52}"/>
            </c:ext>
          </c:extLst>
        </c:ser>
        <c:dLbls>
          <c:showLegendKey val="0"/>
          <c:showVal val="0"/>
          <c:showCatName val="0"/>
          <c:showSerName val="0"/>
          <c:showPercent val="0"/>
          <c:showBubbleSize val="0"/>
        </c:dLbls>
        <c:gapWidth val="150"/>
        <c:axId val="47586324"/>
        <c:axId val="53113743"/>
      </c:barChart>
      <c:catAx>
        <c:axId val="4758632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3113743"/>
        <c:crosses val="autoZero"/>
        <c:auto val="1"/>
        <c:lblAlgn val="ctr"/>
        <c:lblOffset val="100"/>
        <c:noMultiLvlLbl val="0"/>
      </c:catAx>
      <c:valAx>
        <c:axId val="5311374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Papers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758632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Security Layers</a:t>
            </a:r>
          </a:p>
        </c:rich>
      </c:tx>
      <c:overlay val="0"/>
      <c:spPr>
        <a:noFill/>
        <a:ln w="0">
          <a:noFill/>
        </a:ln>
      </c:spPr>
    </c:title>
    <c:autoTitleDeleted val="0"/>
    <c:plotArea>
      <c:layout/>
      <c:barChart>
        <c:barDir val="col"/>
        <c:grouping val="clustered"/>
        <c:varyColors val="0"/>
        <c:ser>
          <c:idx val="0"/>
          <c:order val="0"/>
          <c:tx>
            <c:strRef>
              <c:f>'Statistics Dashboard'!$D$85</c:f>
              <c:strCache>
                <c:ptCount val="1"/>
                <c:pt idx="0">
                  <c:v>Papers</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'Statistics Dashboard'!$B$86:$B$93</c:f>
              <c:strCache>
                <c:ptCount val="8"/>
                <c:pt idx="0">
                  <c:v>Application</c:v>
                </c:pt>
                <c:pt idx="1">
                  <c:v>Network</c:v>
                </c:pt>
                <c:pt idx="2">
                  <c:v>Host</c:v>
                </c:pt>
                <c:pt idx="3">
                  <c:v>Cloud</c:v>
                </c:pt>
                <c:pt idx="4">
                  <c:v>Database</c:v>
                </c:pt>
                <c:pt idx="5">
                  <c:v>Endpoint</c:v>
                </c:pt>
                <c:pt idx="6">
                  <c:v>Identity</c:v>
                </c:pt>
                <c:pt idx="7">
                  <c:v>Runtime</c:v>
                </c:pt>
              </c:strCache>
            </c:strRef>
          </c:cat>
          <c:val>
            <c:numRef>
              <c:f>'Statistics Dashboard'!$D$86:$D$93</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3C93-48D9-A07B-7865B4B3BEA2}"/>
            </c:ext>
          </c:extLst>
        </c:ser>
        <c:dLbls>
          <c:showLegendKey val="0"/>
          <c:showVal val="0"/>
          <c:showCatName val="0"/>
          <c:showSerName val="0"/>
          <c:showPercent val="0"/>
          <c:showBubbleSize val="0"/>
        </c:dLbls>
        <c:gapWidth val="150"/>
        <c:axId val="97519692"/>
        <c:axId val="3004739"/>
      </c:barChart>
      <c:catAx>
        <c:axId val="9751969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04739"/>
        <c:crosses val="autoZero"/>
        <c:auto val="1"/>
        <c:lblAlgn val="ctr"/>
        <c:lblOffset val="100"/>
        <c:noMultiLvlLbl val="0"/>
      </c:catAx>
      <c:valAx>
        <c:axId val="300473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Papers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751969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323850</xdr:colOff>
      <xdr:row>3</xdr:row>
      <xdr:rowOff>92940</xdr:rowOff>
    </xdr:from>
    <xdr:to>
      <xdr:col>21</xdr:col>
      <xdr:colOff>250425</xdr:colOff>
      <xdr:row>17</xdr:row>
      <xdr:rowOff>125340</xdr:rowOff>
    </xdr:to>
    <xdr:graphicFrame macro="">
      <xdr:nvGraphicFramePr>
        <xdr:cNvPr id="14"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171450</xdr:colOff>
      <xdr:row>3</xdr:row>
      <xdr:rowOff>121155</xdr:rowOff>
    </xdr:from>
    <xdr:to>
      <xdr:col>12</xdr:col>
      <xdr:colOff>210330</xdr:colOff>
      <xdr:row>17</xdr:row>
      <xdr:rowOff>96765</xdr:rowOff>
    </xdr:to>
    <xdr:graphicFrame macro="">
      <xdr:nvGraphicFramePr>
        <xdr:cNvPr id="16" name="Chart 2">
          <a:extLst>
            <a:ext uri="{FF2B5EF4-FFF2-40B4-BE49-F238E27FC236}">
              <a16:creationId xmlns:a16="http://schemas.microsoft.com/office/drawing/2014/main" id="{00000000-0008-0000-0200-000003000000}"/>
            </a:ext>
            <a:ext uri="{147F2762-F138-4A5C-976F-8EAC2B608ADB}">
              <a16:predDERef xmlns:a16="http://schemas.microsoft.com/office/drawing/2014/main" pre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304800</xdr:colOff>
      <xdr:row>19</xdr:row>
      <xdr:rowOff>130680</xdr:rowOff>
    </xdr:from>
    <xdr:to>
      <xdr:col>12</xdr:col>
      <xdr:colOff>343680</xdr:colOff>
      <xdr:row>33</xdr:row>
      <xdr:rowOff>163440</xdr:rowOff>
    </xdr:to>
    <xdr:graphicFrame macro="">
      <xdr:nvGraphicFramePr>
        <xdr:cNvPr id="18" name="Chart 3">
          <a:extLst>
            <a:ext uri="{FF2B5EF4-FFF2-40B4-BE49-F238E27FC236}">
              <a16:creationId xmlns:a16="http://schemas.microsoft.com/office/drawing/2014/main" id="{00000000-0008-0000-0200-000004000000}"/>
            </a:ext>
            <a:ext uri="{147F2762-F138-4A5C-976F-8EAC2B608ADB}">
              <a16:predDERef xmlns:a16="http://schemas.microsoft.com/office/drawing/2014/main" pre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9525</xdr:colOff>
      <xdr:row>35</xdr:row>
      <xdr:rowOff>152400</xdr:rowOff>
    </xdr:from>
    <xdr:to>
      <xdr:col>12</xdr:col>
      <xdr:colOff>533400</xdr:colOff>
      <xdr:row>52</xdr:row>
      <xdr:rowOff>47625</xdr:rowOff>
    </xdr:to>
    <xdr:graphicFrame macro="">
      <xdr:nvGraphicFramePr>
        <xdr:cNvPr id="21" name="Chart 4">
          <a:extLst>
            <a:ext uri="{FF2B5EF4-FFF2-40B4-BE49-F238E27FC236}">
              <a16:creationId xmlns:a16="http://schemas.microsoft.com/office/drawing/2014/main" id="{00000000-0008-0000-0200-000005000000}"/>
            </a:ext>
            <a:ext uri="{147F2762-F138-4A5C-976F-8EAC2B608ADB}">
              <a16:predDERef xmlns:a16="http://schemas.microsoft.com/office/drawing/2014/main" pre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19</xdr:row>
      <xdr:rowOff>130680</xdr:rowOff>
    </xdr:from>
    <xdr:to>
      <xdr:col>21</xdr:col>
      <xdr:colOff>507600</xdr:colOff>
      <xdr:row>33</xdr:row>
      <xdr:rowOff>163440</xdr:rowOff>
    </xdr:to>
    <xdr:graphicFrame macro="">
      <xdr:nvGraphicFramePr>
        <xdr:cNvPr id="7" name="Chart 6">
          <a:extLst>
            <a:ext uri="{FF2B5EF4-FFF2-40B4-BE49-F238E27FC236}">
              <a16:creationId xmlns:a16="http://schemas.microsoft.com/office/drawing/2014/main" id="{00000000-0008-0000-0200-000007000000}"/>
            </a:ext>
            <a:ext uri="{147F2762-F138-4A5C-976F-8EAC2B608ADB}">
              <a16:predDERef xmlns:a16="http://schemas.microsoft.com/office/drawing/2014/main" pre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552450</xdr:colOff>
      <xdr:row>35</xdr:row>
      <xdr:rowOff>130680</xdr:rowOff>
    </xdr:from>
    <xdr:to>
      <xdr:col>21</xdr:col>
      <xdr:colOff>479025</xdr:colOff>
      <xdr:row>49</xdr:row>
      <xdr:rowOff>163440</xdr:rowOff>
    </xdr:to>
    <xdr:graphicFrame macro="">
      <xdr:nvGraphicFramePr>
        <xdr:cNvPr id="19" name="Chart 7">
          <a:extLst>
            <a:ext uri="{FF2B5EF4-FFF2-40B4-BE49-F238E27FC236}">
              <a16:creationId xmlns:a16="http://schemas.microsoft.com/office/drawing/2014/main" id="{00000000-0008-0000-0200-000008000000}"/>
            </a:ext>
            <a:ext uri="{147F2762-F138-4A5C-976F-8EAC2B608ADB}">
              <a16:predDERef xmlns:a16="http://schemas.microsoft.com/office/drawing/2014/main" pre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200025</xdr:colOff>
      <xdr:row>53</xdr:row>
      <xdr:rowOff>16740</xdr:rowOff>
    </xdr:from>
    <xdr:to>
      <xdr:col>18</xdr:col>
      <xdr:colOff>126600</xdr:colOff>
      <xdr:row>67</xdr:row>
      <xdr:rowOff>58665</xdr:rowOff>
    </xdr:to>
    <xdr:graphicFrame macro="">
      <xdr:nvGraphicFramePr>
        <xdr:cNvPr id="23" name="Chart 8">
          <a:extLst>
            <a:ext uri="{FF2B5EF4-FFF2-40B4-BE49-F238E27FC236}">
              <a16:creationId xmlns:a16="http://schemas.microsoft.com/office/drawing/2014/main" id="{00000000-0008-0000-0200-000009000000}"/>
            </a:ext>
            <a:ext uri="{147F2762-F138-4A5C-976F-8EAC2B608ADB}">
              <a16:predDERef xmlns:a16="http://schemas.microsoft.com/office/drawing/2014/main" pre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persDB" displayName="PapersDB" ref="B1:P319" totalsRowShown="0">
  <autoFilter ref="B1:P319" xr:uid="{00000000-0009-0000-0100-000001000000}"/>
  <tableColumns count="15">
    <tableColumn id="1" xr3:uid="{00000000-0010-0000-0000-000001000000}" name="Paper's DOI"/>
    <tableColumn id="2" xr3:uid="{00000000-0010-0000-0000-000002000000}" name="Title"/>
    <tableColumn id="4" xr3:uid="{00000000-0010-0000-0000-000004000000}" name="Publication Year"/>
    <tableColumn id="5" xr3:uid="{00000000-0010-0000-0000-000005000000}" name="Publisher" dataDxfId="135"/>
    <tableColumn id="10" xr3:uid="{00000000-0010-0000-0000-00000A000000}" name="paper URL"/>
    <tableColumn id="20" xr3:uid="{00000000-0010-0000-0000-000014000000}" name="Technology"/>
    <tableColumn id="3" xr3:uid="{68DCC93D-F326-4391-80E8-3AE45B964889}" name="Included or Excluded"/>
    <tableColumn id="6" xr3:uid="{892D02CC-6CB7-4803-BBBE-5BEF7321888C}" name="Reason for inclusivity"/>
    <tableColumn id="7" xr3:uid="{B748B901-81C8-408A-AA8B-B23B6E463997}" name="Problem"/>
    <tableColumn id="8" xr3:uid="{1E42F66A-9BAE-4DF3-95A7-CE674F5F9B04}" name="Solution"/>
    <tableColumn id="11" xr3:uid="{13D0036C-1C35-4589-B074-0991B907994D}" name="Main Tags"/>
    <tableColumn id="12" xr3:uid="{EBCE8090-6F56-4A55-808C-F7AE90750D28}" name="Another Tags"/>
    <tableColumn id="9" xr3:uid="{2CFAE254-E68B-43DE-B645-7CE205DAA089}" name="Column1"/>
    <tableColumn id="13" xr3:uid="{75E404CA-588A-49B6-A3B2-6F58B8E21258}" name="Column2"/>
    <tableColumn id="14" xr3:uid="{2A5C4A60-9ED4-44E3-9D01-3B05FCE6137B}" name="Numbering for ref"/>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02436EB-6D7D-4155-8036-E4D45FC92631}" name="PapersDB345678910111213" displayName="PapersDB345678910111213" ref="B1:O84" totalsRowShown="0">
  <autoFilter ref="B1:O84" xr:uid="{00000000-0009-0000-0100-000001000000}"/>
  <tableColumns count="14">
    <tableColumn id="1" xr3:uid="{AF89ED37-7AEE-495A-B675-5782EAF462D8}" name="Paper's DOI"/>
    <tableColumn id="2" xr3:uid="{24F4FB5C-FB34-4D96-9185-241946064901}" name="Title"/>
    <tableColumn id="4" xr3:uid="{D8B68973-3F09-4A12-B823-09A2DDF735BA}" name="Publication Year"/>
    <tableColumn id="5" xr3:uid="{2EA43D1B-DA19-487C-9518-795F0C4E063E}" name="Publisher" dataDxfId="129"/>
    <tableColumn id="10" xr3:uid="{2AB5EA2C-8583-433A-B5AC-96AA0D35A4DB}" name="paper URL"/>
    <tableColumn id="20" xr3:uid="{BC33C4CA-8BC2-497C-8BD2-748E635EDC90}" name="Technology"/>
    <tableColumn id="3" xr3:uid="{A084261C-980D-46FE-80F2-74DD46AA2B8F}" name="Included or Excluded"/>
    <tableColumn id="6" xr3:uid="{AFF28E59-B741-4809-90C0-9038C499B8DA}" name="Reason for inclusivity"/>
    <tableColumn id="7" xr3:uid="{74DD32D1-55DA-45CD-8AB5-FAB530E95483}" name="Problem"/>
    <tableColumn id="8" xr3:uid="{651F0F78-0BFA-4532-AD89-546EFAC20D2A}" name="Solution"/>
    <tableColumn id="9" xr3:uid="{73D0D522-575B-49A2-B2EC-3081C4FCDF80}" name="Main Tag" dataDxfId="128"/>
    <tableColumn id="11" xr3:uid="{6D8C57CC-B6A2-4AFF-9205-F7A151A309A1}" name="Another Tags" dataDxfId="127"/>
    <tableColumn id="13" xr3:uid="{3B06949C-2784-45D1-A3AB-D1095CF124A0}" name="Custom Numbering M-##" dataDxfId="126"/>
    <tableColumn id="14" xr3:uid="{3AB3296B-4E43-4C0D-85F5-6E78965BC0AC}" name="Additionals 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DE0F97E-BF67-43F6-A445-89B728285D78}" name="PapersDB3456789101112" displayName="PapersDB3456789101112" ref="B1:M319" totalsRowShown="0">
  <autoFilter ref="B1:M319" xr:uid="{00000000-0009-0000-0100-000001000000}"/>
  <tableColumns count="12">
    <tableColumn id="1" xr3:uid="{C4D64EF8-B780-461B-BA27-48642B769FBA}" name="Paper's DOI"/>
    <tableColumn id="2" xr3:uid="{EA063F0C-2C61-40C3-87BC-8E1AD8BF19E8}" name="Title"/>
    <tableColumn id="4" xr3:uid="{8C84CD0D-388E-4947-8E13-33C153F17B6A}" name="Publication Year"/>
    <tableColumn id="5" xr3:uid="{3874A367-4736-4344-BA71-0B00E2E53127}" name="Publisher" dataDxfId="113"/>
    <tableColumn id="10" xr3:uid="{3B7E0917-9C90-435F-B988-782317639C5D}" name="paper URL"/>
    <tableColumn id="20" xr3:uid="{3C68256F-E60A-4074-8DCF-DD66CC169AFE}" name="Technology"/>
    <tableColumn id="3" xr3:uid="{2E3F2F8A-412A-47C4-9AC3-2028AE9F20D8}" name="Included or Excluded"/>
    <tableColumn id="6" xr3:uid="{F084D690-E3B3-4B57-8DFE-91DAB4D65854}" name="Reason for inclusivity"/>
    <tableColumn id="7" xr3:uid="{0314EAC3-3D3D-4670-A78C-E5FD308D489E}" name="Problem"/>
    <tableColumn id="8" xr3:uid="{0D09E896-B2EB-4422-9C8D-3AAD3BFA7B1A}" name="Solution"/>
    <tableColumn id="9" xr3:uid="{1748831F-2625-4B7C-9336-6DDB88CF9EF6}" name="Main Tags"/>
    <tableColumn id="11" xr3:uid="{2B8E7E76-C27E-4334-8BE9-6B5B2660F47B}" name="Another Tag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487715-9A2F-4B27-85EF-E82356CAEDEA}" name="PapersDB34567891011" displayName="PapersDB34567891011" ref="B1:M319" totalsRowShown="0">
  <autoFilter ref="B1:M319" xr:uid="{00000000-0009-0000-0100-000001000000}"/>
  <tableColumns count="12">
    <tableColumn id="1" xr3:uid="{FB1CF9FF-7540-43B3-95C0-2EF5B088FE16}" name="Paper's DOI"/>
    <tableColumn id="2" xr3:uid="{32464096-E424-4F74-AB6F-2C2E06C7D4DF}" name="Title"/>
    <tableColumn id="4" xr3:uid="{E61BB6D6-0116-4559-ABF4-68CC70E87E03}" name="Publication Year"/>
    <tableColumn id="5" xr3:uid="{447084B1-5526-4791-B38B-1981A1464087}" name="Publisher" dataDxfId="99"/>
    <tableColumn id="10" xr3:uid="{E7D48B67-5123-4F46-A2D8-B11BB6A27D29}" name="paper URL"/>
    <tableColumn id="20" xr3:uid="{E03C70AC-F911-4256-89E1-50B903402475}" name="Technology"/>
    <tableColumn id="3" xr3:uid="{03F11BF9-055B-4382-AE61-2F331EF5FD96}" name="Included or Excluded"/>
    <tableColumn id="6" xr3:uid="{70AFCC04-8601-45E8-A441-E71C361417A8}" name="Reason for inclusivity"/>
    <tableColumn id="7" xr3:uid="{4734AC8A-44E8-45DC-B4BD-C35089FD966C}" name="Problem"/>
    <tableColumn id="8" xr3:uid="{2BD452D5-3E1B-41D5-9CD5-00F39C43E5AB}" name="Solution"/>
    <tableColumn id="9" xr3:uid="{137DF748-1021-492A-992A-61BA27FC5454}" name="Main Tags"/>
    <tableColumn id="11" xr3:uid="{D6CA6878-6D0F-4AD5-A2EC-BB0AF9C787BD}" name="Another Tag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FB73D34-B212-415A-8C9A-3F144288B4F6}" name="PapersDB345678910" displayName="PapersDB345678910" ref="B1:M319" totalsRowShown="0">
  <autoFilter ref="B1:M319" xr:uid="{00000000-0009-0000-0100-000001000000}"/>
  <tableColumns count="12">
    <tableColumn id="1" xr3:uid="{87D7927D-CF69-4EAB-A8DF-74356BB55761}" name="Paper's DOI"/>
    <tableColumn id="2" xr3:uid="{6866F737-CAC8-4A0D-A8E7-9E98C4E580C8}" name="Title"/>
    <tableColumn id="4" xr3:uid="{1B9365FA-DAD0-4D17-A061-36CFF39C5D5D}" name="Publication Year"/>
    <tableColumn id="5" xr3:uid="{C3CD564A-EE1F-4CA8-A25A-83F1DFE57BD5}" name="Publisher" dataDxfId="86"/>
    <tableColumn id="10" xr3:uid="{02786BAA-781F-450F-83B5-B8853A659038}" name="paper URL"/>
    <tableColumn id="20" xr3:uid="{C6A4CC9E-5C08-4E85-9C67-7FD7E033A841}" name="technology"/>
    <tableColumn id="3" xr3:uid="{CA2BD657-1A51-4D24-8EBD-C5E7F488E39D}" name="Included or Excluded"/>
    <tableColumn id="6" xr3:uid="{B0F43E8C-3627-435F-875F-3D4D8F63C7DF}" name="Reason for inclusivity"/>
    <tableColumn id="7" xr3:uid="{5B5A2343-4332-48DB-BF88-F977FFFCB4E4}" name="Problem"/>
    <tableColumn id="8" xr3:uid="{B72E246A-640C-452A-9D17-458541B30009}" name="solution"/>
    <tableColumn id="9" xr3:uid="{338F5A04-4C88-4DBA-BB6D-12D8BF42453A}" name="Main Tags"/>
    <tableColumn id="11" xr3:uid="{1A5FFCFC-1E2D-4290-A918-F13D1DCA8247}" name="Another Tag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B5800E5-B8BE-4D44-835C-EB51208F60B8}" name="PapersDB3456789" displayName="PapersDB3456789" ref="B1:M319" totalsRowShown="0">
  <autoFilter ref="B1:M319" xr:uid="{00000000-0009-0000-0100-000001000000}"/>
  <tableColumns count="12">
    <tableColumn id="1" xr3:uid="{474621D2-289C-41F0-9111-2DF8D49B842E}" name="Paper's DOI"/>
    <tableColumn id="2" xr3:uid="{119CF42B-C583-4172-AFB4-35BBEAE7D1E9}" name="Title"/>
    <tableColumn id="4" xr3:uid="{BAF7F5B9-E20B-4602-97C1-98F636206443}" name="Publication Year"/>
    <tableColumn id="5" xr3:uid="{B9A53093-81F2-4EBF-9A3D-F11875B0BFDE}" name="Publisher" dataDxfId="73"/>
    <tableColumn id="10" xr3:uid="{921EEDAB-556F-4EF7-B9ED-F9C5DE46C3F7}" name="paper URL"/>
    <tableColumn id="20" xr3:uid="{D13BFABD-67D8-4C83-B2B0-98141AA33F3C}" name="Technology"/>
    <tableColumn id="3" xr3:uid="{54D4B6F6-4D49-4896-BFB2-632A120F3523}" name="Included or Excluded"/>
    <tableColumn id="6" xr3:uid="{91BD28C6-03BA-42C9-BD4C-780F6B291E01}" name="Reason for inclusivity"/>
    <tableColumn id="7" xr3:uid="{217439DE-1BE1-4363-A879-932CF31DAFD3}" name="Problem"/>
    <tableColumn id="8" xr3:uid="{E2AA6611-08C4-45D1-94EC-F78FA1BF5F99}" name="Solution"/>
    <tableColumn id="9" xr3:uid="{BC555A49-D8DC-48CB-8F24-1F9EDA4FD9DC}" name="Main Tags"/>
    <tableColumn id="11" xr3:uid="{F3ADFDA7-C3D9-435E-84EF-66F463EE46C9}" name="Another Tag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BF7952-AE9C-4593-B3AE-CB3CFD84A874}" name="PapersDB345678" displayName="PapersDB345678" ref="B1:M187" totalsRowShown="0">
  <autoFilter ref="B1:M187" xr:uid="{00000000-0009-0000-0100-000001000000}"/>
  <tableColumns count="12">
    <tableColumn id="1" xr3:uid="{933D28D2-6D78-44A6-BB45-A2A1A16BDCD7}" name="Paper's DOI"/>
    <tableColumn id="2" xr3:uid="{7FFC380A-C3B2-4CA3-96E8-5573930C0C11}" name="Title"/>
    <tableColumn id="4" xr3:uid="{7C005906-72B5-4C88-82D3-A51F0311D777}" name="Publication Year" dataDxfId="67"/>
    <tableColumn id="5" xr3:uid="{43EDE8D2-418C-49AB-B51B-9310A64A8CD9}" name="Publisher" dataDxfId="66"/>
    <tableColumn id="10" xr3:uid="{74A501DC-F1F7-4795-B187-3012B15B7D68}" name="paper URL"/>
    <tableColumn id="20" xr3:uid="{F0B84A37-8915-4A47-B0F0-07341B2A7C7D}" name="Technology"/>
    <tableColumn id="3" xr3:uid="{91008327-C20D-40FF-BD07-F5DBF54A0E32}" name="Included or Excluded"/>
    <tableColumn id="6" xr3:uid="{D56DF53E-2330-4130-ACE9-32960653310A}" name="Reason for inclusivity"/>
    <tableColumn id="7" xr3:uid="{85137397-5943-4ECC-AED7-1CA9C1BEE81D}" name="Problem"/>
    <tableColumn id="8" xr3:uid="{4EE8FB29-B797-4FB8-A840-3F67BAE159E6}" name="Solution"/>
    <tableColumn id="9" xr3:uid="{463C2712-B7EE-4376-9BBD-BC44B6EAE65E}" name="Main Tags"/>
    <tableColumn id="11" xr3:uid="{9795A3D2-46B7-450F-983F-D6678516815C}" name="Another Tag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815579D-9EC9-4313-B19D-7236FB64235E}" name="PapersDB34567" displayName="PapersDB34567" ref="B1:M186" totalsRowShown="0">
  <autoFilter ref="B1:M186" xr:uid="{00000000-0009-0000-0100-000001000000}"/>
  <tableColumns count="12">
    <tableColumn id="1" xr3:uid="{EBF5F20C-B699-4FA8-8E8C-FBEBDF98BEAD}" name="Paper's DOI"/>
    <tableColumn id="2" xr3:uid="{06B31D1F-F72E-440C-BEB8-60D8EF5E27E6}" name="Title"/>
    <tableColumn id="4" xr3:uid="{2F30158F-6AF9-4049-88A1-B567E3977D6D}" name="Publication Year"/>
    <tableColumn id="5" xr3:uid="{FE52856C-0141-496B-818E-9B086886A946}" name="Publisher" dataDxfId="59"/>
    <tableColumn id="10" xr3:uid="{55987677-9895-40C0-8074-1BB873EB563E}" name="paper URL"/>
    <tableColumn id="20" xr3:uid="{D95BB6D6-9C40-40E8-8B63-DCD3F1C0243F}" name="Technology"/>
    <tableColumn id="3" xr3:uid="{93F29D08-7557-4005-BC2A-1DEC81645E73}" name="Included or Excluded"/>
    <tableColumn id="6" xr3:uid="{D8ACC783-0110-45D7-9E52-5F14E9945919}" name="Reason for inclusivity"/>
    <tableColumn id="7" xr3:uid="{5CBE681F-9637-4613-BC4A-E7F2CED2AA99}" name="Problem"/>
    <tableColumn id="8" xr3:uid="{268394F1-1130-4A71-8704-06737690AFCC}" name="Solution"/>
    <tableColumn id="9" xr3:uid="{CAA9A4D6-3B71-4D4A-9D35-203D524D0DBE}" name="Main Tags"/>
    <tableColumn id="11" xr3:uid="{4B78FB05-B9A6-4D25-8E93-BC323E17ED8C}" name="Another Tags"/>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A8CB22-C6AD-4A48-815C-3D2D93EC27E2}" name="PapersDB3456" displayName="PapersDB3456" ref="B1:M319" totalsRowShown="0">
  <autoFilter ref="B1:M319" xr:uid="{00000000-0009-0000-0100-000001000000}"/>
  <tableColumns count="12">
    <tableColumn id="1" xr3:uid="{6B86F631-00F4-4DF2-B63F-A60D1B4C1730}" name="Paper's DOI"/>
    <tableColumn id="2" xr3:uid="{DE226916-631B-488F-8B1D-53588C5BE7EF}" name="Title"/>
    <tableColumn id="4" xr3:uid="{43CA39F4-EC72-4152-9B62-E215C3427B8F}" name="Publication Year"/>
    <tableColumn id="5" xr3:uid="{3C1A5C2B-6ED1-4362-BA1E-32E5EDD74BC4}" name="Publisher" dataDxfId="46"/>
    <tableColumn id="10" xr3:uid="{E0196388-4A5F-4793-84A2-24AF5D52B9FC}" name="paper URL"/>
    <tableColumn id="20" xr3:uid="{E572A600-FF9A-4F7A-88F0-A873C39C41B5}" name="Technology"/>
    <tableColumn id="3" xr3:uid="{4CAC45A0-BD55-4B96-BEE1-BC54A7B26EE7}" name="Included or Excluded"/>
    <tableColumn id="6" xr3:uid="{3E669400-205F-42C0-8C51-2FC4B3F85B5E}" name="Reason for inclusivity"/>
    <tableColumn id="7" xr3:uid="{DAA89D00-B15D-44F6-989E-AB13BD3F594E}" name="Problem"/>
    <tableColumn id="8" xr3:uid="{AA1D093E-4859-416B-931F-A28AE26915C3}" name="Solution"/>
    <tableColumn id="9" xr3:uid="{1874A1A7-2A4E-42E8-A9E4-92A02228F960}" name="."/>
    <tableColumn id="11" xr3:uid="{1AC9AF42-ABA2-408F-8E53-7501E96A7E6E}" name="Another Tags"/>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ACDD95-D20A-43EE-8046-BF4F3A0E0F2F}" name="PapersDB345" displayName="PapersDB345" ref="B1:M319" totalsRowShown="0">
  <autoFilter ref="B1:M319" xr:uid="{00000000-0009-0000-0100-000001000000}"/>
  <tableColumns count="12">
    <tableColumn id="1" xr3:uid="{7A41789B-7B1B-4B40-A02C-037F63EA9D84}" name="Paper's DOI"/>
    <tableColumn id="2" xr3:uid="{F04E0A10-9AF5-47C1-973F-01F4E45E66B8}" name="Title"/>
    <tableColumn id="4" xr3:uid="{E019A334-C5C2-4C49-9DD2-12CBF2D4A815}" name="Publication Year"/>
    <tableColumn id="5" xr3:uid="{902B187F-B26A-49C9-AF2D-FB1AE0A81E67}" name="Publisher" dataDxfId="33"/>
    <tableColumn id="10" xr3:uid="{D81541DD-8F95-40A6-ABE8-8CF5C52105AD}" name="paper URL"/>
    <tableColumn id="20" xr3:uid="{5D3CBFF6-243C-4AEE-B5FF-1ABA787ED25C}" name="Technology"/>
    <tableColumn id="3" xr3:uid="{7D5EFFC2-3E35-4F23-B42E-88F8CBC3ED42}" name="Included or Excluded"/>
    <tableColumn id="6" xr3:uid="{2E484919-E0D2-4D28-B2C3-9E6A8251C84D}" name="Reason for inclusivity"/>
    <tableColumn id="7" xr3:uid="{AC40F689-0BBD-4041-B75C-7E3872A99165}" name="Problem"/>
    <tableColumn id="8" xr3:uid="{7E1720B5-F87B-45BA-8A27-C3034DC70AC9}" name="Solution"/>
    <tableColumn id="9" xr3:uid="{A9273BE1-7D4D-4B16-AB4C-149CDD406254}" name="Main Tags"/>
    <tableColumn id="11" xr3:uid="{FC7C2879-F222-4867-B73E-93A11C8CF747}" name="Another Tags"/>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925F06-8F61-4ACA-B892-F5D7D94E985A}" name="PapersDB34" displayName="PapersDB34" ref="B1:M319" totalsRowShown="0">
  <autoFilter ref="B1:M319" xr:uid="{00000000-0009-0000-0100-000001000000}"/>
  <tableColumns count="12">
    <tableColumn id="1" xr3:uid="{AE4E21A7-7BC1-411A-99D2-8531988A3E25}" name="Paper's DOI"/>
    <tableColumn id="2" xr3:uid="{F65DA148-3E7B-4566-998F-CDFCF5DFB10A}" name="Title"/>
    <tableColumn id="4" xr3:uid="{47825B47-8FC9-40F7-9192-B084DC1D0464}" name="Publication Year"/>
    <tableColumn id="5" xr3:uid="{7D2CEB8B-F4C3-49B3-9425-C2AE296955B6}" name="Publisher" dataDxfId="19"/>
    <tableColumn id="10" xr3:uid="{B375FA42-0767-4274-9152-F94B9DC452BB}" name="paper URL"/>
    <tableColumn id="20" xr3:uid="{C58793F8-2E5A-49BD-A97F-E00F00B43863}" name="Technology"/>
    <tableColumn id="3" xr3:uid="{0EE202AD-FC79-4DFE-8BE8-28FFFD953DB0}" name="Included or Excluded"/>
    <tableColumn id="6" xr3:uid="{18754A0F-9D6D-4F28-87FF-1CEE8981C162}" name="Reason for inclusivity"/>
    <tableColumn id="7" xr3:uid="{FD92604D-0A25-4AE1-910B-05CC7004ED81}" name="Problem"/>
    <tableColumn id="8" xr3:uid="{01FF2EB3-5ADA-4E86-A5F2-42C6122D3E33}" name="Solution"/>
    <tableColumn id="9" xr3:uid="{7A13A8C9-DCC5-40A0-9A13-04B40E91AE6B}" name="Main Tags"/>
    <tableColumn id="11" xr3:uid="{70E4D50E-AEBC-4CD9-B791-3689C95595CC}" name="Another Tag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093BD3-2CD0-470F-8BFB-82122704BC5D}" name="PapersDB3" displayName="PapersDB3" ref="B1:M183" totalsRowShown="0" headerRowDxfId="13" dataDxfId="12">
  <autoFilter ref="B1:M183" xr:uid="{00000000-0009-0000-0100-000001000000}"/>
  <tableColumns count="12">
    <tableColumn id="1" xr3:uid="{FD318FC8-B4B5-46C7-912D-C596C71AE29D}" name="Paper's DOI" dataDxfId="11"/>
    <tableColumn id="2" xr3:uid="{1D7275E2-D938-4395-AECF-1421AADCE0D0}" name="Title" dataDxfId="10"/>
    <tableColumn id="4" xr3:uid="{8BE3951A-CF75-4812-A0F4-DE8423616ECC}" name="Publication Year" dataDxfId="9"/>
    <tableColumn id="5" xr3:uid="{9AF0D47F-C29D-4E5D-897E-E464CE219A04}" name="Publisher" dataDxfId="8"/>
    <tableColumn id="10" xr3:uid="{671373BB-9DFD-4F20-8914-16F452FE34E4}" name="paper URL" dataDxfId="7"/>
    <tableColumn id="20" xr3:uid="{7BD38958-2EF4-495D-B943-4DA630B8157A}" name="Technology" dataDxfId="6"/>
    <tableColumn id="3" xr3:uid="{883B12B9-594C-4DA1-98DB-746C4CA78804}" name="Included or Excluded" dataDxfId="5"/>
    <tableColumn id="6" xr3:uid="{F395DED9-4F34-4E69-B372-C13AA84D4ECC}" name="Reason for inclusivity" dataDxfId="4"/>
    <tableColumn id="7" xr3:uid="{D48D17D4-D5C4-4960-BCA0-FEED2881519D}" name="Problem" dataDxfId="3"/>
    <tableColumn id="8" xr3:uid="{F649CA21-5FBE-40B8-90E3-75DA8B42805E}" name="Solution" dataDxfId="2"/>
    <tableColumn id="12" xr3:uid="{84117953-1724-4669-B31F-3019E232CE8D}" name="Main Tags" dataDxfId="1"/>
    <tableColumn id="11" xr3:uid="{AD86A5FC-1C17-433A-9549-74AEE3CD0E1A}" name="Another Tag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frontiersin.org/journals/human-neuroscience/articles/10.3389/fnhum.2014.00291/full" TargetMode="External"/><Relationship Id="rId21" Type="http://schemas.openxmlformats.org/officeDocument/2006/relationships/hyperlink" Target="https://doi.org/10.1016/j.heliyon.2024.e31825" TargetMode="External"/><Relationship Id="rId42" Type="http://schemas.openxmlformats.org/officeDocument/2006/relationships/hyperlink" Target="https://link.springer.com/article/10.1007/s10209-023-00973-4" TargetMode="External"/><Relationship Id="rId63" Type="http://schemas.openxmlformats.org/officeDocument/2006/relationships/hyperlink" Target="https://link.springer.com/article/10.1007/s42486-023-00136-7" TargetMode="External"/><Relationship Id="rId84" Type="http://schemas.openxmlformats.org/officeDocument/2006/relationships/hyperlink" Target="https://arxiv.org/abs/2201.03036" TargetMode="External"/><Relationship Id="rId138" Type="http://schemas.openxmlformats.org/officeDocument/2006/relationships/hyperlink" Target="https://doi.org/10.1007/s42486-023-00136-7" TargetMode="External"/><Relationship Id="rId107" Type="http://schemas.openxmlformats.org/officeDocument/2006/relationships/hyperlink" Target="https://ieeexplore.ieee.org/abstract/document/9018269" TargetMode="External"/><Relationship Id="rId11" Type="http://schemas.openxmlformats.org/officeDocument/2006/relationships/hyperlink" Target="https://link.springer.com/article/10.1007/s11042-026-21198-6" TargetMode="External"/><Relationship Id="rId32" Type="http://schemas.openxmlformats.org/officeDocument/2006/relationships/hyperlink" Target="https://www.sciencedirect.com/science/article/pii/S1053811921003062?via%3Dihub" TargetMode="External"/><Relationship Id="rId53" Type="http://schemas.openxmlformats.org/officeDocument/2006/relationships/hyperlink" Target="https://link.springer.com/article/10.1186/s40580-026-00552-2" TargetMode="External"/><Relationship Id="rId74" Type="http://schemas.openxmlformats.org/officeDocument/2006/relationships/hyperlink" Target="https://doi.org/10.1038/s41598-025-14946-5" TargetMode="External"/><Relationship Id="rId128" Type="http://schemas.openxmlformats.org/officeDocument/2006/relationships/hyperlink" Target="https://doi.org/10.1186/s41235-020-00240-7" TargetMode="External"/><Relationship Id="rId149" Type="http://schemas.openxmlformats.org/officeDocument/2006/relationships/hyperlink" Target="https://doi.org/10.1145/3517428.3544797" TargetMode="External"/><Relationship Id="rId5" Type="http://schemas.openxmlformats.org/officeDocument/2006/relationships/hyperlink" Target="https://link.springer.com/article/10.1007/s12193-025-00463-2" TargetMode="External"/><Relationship Id="rId95" Type="http://schemas.openxmlformats.org/officeDocument/2006/relationships/hyperlink" Target="https://ieeexplore.ieee.org/document/9664257" TargetMode="External"/><Relationship Id="rId22" Type="http://schemas.openxmlformats.org/officeDocument/2006/relationships/hyperlink" Target="https://www.cell.com/heliyon/fulltext/S2405-8440(24)07856-3?_returnURL=https%3A%2F%2Flinkinghub.elsevier.com%2Fretrieve%2Fpii%2FS2405844024078563%3Fshowall%3Dtrue" TargetMode="External"/><Relationship Id="rId27" Type="http://schemas.openxmlformats.org/officeDocument/2006/relationships/hyperlink" Target="https://link.springer.com/article/10.1007/s11042-023-16355-0" TargetMode="External"/><Relationship Id="rId43" Type="http://schemas.openxmlformats.org/officeDocument/2006/relationships/hyperlink" Target="https://doi.org/10.1109/TOH.2025.3616046" TargetMode="External"/><Relationship Id="rId48" Type="http://schemas.openxmlformats.org/officeDocument/2006/relationships/hyperlink" Target="https://link.springer.com/article/10.1007/s44443-025-00234-9" TargetMode="External"/><Relationship Id="rId64" Type="http://schemas.openxmlformats.org/officeDocument/2006/relationships/hyperlink" Target="https://www.sciencedirect.com/science/article/abs/pii/S0957417423015671?via%3Dihub" TargetMode="External"/><Relationship Id="rId69" Type="http://schemas.openxmlformats.org/officeDocument/2006/relationships/hyperlink" Target="https://www.nature.com/articles/s41539-025-00385-4" TargetMode="External"/><Relationship Id="rId113" Type="http://schemas.openxmlformats.org/officeDocument/2006/relationships/hyperlink" Target="https://doi.org/10.1016/j.actpsy.2019.102950" TargetMode="External"/><Relationship Id="rId118" Type="http://schemas.openxmlformats.org/officeDocument/2006/relationships/hyperlink" Target="https://link.springer.com/article/10.1007/s10846-023-01824-3" TargetMode="External"/><Relationship Id="rId134" Type="http://schemas.openxmlformats.org/officeDocument/2006/relationships/hyperlink" Target="https://ieeexplore.ieee.org/document/10571914/" TargetMode="External"/><Relationship Id="rId139" Type="http://schemas.openxmlformats.org/officeDocument/2006/relationships/hyperlink" Target="https://link.springer.com/article/10.1007/s42486-023-00136-7" TargetMode="External"/><Relationship Id="rId80" Type="http://schemas.openxmlformats.org/officeDocument/2006/relationships/hyperlink" Target="https://ojs.aaai.org/index.php/AAAI/article/view/25233?utm_source=chatgpt.com" TargetMode="External"/><Relationship Id="rId85" Type="http://schemas.openxmlformats.org/officeDocument/2006/relationships/hyperlink" Target="https://arxiv.org/abs/2201.04453like" TargetMode="External"/><Relationship Id="rId150" Type="http://schemas.openxmlformats.org/officeDocument/2006/relationships/hyperlink" Target="https://www.nature.com/articles/s41928-023-01074-z" TargetMode="External"/><Relationship Id="rId12" Type="http://schemas.openxmlformats.org/officeDocument/2006/relationships/hyperlink" Target="https://doi.org/10.1016/j.neubiorev.2007.05.010" TargetMode="External"/><Relationship Id="rId17" Type="http://schemas.openxmlformats.org/officeDocument/2006/relationships/hyperlink" Target="https://www.sciencedirect.com/science/article/pii/S0893608023007499?via%3Dihub" TargetMode="External"/><Relationship Id="rId33" Type="http://schemas.openxmlformats.org/officeDocument/2006/relationships/hyperlink" Target="https://doi.org/10.1016/j.neuroimage.2024.120621" TargetMode="External"/><Relationship Id="rId38" Type="http://schemas.openxmlformats.org/officeDocument/2006/relationships/hyperlink" Target="https://doi.org/10.1049/ell2.70570" TargetMode="External"/><Relationship Id="rId59" Type="http://schemas.openxmlformats.org/officeDocument/2006/relationships/hyperlink" Target="https://doi.org/10.3389/fnhum.2014.00291" TargetMode="External"/><Relationship Id="rId103" Type="http://schemas.openxmlformats.org/officeDocument/2006/relationships/hyperlink" Target="https://www.nature.com/articles/s41598-026-37578-9" TargetMode="External"/><Relationship Id="rId108" Type="http://schemas.openxmlformats.org/officeDocument/2006/relationships/hyperlink" Target="https://doi.org/10.1007/s12193-025-00452-5" TargetMode="External"/><Relationship Id="rId124" Type="http://schemas.openxmlformats.org/officeDocument/2006/relationships/hyperlink" Target="https://journals.sagepub.com/doi/10.1177/10711813251360704" TargetMode="External"/><Relationship Id="rId129" Type="http://schemas.openxmlformats.org/officeDocument/2006/relationships/hyperlink" Target="https://doi.org/10.1177/14604582221112609" TargetMode="External"/><Relationship Id="rId54" Type="http://schemas.openxmlformats.org/officeDocument/2006/relationships/hyperlink" Target="https://link.springer.com/article/10.1186/s41235-023-00495-w" TargetMode="External"/><Relationship Id="rId70" Type="http://schemas.openxmlformats.org/officeDocument/2006/relationships/hyperlink" Target="https://www.sciencedirect.com/science/article/abs/pii/S136466130800199X" TargetMode="External"/><Relationship Id="rId75" Type="http://schemas.openxmlformats.org/officeDocument/2006/relationships/hyperlink" Target="https://www.nature.com/articles/s41598-025-14946-5" TargetMode="External"/><Relationship Id="rId91" Type="http://schemas.openxmlformats.org/officeDocument/2006/relationships/hyperlink" Target="https://ieeexplore.ieee.org/document/9743965" TargetMode="External"/><Relationship Id="rId96" Type="http://schemas.openxmlformats.org/officeDocument/2006/relationships/hyperlink" Target="https://www.nature.com/articles/s41598-025-29947-7" TargetMode="External"/><Relationship Id="rId140" Type="http://schemas.openxmlformats.org/officeDocument/2006/relationships/hyperlink" Target="https://journals.sagepub.com/doi/10.1177/20552076251408522" TargetMode="External"/><Relationship Id="rId145" Type="http://schemas.openxmlformats.org/officeDocument/2006/relationships/hyperlink" Target="https://doi.org/10.1109/ICRA40945.2020.9196782" TargetMode="External"/><Relationship Id="rId1" Type="http://schemas.openxmlformats.org/officeDocument/2006/relationships/hyperlink" Target="https://doi.org/10.3233/FAIA231495" TargetMode="External"/><Relationship Id="rId6" Type="http://schemas.openxmlformats.org/officeDocument/2006/relationships/hyperlink" Target="https://doi.org/10.1016/j.patrec.2019.03.008" TargetMode="External"/><Relationship Id="rId23" Type="http://schemas.openxmlformats.org/officeDocument/2006/relationships/hyperlink" Target="https://ieeexplore.ieee.org/document/5165018" TargetMode="External"/><Relationship Id="rId28" Type="http://schemas.openxmlformats.org/officeDocument/2006/relationships/hyperlink" Target="https://www.sciencedirect.com/science/article/pii/S0006899325003555?via%3Dihub" TargetMode="External"/><Relationship Id="rId49" Type="http://schemas.openxmlformats.org/officeDocument/2006/relationships/hyperlink" Target="https://doi.org/10.1186/s12984-021-00935-y" TargetMode="External"/><Relationship Id="rId114" Type="http://schemas.openxmlformats.org/officeDocument/2006/relationships/hyperlink" Target="https://doi.org/10.3389/fnhum.2014.00291" TargetMode="External"/><Relationship Id="rId119" Type="http://schemas.openxmlformats.org/officeDocument/2006/relationships/hyperlink" Target="https://doi.org/10.1007/s10846-023-01824-3" TargetMode="External"/><Relationship Id="rId44" Type="http://schemas.openxmlformats.org/officeDocument/2006/relationships/hyperlink" Target="https://ieeexplore.ieee.org/document/11186136" TargetMode="External"/><Relationship Id="rId60" Type="http://schemas.openxmlformats.org/officeDocument/2006/relationships/hyperlink" Target="https://www.frontiersin.org/journals/human-neuroscience/articles/10.3389/fnhum.2014.00291/full" TargetMode="External"/><Relationship Id="rId65" Type="http://schemas.openxmlformats.org/officeDocument/2006/relationships/hyperlink" Target="https://www.nature.com/articles/s41928-023-01074-z" TargetMode="External"/><Relationship Id="rId81" Type="http://schemas.openxmlformats.org/officeDocument/2006/relationships/hyperlink" Target="https://ieeexplore.ieee.org/document/6611022" TargetMode="External"/><Relationship Id="rId86" Type="http://schemas.openxmlformats.org/officeDocument/2006/relationships/hyperlink" Target="https://journals.sagepub.com/doi/10.1177/0145482X19842491" TargetMode="External"/><Relationship Id="rId130" Type="http://schemas.openxmlformats.org/officeDocument/2006/relationships/hyperlink" Target="https://journals.sagepub.com/doi/10.1177/14604582221112609" TargetMode="External"/><Relationship Id="rId135" Type="http://schemas.openxmlformats.org/officeDocument/2006/relationships/hyperlink" Target="https://ieeexplore.ieee.org/document/10041898" TargetMode="External"/><Relationship Id="rId151" Type="http://schemas.openxmlformats.org/officeDocument/2006/relationships/hyperlink" Target="https://dl.acm.org/doi/10.1145/3517428.354479" TargetMode="External"/><Relationship Id="rId13" Type="http://schemas.openxmlformats.org/officeDocument/2006/relationships/hyperlink" Target="https://www.sciencedirect.com/science/article/abs/pii/S0149763407000668?via%3Dihub" TargetMode="External"/><Relationship Id="rId18" Type="http://schemas.openxmlformats.org/officeDocument/2006/relationships/hyperlink" Target="https://journals.sagepub.com/doi/10.1177/20556683251316305" TargetMode="External"/><Relationship Id="rId39" Type="http://schemas.openxmlformats.org/officeDocument/2006/relationships/hyperlink" Target="https://ietresearch.onlinelibrary.wiley.com/doi/10.1049/ell2.70570" TargetMode="External"/><Relationship Id="rId109" Type="http://schemas.openxmlformats.org/officeDocument/2006/relationships/hyperlink" Target="https://link.springer.com/article/10.1007/s12193-025-00452-5" TargetMode="External"/><Relationship Id="rId34" Type="http://schemas.openxmlformats.org/officeDocument/2006/relationships/hyperlink" Target="https://www.sciencedirect.com/science/article/pii/S1053811924001162?via%3Dihub" TargetMode="External"/><Relationship Id="rId50" Type="http://schemas.openxmlformats.org/officeDocument/2006/relationships/hyperlink" Target="https://link.springer.com/article/10.1186/s12984-021-00935-y" TargetMode="External"/><Relationship Id="rId55" Type="http://schemas.openxmlformats.org/officeDocument/2006/relationships/hyperlink" Target="https://www.nature.com/articles/s41378-026-01190-8" TargetMode="External"/><Relationship Id="rId76" Type="http://schemas.openxmlformats.org/officeDocument/2006/relationships/hyperlink" Target="https://doi.org/10.1038/s41598-025-20765-5" TargetMode="External"/><Relationship Id="rId97" Type="http://schemas.openxmlformats.org/officeDocument/2006/relationships/hyperlink" Target="https://www.nature.com/articles/s41598-025-28038-x" TargetMode="External"/><Relationship Id="rId104" Type="http://schemas.openxmlformats.org/officeDocument/2006/relationships/hyperlink" Target="https://doi.org/10.1007/s13042-023-01887-6" TargetMode="External"/><Relationship Id="rId120" Type="http://schemas.openxmlformats.org/officeDocument/2006/relationships/hyperlink" Target="https://www.researchgate.net/publication/357424856_HaptoMapping_Visuo-Haptic_Augmented_Reality_by_Embedding_User-Imperceptible_Tactile_Display_Control_Signals_in_a_Projected_Image" TargetMode="External"/><Relationship Id="rId125" Type="http://schemas.openxmlformats.org/officeDocument/2006/relationships/hyperlink" Target="https://10.0.4.153/10711813251360704" TargetMode="External"/><Relationship Id="rId141" Type="http://schemas.openxmlformats.org/officeDocument/2006/relationships/hyperlink" Target="https://www.tandfonline.com/doi/full/10.1080/23311916.2025.2560974" TargetMode="External"/><Relationship Id="rId146" Type="http://schemas.openxmlformats.org/officeDocument/2006/relationships/hyperlink" Target="https://doi.org/10.1038/s41928-023-01074-z" TargetMode="External"/><Relationship Id="rId7" Type="http://schemas.openxmlformats.org/officeDocument/2006/relationships/hyperlink" Target="https://www.sciencedirect.com/science/article/abs/pii/S0167865519300881?via%3Dihub" TargetMode="External"/><Relationship Id="rId71" Type="http://schemas.openxmlformats.org/officeDocument/2006/relationships/hyperlink" Target="https://www.nature.com/articles/s41598-020-59102-3" TargetMode="External"/><Relationship Id="rId92" Type="http://schemas.openxmlformats.org/officeDocument/2006/relationships/hyperlink" Target="https://doi.org/10.1038/s41598-025-21720-0" TargetMode="External"/><Relationship Id="rId2" Type="http://schemas.openxmlformats.org/officeDocument/2006/relationships/hyperlink" Target="https://ebooks.iospress.nl/doi/10.3233/FAIA231495" TargetMode="External"/><Relationship Id="rId29" Type="http://schemas.openxmlformats.org/officeDocument/2006/relationships/hyperlink" Target="https://doi.org/10.1016/j.neuroimage.2025.121652" TargetMode="External"/><Relationship Id="rId24" Type="http://schemas.openxmlformats.org/officeDocument/2006/relationships/hyperlink" Target="https://ieeexplore.ieee.org/document/5165018" TargetMode="External"/><Relationship Id="rId40" Type="http://schemas.openxmlformats.org/officeDocument/2006/relationships/hyperlink" Target="https://link.springer.com/article/10.1007/s11554-023-01314-7" TargetMode="External"/><Relationship Id="rId45" Type="http://schemas.openxmlformats.org/officeDocument/2006/relationships/hyperlink" Target="https://www.sciencedirect.com/science/article/abs/pii/S0006899315005156?via%3Dihub" TargetMode="External"/><Relationship Id="rId66" Type="http://schemas.openxmlformats.org/officeDocument/2006/relationships/hyperlink" Target="https://www.nature.com/articles/s41539-025-00385-4" TargetMode="External"/><Relationship Id="rId87" Type="http://schemas.openxmlformats.org/officeDocument/2006/relationships/hyperlink" Target="https://www.scitepress.org/PublishedPapers/2018/66175/" TargetMode="External"/><Relationship Id="rId110" Type="http://schemas.openxmlformats.org/officeDocument/2006/relationships/hyperlink" Target="https://www.sciencedirect.com/science/article/abs/pii/S1053810009001718?via%3Dihub" TargetMode="External"/><Relationship Id="rId115" Type="http://schemas.openxmlformats.org/officeDocument/2006/relationships/hyperlink" Target="https://ebooks.iospress.nl/doi/10.3233/FAIA231495" TargetMode="External"/><Relationship Id="rId131" Type="http://schemas.openxmlformats.org/officeDocument/2006/relationships/hyperlink" Target="https://www.tandfonline.com/doi/full/10.1080/17483107.2025.2463541" TargetMode="External"/><Relationship Id="rId136" Type="http://schemas.openxmlformats.org/officeDocument/2006/relationships/hyperlink" Target="https://doi.org/10.1016/j.eswa.2023.121065" TargetMode="External"/><Relationship Id="rId61" Type="http://schemas.openxmlformats.org/officeDocument/2006/relationships/hyperlink" Target="https://doi.org/10.1007/s11042-022-12577-w" TargetMode="External"/><Relationship Id="rId82" Type="http://schemas.openxmlformats.org/officeDocument/2006/relationships/hyperlink" Target="https://ecasp.ece.iit.edu/publications/2012-present/2021-10.pdf" TargetMode="External"/><Relationship Id="rId152" Type="http://schemas.openxmlformats.org/officeDocument/2006/relationships/table" Target="../tables/table1.xml"/><Relationship Id="rId19" Type="http://schemas.openxmlformats.org/officeDocument/2006/relationships/hyperlink" Target="https://link.springer.com/article/10.1007/s00530-025-02139-z" TargetMode="External"/><Relationship Id="rId14" Type="http://schemas.openxmlformats.org/officeDocument/2006/relationships/hyperlink" Target="https://ieeexplore.ieee.org/document/10438849" TargetMode="External"/><Relationship Id="rId30" Type="http://schemas.openxmlformats.org/officeDocument/2006/relationships/hyperlink" Target="https://www.sciencedirect.com/science/article/pii/S105381192500655X?via%3Dihub" TargetMode="External"/><Relationship Id="rId35" Type="http://schemas.openxmlformats.org/officeDocument/2006/relationships/hyperlink" Target="https://www.ieee-jas.net/article/doi/10.1109/JAS.2021.1004084?pageType=en" TargetMode="External"/><Relationship Id="rId56" Type="http://schemas.openxmlformats.org/officeDocument/2006/relationships/hyperlink" Target="https://doi.org/10.3233/FAIA231495" TargetMode="External"/><Relationship Id="rId77" Type="http://schemas.openxmlformats.org/officeDocument/2006/relationships/hyperlink" Target="https://www.nature.com/articles/s41598-025-20765-5" TargetMode="External"/><Relationship Id="rId100" Type="http://schemas.openxmlformats.org/officeDocument/2006/relationships/hyperlink" Target="https://doi.org/10.1038/s41598-025-99903-y" TargetMode="External"/><Relationship Id="rId105" Type="http://schemas.openxmlformats.org/officeDocument/2006/relationships/hyperlink" Target="https://link.springer.com/article/10.1007/s13042-023-01887-6" TargetMode="External"/><Relationship Id="rId126" Type="http://schemas.openxmlformats.org/officeDocument/2006/relationships/hyperlink" Target="http://linkinghub.elsevier.com/retrieve/pii/S1071581907001012" TargetMode="External"/><Relationship Id="rId147" Type="http://schemas.openxmlformats.org/officeDocument/2006/relationships/hyperlink" Target="https://doi.org/10.1145/3663547.374633" TargetMode="External"/><Relationship Id="rId8" Type="http://schemas.openxmlformats.org/officeDocument/2006/relationships/hyperlink" Target="https://link.springer.com/article/10.1007/s12193-024-00447-8" TargetMode="External"/><Relationship Id="rId51" Type="http://schemas.openxmlformats.org/officeDocument/2006/relationships/hyperlink" Target="https://doi.org/10.3758/s13414-024-02959-7" TargetMode="External"/><Relationship Id="rId72" Type="http://schemas.openxmlformats.org/officeDocument/2006/relationships/hyperlink" Target="https://doi.org/10.1038/s41598-025-08155-3" TargetMode="External"/><Relationship Id="rId93" Type="http://schemas.openxmlformats.org/officeDocument/2006/relationships/hyperlink" Target="https://arxiv.org/abs/2201.04453" TargetMode="External"/><Relationship Id="rId98" Type="http://schemas.openxmlformats.org/officeDocument/2006/relationships/hyperlink" Target="https://doi.org/10.1038/s41598-025-29947-7" TargetMode="External"/><Relationship Id="rId121" Type="http://schemas.openxmlformats.org/officeDocument/2006/relationships/hyperlink" Target="https://doi.org/10.1109/TVCG.2021.3136214" TargetMode="External"/><Relationship Id="rId142" Type="http://schemas.openxmlformats.org/officeDocument/2006/relationships/hyperlink" Target="https://arxiv.org/abs/2511.10026v3" TargetMode="External"/><Relationship Id="rId3" Type="http://schemas.openxmlformats.org/officeDocument/2006/relationships/hyperlink" Target="https://link.springer.com/article/10.1007/s12559-026-10547-0" TargetMode="External"/><Relationship Id="rId25" Type="http://schemas.openxmlformats.org/officeDocument/2006/relationships/hyperlink" Target="https://link.springer.com/article/10.1007/s11042-021-11287-z" TargetMode="External"/><Relationship Id="rId46" Type="http://schemas.openxmlformats.org/officeDocument/2006/relationships/hyperlink" Target="https://doi.org/10.1038/s41598-025-08155-3" TargetMode="External"/><Relationship Id="rId67" Type="http://schemas.openxmlformats.org/officeDocument/2006/relationships/hyperlink" Target="https://doi.org/10.1038/s41539-025-00385-4" TargetMode="External"/><Relationship Id="rId116" Type="http://schemas.openxmlformats.org/officeDocument/2006/relationships/hyperlink" Target="https://www.sciencedirect.com/science/article/abs/pii/S0001691819302008?via%3Dihub" TargetMode="External"/><Relationship Id="rId137" Type="http://schemas.openxmlformats.org/officeDocument/2006/relationships/hyperlink" Target="https://www.sciencedirect.com/science/article/abs/pii/S0957417423015671?via%3Dihub" TargetMode="External"/><Relationship Id="rId20" Type="http://schemas.openxmlformats.org/officeDocument/2006/relationships/hyperlink" Target="https://link.springer.com/article/10.1007/s00221-026-07309-7" TargetMode="External"/><Relationship Id="rId41" Type="http://schemas.openxmlformats.org/officeDocument/2006/relationships/hyperlink" Target="https://doi.org/10.1007/s10209-023-00973-4" TargetMode="External"/><Relationship Id="rId62" Type="http://schemas.openxmlformats.org/officeDocument/2006/relationships/hyperlink" Target="https://journals.sagepub.com/home/dhj" TargetMode="External"/><Relationship Id="rId83" Type="http://schemas.openxmlformats.org/officeDocument/2006/relationships/hyperlink" Target="https://arxiv.org/abs/2108.09174" TargetMode="External"/><Relationship Id="rId88" Type="http://schemas.openxmlformats.org/officeDocument/2006/relationships/hyperlink" Target="https://ojs.aaai.org/index.php/AAAI/article/view/25233" TargetMode="External"/><Relationship Id="rId111" Type="http://schemas.openxmlformats.org/officeDocument/2006/relationships/hyperlink" Target="https://doi.org/10.1109/ACCESS.2025.3548552?utm_source=chatgpt.com" TargetMode="External"/><Relationship Id="rId132" Type="http://schemas.openxmlformats.org/officeDocument/2006/relationships/hyperlink" Target="https://doi.org/10.1080/17483107.2025.2463541" TargetMode="External"/><Relationship Id="rId15" Type="http://schemas.openxmlformats.org/officeDocument/2006/relationships/hyperlink" Target="https://link.springer.com/article/10.1007/s11042-026-21158-0" TargetMode="External"/><Relationship Id="rId36" Type="http://schemas.openxmlformats.org/officeDocument/2006/relationships/hyperlink" Target="https://www.tandfonline.com/doi/epdf/10.1080/23311916.2025.2560974?needAccess=true" TargetMode="External"/><Relationship Id="rId57" Type="http://schemas.openxmlformats.org/officeDocument/2006/relationships/hyperlink" Target="https://doi.org/10.1016/j.actpsy.2019.102950" TargetMode="External"/><Relationship Id="rId106" Type="http://schemas.openxmlformats.org/officeDocument/2006/relationships/hyperlink" Target="https://journals.sagepub.com/doi/10.1177/10711813251360706" TargetMode="External"/><Relationship Id="rId127" Type="http://schemas.openxmlformats.org/officeDocument/2006/relationships/hyperlink" Target="https://link.springer.com/article/10.1186/s41235-020-00240-7" TargetMode="External"/><Relationship Id="rId10" Type="http://schemas.openxmlformats.org/officeDocument/2006/relationships/hyperlink" Target="https://link.springer.com/article/10.1007/s12193-021-00376-w" TargetMode="External"/><Relationship Id="rId31" Type="http://schemas.openxmlformats.org/officeDocument/2006/relationships/hyperlink" Target="https://doi.org/10.1016/j.neuroimage.2021.118029" TargetMode="External"/><Relationship Id="rId52" Type="http://schemas.openxmlformats.org/officeDocument/2006/relationships/hyperlink" Target="https://link.springer.com/article/10.3758/s13414-024-02959-7" TargetMode="External"/><Relationship Id="rId73" Type="http://schemas.openxmlformats.org/officeDocument/2006/relationships/hyperlink" Target="https://www.nature.com/articles/s41598-025-08155-3" TargetMode="External"/><Relationship Id="rId78" Type="http://schemas.openxmlformats.org/officeDocument/2006/relationships/hyperlink" Target="https://journals.sagepub.com/doi/10.1177/0145482X19842491" TargetMode="External"/><Relationship Id="rId94" Type="http://schemas.openxmlformats.org/officeDocument/2006/relationships/hyperlink" Target="https://www.nature.com/articles/s41598-025-21720-0" TargetMode="External"/><Relationship Id="rId99" Type="http://schemas.openxmlformats.org/officeDocument/2006/relationships/hyperlink" Target="https://doi.org/10.1038/s41598-025-29947-7" TargetMode="External"/><Relationship Id="rId101" Type="http://schemas.openxmlformats.org/officeDocument/2006/relationships/hyperlink" Target="https://www.nature.com/articles/s41598-025-99903-y" TargetMode="External"/><Relationship Id="rId122" Type="http://schemas.openxmlformats.org/officeDocument/2006/relationships/hyperlink" Target="https://ieeexplore.ieee.org/document/6610223" TargetMode="External"/><Relationship Id="rId143" Type="http://schemas.openxmlformats.org/officeDocument/2006/relationships/hyperlink" Target="https://advanced.onlinelibrary.wiley.com/doi/10.1002/aisy.70450" TargetMode="External"/><Relationship Id="rId148" Type="http://schemas.openxmlformats.org/officeDocument/2006/relationships/hyperlink" Target="https://dl.acm.org/doi/10.1145/3663547.3746338" TargetMode="External"/><Relationship Id="rId4" Type="http://schemas.openxmlformats.org/officeDocument/2006/relationships/hyperlink" Target="https://ebooks.iospress.nl/doi/10.3233/APC210058" TargetMode="External"/><Relationship Id="rId9" Type="http://schemas.openxmlformats.org/officeDocument/2006/relationships/hyperlink" Target="https://link.springer.com/article/10.1007/s12193-023-00427-4" TargetMode="External"/><Relationship Id="rId26" Type="http://schemas.openxmlformats.org/officeDocument/2006/relationships/hyperlink" Target="https://link.springer.com/article/10.1007/s00221-021-06181-x" TargetMode="External"/><Relationship Id="rId47" Type="http://schemas.openxmlformats.org/officeDocument/2006/relationships/hyperlink" Target="https://doi.org/10.1007/s44443-025-00234-9" TargetMode="External"/><Relationship Id="rId68" Type="http://schemas.openxmlformats.org/officeDocument/2006/relationships/hyperlink" Target="https://doi.org/10.1038/s41539-025-00385-4" TargetMode="External"/><Relationship Id="rId89" Type="http://schemas.openxmlformats.org/officeDocument/2006/relationships/hyperlink" Target="https://ieeexplore.ieee.org/document/6611022" TargetMode="External"/><Relationship Id="rId112" Type="http://schemas.openxmlformats.org/officeDocument/2006/relationships/hyperlink" Target="https://doi.org/10.3233/FAIA231495" TargetMode="External"/><Relationship Id="rId133" Type="http://schemas.openxmlformats.org/officeDocument/2006/relationships/hyperlink" Target="https://dx.doi.org/10.1109/ACCESS.2024.3419102" TargetMode="External"/><Relationship Id="rId16" Type="http://schemas.openxmlformats.org/officeDocument/2006/relationships/hyperlink" Target="https://doi.org/10.1016/j.neunet.2023.12.042" TargetMode="External"/><Relationship Id="rId37" Type="http://schemas.openxmlformats.org/officeDocument/2006/relationships/hyperlink" Target="https://www.sciencedirect.com/science/article/pii/S2090447923002769?via%3Dihub" TargetMode="External"/><Relationship Id="rId58" Type="http://schemas.openxmlformats.org/officeDocument/2006/relationships/hyperlink" Target="https://www.sciencedirect.com/science/article/abs/pii/S0001691819302008?via%3Dihub" TargetMode="External"/><Relationship Id="rId79" Type="http://schemas.openxmlformats.org/officeDocument/2006/relationships/hyperlink" Target="https://pdfs.semanticscholar.org/9dc6/62fe1c66d32fd96ad040285a9ec3af56c912.pdf/1000" TargetMode="External"/><Relationship Id="rId102" Type="http://schemas.openxmlformats.org/officeDocument/2006/relationships/hyperlink" Target="https://doi.org/10.1038/s41598-026-37578-9" TargetMode="External"/><Relationship Id="rId123" Type="http://schemas.openxmlformats.org/officeDocument/2006/relationships/hyperlink" Target="https://doi.org/10.1109/EMBC.2013.6610223" TargetMode="External"/><Relationship Id="rId144" Type="http://schemas.openxmlformats.org/officeDocument/2006/relationships/hyperlink" Target="https://www.researchgate.net/publication/339725908_A_Visual_Positioning_System_for_Indoor_Blind_Navigation" TargetMode="External"/><Relationship Id="rId90" Type="http://schemas.openxmlformats.org/officeDocument/2006/relationships/hyperlink" Target="https://ieeexplore.ieee.org/document/949191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109/ACCESS.2025.3548552?utm_source=chatgpt.com" TargetMode="External"/><Relationship Id="rId3" Type="http://schemas.openxmlformats.org/officeDocument/2006/relationships/hyperlink" Target="https://journals.sagepub.com/doi/10.1177/10711813251360706" TargetMode="External"/><Relationship Id="rId7" Type="http://schemas.openxmlformats.org/officeDocument/2006/relationships/hyperlink" Target="https://www.sciencedirect.com/science/article/abs/pii/S1053810009001718?via%3Dihub" TargetMode="External"/><Relationship Id="rId2" Type="http://schemas.openxmlformats.org/officeDocument/2006/relationships/hyperlink" Target="https://link.springer.com/article/10.1007/s13042-023-01887-6" TargetMode="External"/><Relationship Id="rId1" Type="http://schemas.openxmlformats.org/officeDocument/2006/relationships/hyperlink" Target="https://doi.org/10.1007/s13042-023-01887-6" TargetMode="External"/><Relationship Id="rId6" Type="http://schemas.openxmlformats.org/officeDocument/2006/relationships/hyperlink" Target="https://link.springer.com/article/10.1007/s12193-025-00452-5" TargetMode="External"/><Relationship Id="rId5" Type="http://schemas.openxmlformats.org/officeDocument/2006/relationships/hyperlink" Target="https://doi.org/10.1007/s12193-025-00452-5" TargetMode="External"/><Relationship Id="rId10" Type="http://schemas.openxmlformats.org/officeDocument/2006/relationships/table" Target="../tables/table2.xml"/><Relationship Id="rId4" Type="http://schemas.openxmlformats.org/officeDocument/2006/relationships/hyperlink" Target="https://ieeexplore.ieee.org/abstract/document/9018269" TargetMode="External"/><Relationship Id="rId9" Type="http://schemas.openxmlformats.org/officeDocument/2006/relationships/hyperlink" Target="https://hal.science/hal-01993932v1/document"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x.doi.org/10.1109/ACCESS.2024.3419102" TargetMode="External"/><Relationship Id="rId21" Type="http://schemas.openxmlformats.org/officeDocument/2006/relationships/hyperlink" Target="https://ieeexplore.ieee.org/document/9743965" TargetMode="External"/><Relationship Id="rId42" Type="http://schemas.openxmlformats.org/officeDocument/2006/relationships/hyperlink" Target="https://www.nature.com/articles/s41598-020-59102-3" TargetMode="External"/><Relationship Id="rId63" Type="http://schemas.openxmlformats.org/officeDocument/2006/relationships/hyperlink" Target="https://link.springer.com/article/10.1186/s41235-023-00495-w" TargetMode="External"/><Relationship Id="rId84" Type="http://schemas.openxmlformats.org/officeDocument/2006/relationships/hyperlink" Target="https://www.sciencedirect.com/science/article/abs/pii/S0957417423015671?via%3Dihub" TargetMode="External"/><Relationship Id="rId138" Type="http://schemas.openxmlformats.org/officeDocument/2006/relationships/hyperlink" Target="https://www.frontiersin.org/journals/human-neuroscience/articles/10.3389/fnhum.2014.00291/full" TargetMode="External"/><Relationship Id="rId107" Type="http://schemas.openxmlformats.org/officeDocument/2006/relationships/hyperlink" Target="https://doi.org/10.1016/j.neunet.2023.12.042" TargetMode="External"/><Relationship Id="rId11" Type="http://schemas.openxmlformats.org/officeDocument/2006/relationships/hyperlink" Target="https://www.nature.com/articles/s41598-025-99903-y" TargetMode="External"/><Relationship Id="rId32" Type="http://schemas.openxmlformats.org/officeDocument/2006/relationships/hyperlink" Target="https://ojs.aaai.org/index.php/AAAI/article/view/25233?utm_source=chatgpt.com" TargetMode="External"/><Relationship Id="rId53" Type="http://schemas.openxmlformats.org/officeDocument/2006/relationships/hyperlink" Target="https://link.springer.com/article/10.1007/s42486-023-00136-7" TargetMode="External"/><Relationship Id="rId74" Type="http://schemas.openxmlformats.org/officeDocument/2006/relationships/hyperlink" Target="https://doi.org/10.1109/TOH.2025.3616046" TargetMode="External"/><Relationship Id="rId128" Type="http://schemas.openxmlformats.org/officeDocument/2006/relationships/hyperlink" Target="https://10.0.4.153/10711813251360704" TargetMode="External"/><Relationship Id="rId5" Type="http://schemas.openxmlformats.org/officeDocument/2006/relationships/hyperlink" Target="https://journals.sagepub.com/doi/10.1177/10711813251360706" TargetMode="External"/><Relationship Id="rId90" Type="http://schemas.openxmlformats.org/officeDocument/2006/relationships/hyperlink" Target="https://doi.org/10.1016/j.neuroimage.2024.120621" TargetMode="External"/><Relationship Id="rId95" Type="http://schemas.openxmlformats.org/officeDocument/2006/relationships/hyperlink" Target="https://www.sciencedirect.com/science/article/pii/S0006899325003555?via%3Dihub" TargetMode="External"/><Relationship Id="rId22" Type="http://schemas.openxmlformats.org/officeDocument/2006/relationships/hyperlink" Target="https://ieeexplore.ieee.org/document/9491913" TargetMode="External"/><Relationship Id="rId27" Type="http://schemas.openxmlformats.org/officeDocument/2006/relationships/hyperlink" Target="https://arxiv.org/abs/2201.04453like" TargetMode="External"/><Relationship Id="rId43" Type="http://schemas.openxmlformats.org/officeDocument/2006/relationships/hyperlink" Target="https://www.sciencedirect.com/science/article/abs/pii/S136466130800199X" TargetMode="External"/><Relationship Id="rId48" Type="http://schemas.openxmlformats.org/officeDocument/2006/relationships/hyperlink" Target="https://www.researchgate.net/publication/339725908_A_Visual_Positioning_System_for_Indoor_Blind_Navigation" TargetMode="External"/><Relationship Id="rId64" Type="http://schemas.openxmlformats.org/officeDocument/2006/relationships/hyperlink" Target="https://link.springer.com/article/10.1186/s40580-026-00552-2" TargetMode="External"/><Relationship Id="rId69" Type="http://schemas.openxmlformats.org/officeDocument/2006/relationships/hyperlink" Target="https://link.springer.com/article/10.1007/s44443-025-00234-9" TargetMode="External"/><Relationship Id="rId113" Type="http://schemas.openxmlformats.org/officeDocument/2006/relationships/hyperlink" Target="https://link.springer.com/article/10.1007/s12193-021-00376-w" TargetMode="External"/><Relationship Id="rId118" Type="http://schemas.openxmlformats.org/officeDocument/2006/relationships/hyperlink" Target="https://doi.org/10.1080/17483107.2025.2463541" TargetMode="External"/><Relationship Id="rId134" Type="http://schemas.openxmlformats.org/officeDocument/2006/relationships/hyperlink" Target="https://www.researchgate.net/publication/357424856_HaptoMapping_Visuo-Haptic_Augmented_Reality_by_Embedding_User-Imperceptible_Tactile_Display_Control_Signals_in_a_Projected_Image" TargetMode="External"/><Relationship Id="rId139" Type="http://schemas.openxmlformats.org/officeDocument/2006/relationships/hyperlink" Target="https://www.sciencedirect.com/science/article/abs/pii/S0001691819302008?via%3Dihub" TargetMode="External"/><Relationship Id="rId80" Type="http://schemas.openxmlformats.org/officeDocument/2006/relationships/hyperlink" Target="https://journals.sagepub.com/doi/10.1177/20552076251408522" TargetMode="External"/><Relationship Id="rId85" Type="http://schemas.openxmlformats.org/officeDocument/2006/relationships/hyperlink" Target="https://doi.org/10.1016/j.eswa.2023.121065" TargetMode="External"/><Relationship Id="rId12" Type="http://schemas.openxmlformats.org/officeDocument/2006/relationships/hyperlink" Target="https://doi.org/10.1038/s41598-025-99903-y" TargetMode="External"/><Relationship Id="rId17" Type="http://schemas.openxmlformats.org/officeDocument/2006/relationships/hyperlink" Target="https://ieeexplore.ieee.org/document/9664257" TargetMode="External"/><Relationship Id="rId33" Type="http://schemas.openxmlformats.org/officeDocument/2006/relationships/hyperlink" Target="https://pdfs.semanticscholar.org/9dc6/62fe1c66d32fd96ad040285a9ec3af56c912.pdf/1000" TargetMode="External"/><Relationship Id="rId38" Type="http://schemas.openxmlformats.org/officeDocument/2006/relationships/hyperlink" Target="https://doi.org/10.1038/s41598-025-14946-5" TargetMode="External"/><Relationship Id="rId59" Type="http://schemas.openxmlformats.org/officeDocument/2006/relationships/hyperlink" Target="https://www.sciencedirect.com/science/article/abs/pii/S0001691819302008?via%3Dihub" TargetMode="External"/><Relationship Id="rId103" Type="http://schemas.openxmlformats.org/officeDocument/2006/relationships/hyperlink" Target="https://link.springer.com/article/10.1007/s00221-026-07309-7" TargetMode="External"/><Relationship Id="rId108" Type="http://schemas.openxmlformats.org/officeDocument/2006/relationships/hyperlink" Target="https://link.springer.com/article/10.1007/s11042-026-21158-0" TargetMode="External"/><Relationship Id="rId124" Type="http://schemas.openxmlformats.org/officeDocument/2006/relationships/hyperlink" Target="https://doi.org/10.1186/s41235-020-00240-7" TargetMode="External"/><Relationship Id="rId129" Type="http://schemas.openxmlformats.org/officeDocument/2006/relationships/hyperlink" Target="https://journals.sagepub.com/doi/10.1177/10711813251360704" TargetMode="External"/><Relationship Id="rId54" Type="http://schemas.openxmlformats.org/officeDocument/2006/relationships/hyperlink" Target="https://journals.sagepub.com/home/dhj" TargetMode="External"/><Relationship Id="rId70" Type="http://schemas.openxmlformats.org/officeDocument/2006/relationships/hyperlink" Target="https://doi.org/10.1007/s44443-025-00234-9" TargetMode="External"/><Relationship Id="rId75" Type="http://schemas.openxmlformats.org/officeDocument/2006/relationships/hyperlink" Target="https://link.springer.com/article/10.1007/s10209-023-00973-4" TargetMode="External"/><Relationship Id="rId91" Type="http://schemas.openxmlformats.org/officeDocument/2006/relationships/hyperlink" Target="https://www.sciencedirect.com/science/article/pii/S1053811921003062?via%3Dihub" TargetMode="External"/><Relationship Id="rId96" Type="http://schemas.openxmlformats.org/officeDocument/2006/relationships/hyperlink" Target="https://link.springer.com/article/10.1007/s11042-023-16355-0" TargetMode="External"/><Relationship Id="rId140" Type="http://schemas.openxmlformats.org/officeDocument/2006/relationships/hyperlink" Target="https://ebooks.iospress.nl/doi/10.3233/FAIA231495" TargetMode="External"/><Relationship Id="rId145" Type="http://schemas.openxmlformats.org/officeDocument/2006/relationships/hyperlink" Target="https://doi.org/10.1038/s41928-023-01074-z" TargetMode="External"/><Relationship Id="rId1" Type="http://schemas.openxmlformats.org/officeDocument/2006/relationships/hyperlink" Target="https://www.sciencedirect.com/science/article/abs/pii/S1053810009001718?via%3Dihub" TargetMode="External"/><Relationship Id="rId6" Type="http://schemas.openxmlformats.org/officeDocument/2006/relationships/hyperlink" Target="https://link.springer.com/article/10.1007/s13042-023-01887-6" TargetMode="External"/><Relationship Id="rId23" Type="http://schemas.openxmlformats.org/officeDocument/2006/relationships/hyperlink" Target="https://ieeexplore.ieee.org/document/6611022" TargetMode="External"/><Relationship Id="rId28" Type="http://schemas.openxmlformats.org/officeDocument/2006/relationships/hyperlink" Target="https://arxiv.org/abs/2201.03036" TargetMode="External"/><Relationship Id="rId49" Type="http://schemas.openxmlformats.org/officeDocument/2006/relationships/hyperlink" Target="https://doi.org/10.1109/ICRA40945.2020.9196782" TargetMode="External"/><Relationship Id="rId114" Type="http://schemas.openxmlformats.org/officeDocument/2006/relationships/hyperlink" Target="https://link.springer.com/article/10.1007/s12193-023-00427-4" TargetMode="External"/><Relationship Id="rId119" Type="http://schemas.openxmlformats.org/officeDocument/2006/relationships/hyperlink" Target="https://www.sciencedirect.com/science/article/abs/pii/S0167865519300881?via%3Dihub" TargetMode="External"/><Relationship Id="rId44" Type="http://schemas.openxmlformats.org/officeDocument/2006/relationships/hyperlink" Target="https://www.nature.com/articles/s41539-025-00385-4" TargetMode="External"/><Relationship Id="rId60" Type="http://schemas.openxmlformats.org/officeDocument/2006/relationships/hyperlink" Target="https://doi.org/10.1016/j.actpsy.2019.102950" TargetMode="External"/><Relationship Id="rId65" Type="http://schemas.openxmlformats.org/officeDocument/2006/relationships/hyperlink" Target="https://link.springer.com/article/10.3758/s13414-024-02959-7" TargetMode="External"/><Relationship Id="rId81" Type="http://schemas.openxmlformats.org/officeDocument/2006/relationships/hyperlink" Target="https://www.sciencedirect.com/science/article/pii/S2090447923002769?via%3Dihub" TargetMode="External"/><Relationship Id="rId86" Type="http://schemas.openxmlformats.org/officeDocument/2006/relationships/hyperlink" Target="https://ieeexplore.ieee.org/document/10041898" TargetMode="External"/><Relationship Id="rId130" Type="http://schemas.openxmlformats.org/officeDocument/2006/relationships/hyperlink" Target="https://ebooks.iospress.nl/doi/10.3233/APC210058" TargetMode="External"/><Relationship Id="rId135" Type="http://schemas.openxmlformats.org/officeDocument/2006/relationships/hyperlink" Target="https://link.springer.com/article/10.1007/s12559-026-10547-0" TargetMode="External"/><Relationship Id="rId13" Type="http://schemas.openxmlformats.org/officeDocument/2006/relationships/hyperlink" Target="https://doi.org/10.1038/s41598-025-29947-7" TargetMode="External"/><Relationship Id="rId18" Type="http://schemas.openxmlformats.org/officeDocument/2006/relationships/hyperlink" Target="https://www.nature.com/articles/s41598-025-21720-0" TargetMode="External"/><Relationship Id="rId39" Type="http://schemas.openxmlformats.org/officeDocument/2006/relationships/hyperlink" Target="https://www.nature.com/articles/s41598-025-08155-3" TargetMode="External"/><Relationship Id="rId109" Type="http://schemas.openxmlformats.org/officeDocument/2006/relationships/hyperlink" Target="https://ieeexplore.ieee.org/document/10438849" TargetMode="External"/><Relationship Id="rId34" Type="http://schemas.openxmlformats.org/officeDocument/2006/relationships/hyperlink" Target="https://journals.sagepub.com/doi/10.1177/0145482X19842491" TargetMode="External"/><Relationship Id="rId50" Type="http://schemas.openxmlformats.org/officeDocument/2006/relationships/hyperlink" Target="https://arxiv.org/abs/2511.10026v3" TargetMode="External"/><Relationship Id="rId55" Type="http://schemas.openxmlformats.org/officeDocument/2006/relationships/hyperlink" Target="https://doi.org/10.1007/s11042-022-12577-w" TargetMode="External"/><Relationship Id="rId76" Type="http://schemas.openxmlformats.org/officeDocument/2006/relationships/hyperlink" Target="https://doi.org/10.1007/s10209-023-00973-4" TargetMode="External"/><Relationship Id="rId97" Type="http://schemas.openxmlformats.org/officeDocument/2006/relationships/hyperlink" Target="https://link.springer.com/article/10.1007/s00221-021-06181-x" TargetMode="External"/><Relationship Id="rId104" Type="http://schemas.openxmlformats.org/officeDocument/2006/relationships/hyperlink" Target="https://link.springer.com/article/10.1007/s00530-025-02139-z" TargetMode="External"/><Relationship Id="rId120" Type="http://schemas.openxmlformats.org/officeDocument/2006/relationships/hyperlink" Target="https://www.tandfonline.com/doi/full/10.1080/17483107.2025.2463541" TargetMode="External"/><Relationship Id="rId125" Type="http://schemas.openxmlformats.org/officeDocument/2006/relationships/hyperlink" Target="https://link.springer.com/article/10.1186/s41235-020-00240-7" TargetMode="External"/><Relationship Id="rId141" Type="http://schemas.openxmlformats.org/officeDocument/2006/relationships/hyperlink" Target="https://doi.org/10.3389/fnhum.2014.00291" TargetMode="External"/><Relationship Id="rId146" Type="http://schemas.openxmlformats.org/officeDocument/2006/relationships/hyperlink" Target="https://doi.org/10.1038/s41598-025-27603-8" TargetMode="External"/><Relationship Id="rId7" Type="http://schemas.openxmlformats.org/officeDocument/2006/relationships/hyperlink" Target="https://doi.org/10.1007/s13042-023-01887-6" TargetMode="External"/><Relationship Id="rId71" Type="http://schemas.openxmlformats.org/officeDocument/2006/relationships/hyperlink" Target="https://doi.org/10.1038/s41598-025-08155-3" TargetMode="External"/><Relationship Id="rId92" Type="http://schemas.openxmlformats.org/officeDocument/2006/relationships/hyperlink" Target="https://doi.org/10.1016/j.neuroimage.2021.118029" TargetMode="External"/><Relationship Id="rId2" Type="http://schemas.openxmlformats.org/officeDocument/2006/relationships/hyperlink" Target="https://link.springer.com/article/10.1007/s12193-025-00452-5" TargetMode="External"/><Relationship Id="rId29" Type="http://schemas.openxmlformats.org/officeDocument/2006/relationships/hyperlink" Target="https://arxiv.org/abs/2108.09174" TargetMode="External"/><Relationship Id="rId24" Type="http://schemas.openxmlformats.org/officeDocument/2006/relationships/hyperlink" Target="https://ojs.aaai.org/index.php/AAAI/article/view/25233" TargetMode="External"/><Relationship Id="rId40" Type="http://schemas.openxmlformats.org/officeDocument/2006/relationships/hyperlink" Target="https://doi.org/10.1038/s41598-025-08155-3" TargetMode="External"/><Relationship Id="rId45" Type="http://schemas.openxmlformats.org/officeDocument/2006/relationships/hyperlink" Target="https://doi.org/10.1038/s41539-025-00385-4" TargetMode="External"/><Relationship Id="rId66" Type="http://schemas.openxmlformats.org/officeDocument/2006/relationships/hyperlink" Target="https://doi.org/10.3758/s13414-024-02959-7" TargetMode="External"/><Relationship Id="rId87" Type="http://schemas.openxmlformats.org/officeDocument/2006/relationships/hyperlink" Target="https://www.tandfonline.com/doi/epdf/10.1080/23311916.2025.2560974?needAccess=true" TargetMode="External"/><Relationship Id="rId110" Type="http://schemas.openxmlformats.org/officeDocument/2006/relationships/hyperlink" Target="https://www.sciencedirect.com/science/article/abs/pii/S0149763407000668?via%3Dihub" TargetMode="External"/><Relationship Id="rId115" Type="http://schemas.openxmlformats.org/officeDocument/2006/relationships/hyperlink" Target="https://link.springer.com/article/10.1007/s12193-024-00447-8" TargetMode="External"/><Relationship Id="rId131" Type="http://schemas.openxmlformats.org/officeDocument/2006/relationships/hyperlink" Target="https://doi.org/10.1109/EMBC.2013.6610223" TargetMode="External"/><Relationship Id="rId136" Type="http://schemas.openxmlformats.org/officeDocument/2006/relationships/hyperlink" Target="https://doi.org/10.1007/s10846-023-01824-3" TargetMode="External"/><Relationship Id="rId61" Type="http://schemas.openxmlformats.org/officeDocument/2006/relationships/hyperlink" Target="https://doi.org/10.3233/FAIA231495" TargetMode="External"/><Relationship Id="rId82" Type="http://schemas.openxmlformats.org/officeDocument/2006/relationships/hyperlink" Target="https://link.springer.com/article/10.1007/s42486-023-00136-7" TargetMode="External"/><Relationship Id="rId19" Type="http://schemas.openxmlformats.org/officeDocument/2006/relationships/hyperlink" Target="https://arxiv.org/abs/2201.04453" TargetMode="External"/><Relationship Id="rId14" Type="http://schemas.openxmlformats.org/officeDocument/2006/relationships/hyperlink" Target="https://doi.org/10.1038/s41598-025-29947-7" TargetMode="External"/><Relationship Id="rId30" Type="http://schemas.openxmlformats.org/officeDocument/2006/relationships/hyperlink" Target="https://ecasp.ece.iit.edu/publications/2012-present/2021-10.pdf" TargetMode="External"/><Relationship Id="rId35" Type="http://schemas.openxmlformats.org/officeDocument/2006/relationships/hyperlink" Target="https://www.nature.com/articles/s41598-025-20765-5" TargetMode="External"/><Relationship Id="rId56" Type="http://schemas.openxmlformats.org/officeDocument/2006/relationships/hyperlink" Target="https://www.tandfonline.com/doi/full/10.1080/23311916.2025.2560974" TargetMode="External"/><Relationship Id="rId77" Type="http://schemas.openxmlformats.org/officeDocument/2006/relationships/hyperlink" Target="https://link.springer.com/article/10.1007/s11554-023-01314-7" TargetMode="External"/><Relationship Id="rId100" Type="http://schemas.openxmlformats.org/officeDocument/2006/relationships/hyperlink" Target="https://ieeexplore.ieee.org/document/5165018" TargetMode="External"/><Relationship Id="rId105" Type="http://schemas.openxmlformats.org/officeDocument/2006/relationships/hyperlink" Target="https://journals.sagepub.com/doi/10.1177/20556683251316305" TargetMode="External"/><Relationship Id="rId126" Type="http://schemas.openxmlformats.org/officeDocument/2006/relationships/hyperlink" Target="http://linkinghub.elsevier.com/retrieve/pii/S1071581907001012" TargetMode="External"/><Relationship Id="rId147" Type="http://schemas.openxmlformats.org/officeDocument/2006/relationships/hyperlink" Target="https://www.nature.com/articles/s41598-025-27603-8" TargetMode="External"/><Relationship Id="rId8" Type="http://schemas.openxmlformats.org/officeDocument/2006/relationships/hyperlink" Target="https://doi.org/10.1038/s41598-025-28038-x" TargetMode="External"/><Relationship Id="rId51" Type="http://schemas.openxmlformats.org/officeDocument/2006/relationships/hyperlink" Target="https://www.nature.com/articles/s41928-023-01074-z" TargetMode="External"/><Relationship Id="rId72" Type="http://schemas.openxmlformats.org/officeDocument/2006/relationships/hyperlink" Target="https://www.sciencedirect.com/science/article/abs/pii/S0006899315005156?via%3Dihub" TargetMode="External"/><Relationship Id="rId93" Type="http://schemas.openxmlformats.org/officeDocument/2006/relationships/hyperlink" Target="https://www.sciencedirect.com/science/article/pii/S105381192500655X?via%3Dihub" TargetMode="External"/><Relationship Id="rId98" Type="http://schemas.openxmlformats.org/officeDocument/2006/relationships/hyperlink" Target="https://link.springer.com/article/10.1007/s11042-021-11287-z" TargetMode="External"/><Relationship Id="rId121" Type="http://schemas.openxmlformats.org/officeDocument/2006/relationships/hyperlink" Target="https://journals.sagepub.com/doi/10.1177/14604582221112609" TargetMode="External"/><Relationship Id="rId142" Type="http://schemas.openxmlformats.org/officeDocument/2006/relationships/hyperlink" Target="https://doi.org/10.1016/j.actpsy.2019.102950" TargetMode="External"/><Relationship Id="rId3" Type="http://schemas.openxmlformats.org/officeDocument/2006/relationships/hyperlink" Target="https://doi.org/10.1007/s12193-025-00452-5" TargetMode="External"/><Relationship Id="rId25" Type="http://schemas.openxmlformats.org/officeDocument/2006/relationships/hyperlink" Target="https://www.scitepress.org/PublishedPapers/2018/66175/" TargetMode="External"/><Relationship Id="rId46" Type="http://schemas.openxmlformats.org/officeDocument/2006/relationships/hyperlink" Target="https://doi.org/10.1038/s41539-025-00385-4" TargetMode="External"/><Relationship Id="rId67" Type="http://schemas.openxmlformats.org/officeDocument/2006/relationships/hyperlink" Target="https://link.springer.com/article/10.1186/s12984-021-00935-y" TargetMode="External"/><Relationship Id="rId116" Type="http://schemas.openxmlformats.org/officeDocument/2006/relationships/hyperlink" Target="https://ieeexplore.ieee.org/document/10571914/" TargetMode="External"/><Relationship Id="rId137" Type="http://schemas.openxmlformats.org/officeDocument/2006/relationships/hyperlink" Target="https://link.springer.com/article/10.1007/s10846-023-01824-3" TargetMode="External"/><Relationship Id="rId20" Type="http://schemas.openxmlformats.org/officeDocument/2006/relationships/hyperlink" Target="https://doi.org/10.1038/s41598-025-21720-0" TargetMode="External"/><Relationship Id="rId41" Type="http://schemas.openxmlformats.org/officeDocument/2006/relationships/hyperlink" Target="https://advanced.onlinelibrary.wiley.com/doi/10.1002/aisy.70450" TargetMode="External"/><Relationship Id="rId62" Type="http://schemas.openxmlformats.org/officeDocument/2006/relationships/hyperlink" Target="https://www.nature.com/articles/s41378-026-01190-8" TargetMode="External"/><Relationship Id="rId83" Type="http://schemas.openxmlformats.org/officeDocument/2006/relationships/hyperlink" Target="https://doi.org/10.1007/s42486-023-00136-7" TargetMode="External"/><Relationship Id="rId88" Type="http://schemas.openxmlformats.org/officeDocument/2006/relationships/hyperlink" Target="https://www.ieee-jas.net/article/doi/10.1109/JAS.2021.1004084?pageType=en" TargetMode="External"/><Relationship Id="rId111" Type="http://schemas.openxmlformats.org/officeDocument/2006/relationships/hyperlink" Target="https://doi.org/10.1016/j.neubiorev.2007.05.010" TargetMode="External"/><Relationship Id="rId132" Type="http://schemas.openxmlformats.org/officeDocument/2006/relationships/hyperlink" Target="https://ieeexplore.ieee.org/document/6610223" TargetMode="External"/><Relationship Id="rId15" Type="http://schemas.openxmlformats.org/officeDocument/2006/relationships/hyperlink" Target="https://www.nature.com/articles/s41598-025-28038-x" TargetMode="External"/><Relationship Id="rId36" Type="http://schemas.openxmlformats.org/officeDocument/2006/relationships/hyperlink" Target="https://doi.org/10.1038/s41598-025-20765-5" TargetMode="External"/><Relationship Id="rId57" Type="http://schemas.openxmlformats.org/officeDocument/2006/relationships/hyperlink" Target="https://www.frontiersin.org/journals/human-neuroscience/articles/10.3389/fnhum.2014.00291/full" TargetMode="External"/><Relationship Id="rId106" Type="http://schemas.openxmlformats.org/officeDocument/2006/relationships/hyperlink" Target="https://www.sciencedirect.com/science/article/pii/S0893608023007499?via%3Dihub" TargetMode="External"/><Relationship Id="rId127" Type="http://schemas.openxmlformats.org/officeDocument/2006/relationships/hyperlink" Target="https://link.springer.com/article/10.1007/s12193-025-00463-2" TargetMode="External"/><Relationship Id="rId10" Type="http://schemas.openxmlformats.org/officeDocument/2006/relationships/hyperlink" Target="https://doi.org/10.1038/s41598-026-37578-9" TargetMode="External"/><Relationship Id="rId31" Type="http://schemas.openxmlformats.org/officeDocument/2006/relationships/hyperlink" Target="https://ieeexplore.ieee.org/document/6611022" TargetMode="External"/><Relationship Id="rId52" Type="http://schemas.openxmlformats.org/officeDocument/2006/relationships/hyperlink" Target="https://www.sciencedirect.com/science/article/abs/pii/S0957417423015671?via%3Dihub" TargetMode="External"/><Relationship Id="rId73" Type="http://schemas.openxmlformats.org/officeDocument/2006/relationships/hyperlink" Target="https://ieeexplore.ieee.org/document/11186136" TargetMode="External"/><Relationship Id="rId78" Type="http://schemas.openxmlformats.org/officeDocument/2006/relationships/hyperlink" Target="https://ietresearch.onlinelibrary.wiley.com/doi/10.1049/ell2.70570" TargetMode="External"/><Relationship Id="rId94" Type="http://schemas.openxmlformats.org/officeDocument/2006/relationships/hyperlink" Target="https://doi.org/10.1016/j.neuroimage.2025.121652" TargetMode="External"/><Relationship Id="rId99" Type="http://schemas.openxmlformats.org/officeDocument/2006/relationships/hyperlink" Target="https://ieeexplore.ieee.org/document/5165018" TargetMode="External"/><Relationship Id="rId101" Type="http://schemas.openxmlformats.org/officeDocument/2006/relationships/hyperlink" Target="https://www.cell.com/heliyon/fulltext/S2405-8440(24)07856-3?_returnURL=https%3A%2F%2Flinkinghub.elsevier.com%2Fretrieve%2Fpii%2FS2405844024078563%3Fshowall%3Dtrue" TargetMode="External"/><Relationship Id="rId122" Type="http://schemas.openxmlformats.org/officeDocument/2006/relationships/hyperlink" Target="https://doi.org/10.1177/14604582221112609" TargetMode="External"/><Relationship Id="rId143" Type="http://schemas.openxmlformats.org/officeDocument/2006/relationships/hyperlink" Target="https://journals.sagepub.com/doi/10.3233/RNN-221279" TargetMode="External"/><Relationship Id="rId148" Type="http://schemas.openxmlformats.org/officeDocument/2006/relationships/table" Target="../tables/table3.xml"/><Relationship Id="rId4" Type="http://schemas.openxmlformats.org/officeDocument/2006/relationships/hyperlink" Target="https://ieeexplore.ieee.org/abstract/document/9018269" TargetMode="External"/><Relationship Id="rId9" Type="http://schemas.openxmlformats.org/officeDocument/2006/relationships/hyperlink" Target="https://www.nature.com/articles/s41598-026-37578-9" TargetMode="External"/><Relationship Id="rId26" Type="http://schemas.openxmlformats.org/officeDocument/2006/relationships/hyperlink" Target="https://journals.sagepub.com/doi/10.1177/0145482X19842491" TargetMode="External"/><Relationship Id="rId47" Type="http://schemas.openxmlformats.org/officeDocument/2006/relationships/hyperlink" Target="https://www.nature.com/articles/s41539-025-00385-4" TargetMode="External"/><Relationship Id="rId68" Type="http://schemas.openxmlformats.org/officeDocument/2006/relationships/hyperlink" Target="https://doi.org/10.1186/s12984-021-00935-y" TargetMode="External"/><Relationship Id="rId89" Type="http://schemas.openxmlformats.org/officeDocument/2006/relationships/hyperlink" Target="https://www.sciencedirect.com/science/article/pii/S1053811924001162?via%3Dihub" TargetMode="External"/><Relationship Id="rId112" Type="http://schemas.openxmlformats.org/officeDocument/2006/relationships/hyperlink" Target="https://link.springer.com/article/10.1007/s11042-026-21198-6" TargetMode="External"/><Relationship Id="rId133" Type="http://schemas.openxmlformats.org/officeDocument/2006/relationships/hyperlink" Target="https://doi.org/10.1109/TVCG.2021.3136214" TargetMode="External"/><Relationship Id="rId16" Type="http://schemas.openxmlformats.org/officeDocument/2006/relationships/hyperlink" Target="https://www.nature.com/articles/s41598-025-29947-7" TargetMode="External"/><Relationship Id="rId37" Type="http://schemas.openxmlformats.org/officeDocument/2006/relationships/hyperlink" Target="https://www.nature.com/articles/s41598-025-14946-5" TargetMode="External"/><Relationship Id="rId58" Type="http://schemas.openxmlformats.org/officeDocument/2006/relationships/hyperlink" Target="https://doi.org/10.3389/fnhum.2014.00291" TargetMode="External"/><Relationship Id="rId79" Type="http://schemas.openxmlformats.org/officeDocument/2006/relationships/hyperlink" Target="https://doi.org/10.1049/ell2.70570" TargetMode="External"/><Relationship Id="rId102" Type="http://schemas.openxmlformats.org/officeDocument/2006/relationships/hyperlink" Target="https://doi.org/10.1016/j.heliyon.2024.e31825" TargetMode="External"/><Relationship Id="rId123" Type="http://schemas.openxmlformats.org/officeDocument/2006/relationships/hyperlink" Target="https://doi.org/10.1016/j.patrec.2019.03.008" TargetMode="External"/><Relationship Id="rId144" Type="http://schemas.openxmlformats.org/officeDocument/2006/relationships/hyperlink" Target="https://doi.org/10.3233/FAIA231495"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journals.sagepub.com/doi/10.1177/0145482X19842491" TargetMode="External"/><Relationship Id="rId21" Type="http://schemas.openxmlformats.org/officeDocument/2006/relationships/hyperlink" Target="https://doi.org/10.1186/s41235-020-00240-7" TargetMode="External"/><Relationship Id="rId42" Type="http://schemas.openxmlformats.org/officeDocument/2006/relationships/hyperlink" Target="https://link.springer.com/article/10.1007/s00221-026-07309-7" TargetMode="External"/><Relationship Id="rId63" Type="http://schemas.openxmlformats.org/officeDocument/2006/relationships/hyperlink" Target="https://www.sciencedirect.com/science/article/pii/S1053811924001162?via%3Dihub" TargetMode="External"/><Relationship Id="rId84" Type="http://schemas.openxmlformats.org/officeDocument/2006/relationships/hyperlink" Target="https://doi.org/10.1186/s12984-021-00935-y" TargetMode="External"/><Relationship Id="rId138" Type="http://schemas.openxmlformats.org/officeDocument/2006/relationships/hyperlink" Target="https://doi.org/10.1038/s41598-025-29947-7" TargetMode="External"/><Relationship Id="rId107" Type="http://schemas.openxmlformats.org/officeDocument/2006/relationships/hyperlink" Target="https://www.nature.com/articles/s41539-025-00385-4" TargetMode="External"/><Relationship Id="rId11" Type="http://schemas.openxmlformats.org/officeDocument/2006/relationships/hyperlink" Target="https://www.researchgate.net/publication/357424856_HaptoMapping_Visuo-Haptic_Augmented_Reality_by_Embedding_User-Imperceptible_Tactile_Display_Control_Signals_in_a_Projected_Image" TargetMode="External"/><Relationship Id="rId32" Type="http://schemas.openxmlformats.org/officeDocument/2006/relationships/hyperlink" Target="https://link.springer.com/article/10.1007/s12193-021-00376-w" TargetMode="External"/><Relationship Id="rId53" Type="http://schemas.openxmlformats.org/officeDocument/2006/relationships/hyperlink" Target="https://link.springer.com/article/10.1007/s12193-025-00452-5" TargetMode="External"/><Relationship Id="rId74" Type="http://schemas.openxmlformats.org/officeDocument/2006/relationships/hyperlink" Target="https://ietresearch.onlinelibrary.wiley.com/doi/10.1049/ell2.70570" TargetMode="External"/><Relationship Id="rId128" Type="http://schemas.openxmlformats.org/officeDocument/2006/relationships/hyperlink" Target="https://ieeexplore.ieee.org/document/6611022" TargetMode="External"/><Relationship Id="rId149" Type="http://schemas.openxmlformats.org/officeDocument/2006/relationships/hyperlink" Target="https://www.nature.com/articles/s41598-024-79845-7" TargetMode="External"/><Relationship Id="rId5" Type="http://schemas.openxmlformats.org/officeDocument/2006/relationships/hyperlink" Target="https://ebooks.iospress.nl/doi/10.3233/FAIA231495" TargetMode="External"/><Relationship Id="rId95" Type="http://schemas.openxmlformats.org/officeDocument/2006/relationships/hyperlink" Target="https://www.frontiersin.org/journals/human-neuroscience/articles/10.3389/fnhum.2014.00291/full" TargetMode="External"/><Relationship Id="rId22" Type="http://schemas.openxmlformats.org/officeDocument/2006/relationships/hyperlink" Target="https://doi.org/10.1016/j.patrec.2019.03.008" TargetMode="External"/><Relationship Id="rId27" Type="http://schemas.openxmlformats.org/officeDocument/2006/relationships/hyperlink" Target="https://doi.org/10.1080/17483107.2025.2463541" TargetMode="External"/><Relationship Id="rId43" Type="http://schemas.openxmlformats.org/officeDocument/2006/relationships/hyperlink" Target="https://doi.org/10.1016/j.heliyon.2024.e31825" TargetMode="External"/><Relationship Id="rId48" Type="http://schemas.openxmlformats.org/officeDocument/2006/relationships/hyperlink" Target="https://link.springer.com/article/10.1007/s11042-021-11287-z" TargetMode="External"/><Relationship Id="rId64" Type="http://schemas.openxmlformats.org/officeDocument/2006/relationships/hyperlink" Target="https://www.ieee-jas.net/article/doi/10.1109/JAS.2021.1004084?pageType=en" TargetMode="External"/><Relationship Id="rId69" Type="http://schemas.openxmlformats.org/officeDocument/2006/relationships/hyperlink" Target="https://doi.org/10.1007/s42486-023-00136-7" TargetMode="External"/><Relationship Id="rId113" Type="http://schemas.openxmlformats.org/officeDocument/2006/relationships/hyperlink" Target="https://doi.org/10.1038/s41598-025-14946-5" TargetMode="External"/><Relationship Id="rId118" Type="http://schemas.openxmlformats.org/officeDocument/2006/relationships/hyperlink" Target="https://pdfs.semanticscholar.org/9dc6/62fe1c66d32fd96ad040285a9ec3af56c912.pdf/1000" TargetMode="External"/><Relationship Id="rId134" Type="http://schemas.openxmlformats.org/officeDocument/2006/relationships/hyperlink" Target="https://ieeexplore.ieee.org/document/9664257" TargetMode="External"/><Relationship Id="rId139" Type="http://schemas.openxmlformats.org/officeDocument/2006/relationships/hyperlink" Target="https://doi.org/10.1038/s41598-025-99903-y" TargetMode="External"/><Relationship Id="rId80" Type="http://schemas.openxmlformats.org/officeDocument/2006/relationships/hyperlink" Target="https://www.sciencedirect.com/science/article/abs/pii/S0006899315005156?via%3Dihub" TargetMode="External"/><Relationship Id="rId85" Type="http://schemas.openxmlformats.org/officeDocument/2006/relationships/hyperlink" Target="https://link.springer.com/article/10.1186/s12984-021-00935-y" TargetMode="External"/><Relationship Id="rId150" Type="http://schemas.openxmlformats.org/officeDocument/2006/relationships/hyperlink" Target="https://www.nature.com/articles/s41598-025-01529-7" TargetMode="External"/><Relationship Id="rId12" Type="http://schemas.openxmlformats.org/officeDocument/2006/relationships/hyperlink" Target="https://doi.org/10.1109/TVCG.2021.3136214" TargetMode="External"/><Relationship Id="rId17" Type="http://schemas.openxmlformats.org/officeDocument/2006/relationships/hyperlink" Target="https://10.0.4.153/10711813251360704" TargetMode="External"/><Relationship Id="rId33" Type="http://schemas.openxmlformats.org/officeDocument/2006/relationships/hyperlink" Target="https://link.springer.com/article/10.1007/s11042-026-21198-6" TargetMode="External"/><Relationship Id="rId38" Type="http://schemas.openxmlformats.org/officeDocument/2006/relationships/hyperlink" Target="https://doi.org/10.1016/j.neunet.2023.12.042" TargetMode="External"/><Relationship Id="rId59" Type="http://schemas.openxmlformats.org/officeDocument/2006/relationships/hyperlink" Target="https://www.sciencedirect.com/science/article/pii/S105381192500655X?via%3Dihub" TargetMode="External"/><Relationship Id="rId103" Type="http://schemas.openxmlformats.org/officeDocument/2006/relationships/hyperlink" Target="https://doi.org/10.1109/ICRA40945.2020.9196782" TargetMode="External"/><Relationship Id="rId108" Type="http://schemas.openxmlformats.org/officeDocument/2006/relationships/hyperlink" Target="https://www.sciencedirect.com/science/article/abs/pii/S136466130800199X" TargetMode="External"/><Relationship Id="rId124" Type="http://schemas.openxmlformats.org/officeDocument/2006/relationships/hyperlink" Target="https://arxiv.org/abs/2201.04453like" TargetMode="External"/><Relationship Id="rId129" Type="http://schemas.openxmlformats.org/officeDocument/2006/relationships/hyperlink" Target="https://ieeexplore.ieee.org/document/9491913" TargetMode="External"/><Relationship Id="rId54" Type="http://schemas.openxmlformats.org/officeDocument/2006/relationships/hyperlink" Target="https://www.sciencedirect.com/science/article/abs/pii/S1053810009001718?via%3Dihub" TargetMode="External"/><Relationship Id="rId70" Type="http://schemas.openxmlformats.org/officeDocument/2006/relationships/hyperlink" Target="https://link.springer.com/article/10.1007/s42486-023-00136-7" TargetMode="External"/><Relationship Id="rId75" Type="http://schemas.openxmlformats.org/officeDocument/2006/relationships/hyperlink" Target="https://link.springer.com/article/10.1007/s11554-023-01314-7" TargetMode="External"/><Relationship Id="rId91" Type="http://schemas.openxmlformats.org/officeDocument/2006/relationships/hyperlink" Target="https://doi.org/10.3233/FAIA231495" TargetMode="External"/><Relationship Id="rId96" Type="http://schemas.openxmlformats.org/officeDocument/2006/relationships/hyperlink" Target="https://www.tandfonline.com/doi/full/10.1080/23311916.2025.2560974" TargetMode="External"/><Relationship Id="rId140" Type="http://schemas.openxmlformats.org/officeDocument/2006/relationships/hyperlink" Target="https://www.nature.com/articles/s41598-025-99903-y" TargetMode="External"/><Relationship Id="rId145" Type="http://schemas.openxmlformats.org/officeDocument/2006/relationships/hyperlink" Target="https://www.nature.com/articles/s41598-021-94133-4" TargetMode="External"/><Relationship Id="rId1" Type="http://schemas.openxmlformats.org/officeDocument/2006/relationships/hyperlink" Target="https://doi.org/10.3233/FAIA231495" TargetMode="External"/><Relationship Id="rId6" Type="http://schemas.openxmlformats.org/officeDocument/2006/relationships/hyperlink" Target="https://www.sciencedirect.com/science/article/abs/pii/S0001691819302008?via%3Dihub" TargetMode="External"/><Relationship Id="rId23" Type="http://schemas.openxmlformats.org/officeDocument/2006/relationships/hyperlink" Target="https://doi.org/10.1177/14604582221112609" TargetMode="External"/><Relationship Id="rId28" Type="http://schemas.openxmlformats.org/officeDocument/2006/relationships/hyperlink" Target="https://dx.doi.org/10.1109/ACCESS.2024.3419102" TargetMode="External"/><Relationship Id="rId49" Type="http://schemas.openxmlformats.org/officeDocument/2006/relationships/hyperlink" Target="https://link.springer.com/article/10.1007/s13042-023-01887-6" TargetMode="External"/><Relationship Id="rId114" Type="http://schemas.openxmlformats.org/officeDocument/2006/relationships/hyperlink" Target="https://www.nature.com/articles/s41598-025-14946-5" TargetMode="External"/><Relationship Id="rId119" Type="http://schemas.openxmlformats.org/officeDocument/2006/relationships/hyperlink" Target="https://ojs.aaai.org/index.php/AAAI/article/view/25233?utm_source=chatgpt.com" TargetMode="External"/><Relationship Id="rId44" Type="http://schemas.openxmlformats.org/officeDocument/2006/relationships/hyperlink" Target="https://www.cell.com/heliyon/fulltext/S2405-8440(24)07856-3?_returnURL=https%3A%2F%2Flinkinghub.elsevier.com%2Fretrieve%2Fpii%2FS2405844024078563%3Fshowall%3Dtrue" TargetMode="External"/><Relationship Id="rId60" Type="http://schemas.openxmlformats.org/officeDocument/2006/relationships/hyperlink" Target="https://doi.org/10.1016/j.neuroimage.2021.118029" TargetMode="External"/><Relationship Id="rId65" Type="http://schemas.openxmlformats.org/officeDocument/2006/relationships/hyperlink" Target="https://www.tandfonline.com/doi/epdf/10.1080/23311916.2025.2560974?needAccess=true" TargetMode="External"/><Relationship Id="rId81" Type="http://schemas.openxmlformats.org/officeDocument/2006/relationships/hyperlink" Target="https://doi.org/10.1038/s41598-025-08155-3" TargetMode="External"/><Relationship Id="rId86" Type="http://schemas.openxmlformats.org/officeDocument/2006/relationships/hyperlink" Target="https://doi.org/10.3758/s13414-024-02959-7" TargetMode="External"/><Relationship Id="rId130" Type="http://schemas.openxmlformats.org/officeDocument/2006/relationships/hyperlink" Target="https://ieeexplore.ieee.org/document/9743965" TargetMode="External"/><Relationship Id="rId135" Type="http://schemas.openxmlformats.org/officeDocument/2006/relationships/hyperlink" Target="https://www.nature.com/articles/s41598-025-29947-7" TargetMode="External"/><Relationship Id="rId151" Type="http://schemas.openxmlformats.org/officeDocument/2006/relationships/hyperlink" Target="https://doi.org/10.1038/s41539-025-00385-4" TargetMode="External"/><Relationship Id="rId13" Type="http://schemas.openxmlformats.org/officeDocument/2006/relationships/hyperlink" Target="https://ieeexplore.ieee.org/document/6610223" TargetMode="External"/><Relationship Id="rId18" Type="http://schemas.openxmlformats.org/officeDocument/2006/relationships/hyperlink" Target="https://link.springer.com/article/10.1007/s12193-025-00463-2" TargetMode="External"/><Relationship Id="rId39" Type="http://schemas.openxmlformats.org/officeDocument/2006/relationships/hyperlink" Target="https://www.sciencedirect.com/science/article/pii/S0893608023007499?via%3Dihub" TargetMode="External"/><Relationship Id="rId109" Type="http://schemas.openxmlformats.org/officeDocument/2006/relationships/hyperlink" Target="https://www.nature.com/articles/s41598-020-59102-3" TargetMode="External"/><Relationship Id="rId34" Type="http://schemas.openxmlformats.org/officeDocument/2006/relationships/hyperlink" Target="https://doi.org/10.1016/j.neubiorev.2007.05.010" TargetMode="External"/><Relationship Id="rId50" Type="http://schemas.openxmlformats.org/officeDocument/2006/relationships/hyperlink" Target="https://journals.sagepub.com/doi/10.1177/10711813251360706" TargetMode="External"/><Relationship Id="rId55" Type="http://schemas.openxmlformats.org/officeDocument/2006/relationships/hyperlink" Target="https://link.springer.com/article/10.1007/s00221-021-06181-x" TargetMode="External"/><Relationship Id="rId76" Type="http://schemas.openxmlformats.org/officeDocument/2006/relationships/hyperlink" Target="https://doi.org/10.1007/s10209-023-00973-4" TargetMode="External"/><Relationship Id="rId97" Type="http://schemas.openxmlformats.org/officeDocument/2006/relationships/hyperlink" Target="https://doi.org/10.1007/s11042-022-12577-w" TargetMode="External"/><Relationship Id="rId104" Type="http://schemas.openxmlformats.org/officeDocument/2006/relationships/hyperlink" Target="https://www.researchgate.net/publication/339725908_A_Visual_Positioning_System_for_Indoor_Blind_Navigation" TargetMode="External"/><Relationship Id="rId120" Type="http://schemas.openxmlformats.org/officeDocument/2006/relationships/hyperlink" Target="https://ieeexplore.ieee.org/document/6611022" TargetMode="External"/><Relationship Id="rId125" Type="http://schemas.openxmlformats.org/officeDocument/2006/relationships/hyperlink" Target="https://journals.sagepub.com/doi/10.1177/0145482X19842491" TargetMode="External"/><Relationship Id="rId141" Type="http://schemas.openxmlformats.org/officeDocument/2006/relationships/hyperlink" Target="https://doi.org/10.1038/s41598-026-37578-9" TargetMode="External"/><Relationship Id="rId146" Type="http://schemas.openxmlformats.org/officeDocument/2006/relationships/hyperlink" Target="https://www.nature.com/articles/s41598-022-08187-z" TargetMode="External"/><Relationship Id="rId7" Type="http://schemas.openxmlformats.org/officeDocument/2006/relationships/hyperlink" Target="https://www.frontiersin.org/journals/human-neuroscience/articles/10.3389/fnhum.2014.00291/full" TargetMode="External"/><Relationship Id="rId71" Type="http://schemas.openxmlformats.org/officeDocument/2006/relationships/hyperlink" Target="https://www.sciencedirect.com/science/article/pii/S2090447923002769?via%3Dihub" TargetMode="External"/><Relationship Id="rId92" Type="http://schemas.openxmlformats.org/officeDocument/2006/relationships/hyperlink" Target="https://doi.org/10.1016/j.actpsy.2019.102950" TargetMode="External"/><Relationship Id="rId2" Type="http://schemas.openxmlformats.org/officeDocument/2006/relationships/hyperlink" Target="https://journals.sagepub.com/doi/10.3233/RNN-221279" TargetMode="External"/><Relationship Id="rId29" Type="http://schemas.openxmlformats.org/officeDocument/2006/relationships/hyperlink" Target="https://ieeexplore.ieee.org/document/10571914/" TargetMode="External"/><Relationship Id="rId24" Type="http://schemas.openxmlformats.org/officeDocument/2006/relationships/hyperlink" Target="https://journals.sagepub.com/doi/10.1177/14604582221112609" TargetMode="External"/><Relationship Id="rId40" Type="http://schemas.openxmlformats.org/officeDocument/2006/relationships/hyperlink" Target="https://journals.sagepub.com/doi/10.1177/20556683251316305" TargetMode="External"/><Relationship Id="rId45" Type="http://schemas.openxmlformats.org/officeDocument/2006/relationships/hyperlink" Target="https://ieeexplore.ieee.org/document/5165018" TargetMode="External"/><Relationship Id="rId66" Type="http://schemas.openxmlformats.org/officeDocument/2006/relationships/hyperlink" Target="https://ieeexplore.ieee.org/document/10041898" TargetMode="External"/><Relationship Id="rId87" Type="http://schemas.openxmlformats.org/officeDocument/2006/relationships/hyperlink" Target="https://link.springer.com/article/10.3758/s13414-024-02959-7" TargetMode="External"/><Relationship Id="rId110" Type="http://schemas.openxmlformats.org/officeDocument/2006/relationships/hyperlink" Target="https://advanced.onlinelibrary.wiley.com/doi/10.1002/aisy.70450" TargetMode="External"/><Relationship Id="rId115" Type="http://schemas.openxmlformats.org/officeDocument/2006/relationships/hyperlink" Target="https://doi.org/10.1038/s41598-025-20765-5" TargetMode="External"/><Relationship Id="rId131" Type="http://schemas.openxmlformats.org/officeDocument/2006/relationships/hyperlink" Target="https://doi.org/10.1038/s41598-025-21720-0" TargetMode="External"/><Relationship Id="rId136" Type="http://schemas.openxmlformats.org/officeDocument/2006/relationships/hyperlink" Target="https://www.nature.com/articles/s41598-025-28038-x" TargetMode="External"/><Relationship Id="rId61" Type="http://schemas.openxmlformats.org/officeDocument/2006/relationships/hyperlink" Target="https://www.sciencedirect.com/science/article/pii/S1053811921003062?via%3Dihub" TargetMode="External"/><Relationship Id="rId82" Type="http://schemas.openxmlformats.org/officeDocument/2006/relationships/hyperlink" Target="https://doi.org/10.1007/s44443-025-00234-9" TargetMode="External"/><Relationship Id="rId152" Type="http://schemas.openxmlformats.org/officeDocument/2006/relationships/table" Target="../tables/table4.xml"/><Relationship Id="rId19" Type="http://schemas.openxmlformats.org/officeDocument/2006/relationships/hyperlink" Target="http://linkinghub.elsevier.com/retrieve/pii/S1071581907001012" TargetMode="External"/><Relationship Id="rId14" Type="http://schemas.openxmlformats.org/officeDocument/2006/relationships/hyperlink" Target="https://doi.org/10.1109/EMBC.2013.6610223" TargetMode="External"/><Relationship Id="rId30" Type="http://schemas.openxmlformats.org/officeDocument/2006/relationships/hyperlink" Target="https://link.springer.com/article/10.1007/s12193-024-00447-8" TargetMode="External"/><Relationship Id="rId35" Type="http://schemas.openxmlformats.org/officeDocument/2006/relationships/hyperlink" Target="https://www.sciencedirect.com/science/article/abs/pii/S0149763407000668?via%3Dihub" TargetMode="External"/><Relationship Id="rId56" Type="http://schemas.openxmlformats.org/officeDocument/2006/relationships/hyperlink" Target="https://link.springer.com/article/10.1007/s11042-023-16355-0" TargetMode="External"/><Relationship Id="rId77" Type="http://schemas.openxmlformats.org/officeDocument/2006/relationships/hyperlink" Target="https://link.springer.com/article/10.1007/s10209-023-00973-4" TargetMode="External"/><Relationship Id="rId100" Type="http://schemas.openxmlformats.org/officeDocument/2006/relationships/hyperlink" Target="https://www.sciencedirect.com/science/article/abs/pii/S0957417423015671?via%3Dihub" TargetMode="External"/><Relationship Id="rId105" Type="http://schemas.openxmlformats.org/officeDocument/2006/relationships/hyperlink" Target="https://www.nature.com/articles/s41539-025-00385-4" TargetMode="External"/><Relationship Id="rId126" Type="http://schemas.openxmlformats.org/officeDocument/2006/relationships/hyperlink" Target="https://www.scitepress.org/PublishedPapers/2018/66175/" TargetMode="External"/><Relationship Id="rId147" Type="http://schemas.openxmlformats.org/officeDocument/2006/relationships/hyperlink" Target="https://www.nature.com/articles/s41598-023-49507-1" TargetMode="External"/><Relationship Id="rId8" Type="http://schemas.openxmlformats.org/officeDocument/2006/relationships/hyperlink" Target="https://link.springer.com/article/10.1007/s10846-023-01824-3" TargetMode="External"/><Relationship Id="rId51" Type="http://schemas.openxmlformats.org/officeDocument/2006/relationships/hyperlink" Target="https://ieeexplore.ieee.org/abstract/document/9018269" TargetMode="External"/><Relationship Id="rId72" Type="http://schemas.openxmlformats.org/officeDocument/2006/relationships/hyperlink" Target="https://journals.sagepub.com/doi/10.1177/20552076251408522" TargetMode="External"/><Relationship Id="rId93" Type="http://schemas.openxmlformats.org/officeDocument/2006/relationships/hyperlink" Target="https://www.sciencedirect.com/science/article/abs/pii/S0001691819302008?via%3Dihub" TargetMode="External"/><Relationship Id="rId98" Type="http://schemas.openxmlformats.org/officeDocument/2006/relationships/hyperlink" Target="https://journals.sagepub.com/home/dhj" TargetMode="External"/><Relationship Id="rId121" Type="http://schemas.openxmlformats.org/officeDocument/2006/relationships/hyperlink" Target="https://ecasp.ece.iit.edu/publications/2012-present/2021-10.pdf" TargetMode="External"/><Relationship Id="rId142" Type="http://schemas.openxmlformats.org/officeDocument/2006/relationships/hyperlink" Target="https://www.nature.com/articles/s41598-026-37578-9" TargetMode="External"/><Relationship Id="rId3" Type="http://schemas.openxmlformats.org/officeDocument/2006/relationships/hyperlink" Target="https://doi.org/10.1016/j.actpsy.2019.102950" TargetMode="External"/><Relationship Id="rId25" Type="http://schemas.openxmlformats.org/officeDocument/2006/relationships/hyperlink" Target="https://www.tandfonline.com/doi/full/10.1080/17483107.2025.2463541" TargetMode="External"/><Relationship Id="rId46" Type="http://schemas.openxmlformats.org/officeDocument/2006/relationships/hyperlink" Target="https://ieeexplore.ieee.org/document/5165018" TargetMode="External"/><Relationship Id="rId67" Type="http://schemas.openxmlformats.org/officeDocument/2006/relationships/hyperlink" Target="https://doi.org/10.1016/j.eswa.2023.121065" TargetMode="External"/><Relationship Id="rId116" Type="http://schemas.openxmlformats.org/officeDocument/2006/relationships/hyperlink" Target="https://www.nature.com/articles/s41598-025-20765-5" TargetMode="External"/><Relationship Id="rId137" Type="http://schemas.openxmlformats.org/officeDocument/2006/relationships/hyperlink" Target="https://doi.org/10.1038/s41598-025-29947-7" TargetMode="External"/><Relationship Id="rId20" Type="http://schemas.openxmlformats.org/officeDocument/2006/relationships/hyperlink" Target="https://link.springer.com/article/10.1186/s41235-020-00240-7" TargetMode="External"/><Relationship Id="rId41" Type="http://schemas.openxmlformats.org/officeDocument/2006/relationships/hyperlink" Target="https://link.springer.com/article/10.1007/s00530-025-02139-z" TargetMode="External"/><Relationship Id="rId62" Type="http://schemas.openxmlformats.org/officeDocument/2006/relationships/hyperlink" Target="https://doi.org/10.1016/j.neuroimage.2024.120621" TargetMode="External"/><Relationship Id="rId83" Type="http://schemas.openxmlformats.org/officeDocument/2006/relationships/hyperlink" Target="https://link.springer.com/article/10.1007/s44443-025-00234-9" TargetMode="External"/><Relationship Id="rId88" Type="http://schemas.openxmlformats.org/officeDocument/2006/relationships/hyperlink" Target="https://link.springer.com/article/10.1186/s40580-026-00552-2" TargetMode="External"/><Relationship Id="rId111" Type="http://schemas.openxmlformats.org/officeDocument/2006/relationships/hyperlink" Target="https://doi.org/10.1038/s41598-025-08155-3" TargetMode="External"/><Relationship Id="rId132" Type="http://schemas.openxmlformats.org/officeDocument/2006/relationships/hyperlink" Target="https://arxiv.org/abs/2201.04453" TargetMode="External"/><Relationship Id="rId15" Type="http://schemas.openxmlformats.org/officeDocument/2006/relationships/hyperlink" Target="https://ebooks.iospress.nl/doi/10.3233/APC210058" TargetMode="External"/><Relationship Id="rId36" Type="http://schemas.openxmlformats.org/officeDocument/2006/relationships/hyperlink" Target="https://ieeexplore.ieee.org/document/10438849" TargetMode="External"/><Relationship Id="rId57" Type="http://schemas.openxmlformats.org/officeDocument/2006/relationships/hyperlink" Target="https://www.sciencedirect.com/science/article/pii/S0006899325003555?via%3Dihub" TargetMode="External"/><Relationship Id="rId106" Type="http://schemas.openxmlformats.org/officeDocument/2006/relationships/hyperlink" Target="https://doi.org/10.1038/s41539-025-00385-4" TargetMode="External"/><Relationship Id="rId127" Type="http://schemas.openxmlformats.org/officeDocument/2006/relationships/hyperlink" Target="https://ojs.aaai.org/index.php/AAAI/article/view/25233" TargetMode="External"/><Relationship Id="rId10" Type="http://schemas.openxmlformats.org/officeDocument/2006/relationships/hyperlink" Target="https://link.springer.com/article/10.1007/s12559-026-10547-0" TargetMode="External"/><Relationship Id="rId31" Type="http://schemas.openxmlformats.org/officeDocument/2006/relationships/hyperlink" Target="https://link.springer.com/article/10.1007/s12193-023-00427-4" TargetMode="External"/><Relationship Id="rId52" Type="http://schemas.openxmlformats.org/officeDocument/2006/relationships/hyperlink" Target="https://doi.org/10.1007/s12193-025-00452-5" TargetMode="External"/><Relationship Id="rId73" Type="http://schemas.openxmlformats.org/officeDocument/2006/relationships/hyperlink" Target="https://doi.org/10.1049/ell2.70570" TargetMode="External"/><Relationship Id="rId78" Type="http://schemas.openxmlformats.org/officeDocument/2006/relationships/hyperlink" Target="https://doi.org/10.1109/TOH.2025.3616046" TargetMode="External"/><Relationship Id="rId94" Type="http://schemas.openxmlformats.org/officeDocument/2006/relationships/hyperlink" Target="https://doi.org/10.3389/fnhum.2014.00291" TargetMode="External"/><Relationship Id="rId99" Type="http://schemas.openxmlformats.org/officeDocument/2006/relationships/hyperlink" Target="https://link.springer.com/article/10.1007/s42486-023-00136-7" TargetMode="External"/><Relationship Id="rId101" Type="http://schemas.openxmlformats.org/officeDocument/2006/relationships/hyperlink" Target="https://www.nature.com/articles/s41928-023-01074-z" TargetMode="External"/><Relationship Id="rId122" Type="http://schemas.openxmlformats.org/officeDocument/2006/relationships/hyperlink" Target="https://arxiv.org/abs/2108.09174" TargetMode="External"/><Relationship Id="rId143" Type="http://schemas.openxmlformats.org/officeDocument/2006/relationships/hyperlink" Target="https://www.nature.com/articles/s41598-019-57217-w" TargetMode="External"/><Relationship Id="rId148" Type="http://schemas.openxmlformats.org/officeDocument/2006/relationships/hyperlink" Target="https://www.nature.com/articles/s41598-024-74416-2" TargetMode="External"/><Relationship Id="rId4" Type="http://schemas.openxmlformats.org/officeDocument/2006/relationships/hyperlink" Target="https://doi.org/10.3389/fnhum.2014.00291" TargetMode="External"/><Relationship Id="rId9" Type="http://schemas.openxmlformats.org/officeDocument/2006/relationships/hyperlink" Target="https://doi.org/10.1007/s10846-023-01824-3" TargetMode="External"/><Relationship Id="rId26" Type="http://schemas.openxmlformats.org/officeDocument/2006/relationships/hyperlink" Target="https://www.sciencedirect.com/science/article/abs/pii/S0167865519300881?via%3Dihub" TargetMode="External"/><Relationship Id="rId47" Type="http://schemas.openxmlformats.org/officeDocument/2006/relationships/hyperlink" Target="https://doi.org/10.1007/s13042-023-01887-6" TargetMode="External"/><Relationship Id="rId68" Type="http://schemas.openxmlformats.org/officeDocument/2006/relationships/hyperlink" Target="https://www.sciencedirect.com/science/article/abs/pii/S0957417423015671?via%3Dihub" TargetMode="External"/><Relationship Id="rId89" Type="http://schemas.openxmlformats.org/officeDocument/2006/relationships/hyperlink" Target="https://link.springer.com/article/10.1186/s41235-023-00495-w" TargetMode="External"/><Relationship Id="rId112" Type="http://schemas.openxmlformats.org/officeDocument/2006/relationships/hyperlink" Target="https://www.nature.com/articles/s41598-025-08155-3" TargetMode="External"/><Relationship Id="rId133" Type="http://schemas.openxmlformats.org/officeDocument/2006/relationships/hyperlink" Target="https://www.nature.com/articles/s41598-025-21720-0" TargetMode="External"/><Relationship Id="rId16" Type="http://schemas.openxmlformats.org/officeDocument/2006/relationships/hyperlink" Target="https://journals.sagepub.com/doi/10.1177/10711813251360704" TargetMode="External"/><Relationship Id="rId37" Type="http://schemas.openxmlformats.org/officeDocument/2006/relationships/hyperlink" Target="https://link.springer.com/article/10.1007/s11042-026-21158-0" TargetMode="External"/><Relationship Id="rId58" Type="http://schemas.openxmlformats.org/officeDocument/2006/relationships/hyperlink" Target="https://doi.org/10.1016/j.neuroimage.2025.121652" TargetMode="External"/><Relationship Id="rId79" Type="http://schemas.openxmlformats.org/officeDocument/2006/relationships/hyperlink" Target="https://ieeexplore.ieee.org/document/11186136" TargetMode="External"/><Relationship Id="rId102" Type="http://schemas.openxmlformats.org/officeDocument/2006/relationships/hyperlink" Target="https://arxiv.org/abs/2511.10026v3" TargetMode="External"/><Relationship Id="rId123" Type="http://schemas.openxmlformats.org/officeDocument/2006/relationships/hyperlink" Target="https://arxiv.org/abs/2201.03036" TargetMode="External"/><Relationship Id="rId144" Type="http://schemas.openxmlformats.org/officeDocument/2006/relationships/hyperlink" Target="https://www.nature.com/articles/s41598-021-90132-7" TargetMode="External"/><Relationship Id="rId90" Type="http://schemas.openxmlformats.org/officeDocument/2006/relationships/hyperlink" Target="https://www.nature.com/articles/s41378-026-01190-8"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ink.springer.com/article/10.1186/s40580-026-00552-2" TargetMode="External"/><Relationship Id="rId2" Type="http://schemas.openxmlformats.org/officeDocument/2006/relationships/hyperlink" Target="https://link.springer.com/article/10.3758/s13414-024-02959-7" TargetMode="External"/><Relationship Id="rId1" Type="http://schemas.openxmlformats.org/officeDocument/2006/relationships/hyperlink" Target="https://doi.org/10.3758/s13414-024-02959-7" TargetMode="External"/><Relationship Id="rId6" Type="http://schemas.openxmlformats.org/officeDocument/2006/relationships/table" Target="../tables/table5.xml"/><Relationship Id="rId5" Type="http://schemas.openxmlformats.org/officeDocument/2006/relationships/hyperlink" Target="https://www.nature.com/articles/s41378-026-01190-8" TargetMode="External"/><Relationship Id="rId4" Type="http://schemas.openxmlformats.org/officeDocument/2006/relationships/hyperlink" Target="https://link.springer.com/article/10.1186/s41235-023-00495-w"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nature.com/articles/s41598-025-20765-5" TargetMode="External"/><Relationship Id="rId21" Type="http://schemas.openxmlformats.org/officeDocument/2006/relationships/hyperlink" Target="https://doi.org/10.1186/s41235-020-00240-7" TargetMode="External"/><Relationship Id="rId42" Type="http://schemas.openxmlformats.org/officeDocument/2006/relationships/hyperlink" Target="https://link.springer.com/article/10.1007/s00221-026-07309-7" TargetMode="External"/><Relationship Id="rId63" Type="http://schemas.openxmlformats.org/officeDocument/2006/relationships/hyperlink" Target="https://www.sciencedirect.com/science/article/pii/S1053811924001162?via%3Dihub" TargetMode="External"/><Relationship Id="rId84" Type="http://schemas.openxmlformats.org/officeDocument/2006/relationships/hyperlink" Target="https://doi.org/10.1186/s12984-021-00935-y" TargetMode="External"/><Relationship Id="rId138" Type="http://schemas.openxmlformats.org/officeDocument/2006/relationships/hyperlink" Target="https://doi.org/10.1038/s41598-025-29947-7" TargetMode="External"/><Relationship Id="rId107" Type="http://schemas.openxmlformats.org/officeDocument/2006/relationships/hyperlink" Target="https://doi.org/10.1038/s41539-025-00385-4" TargetMode="External"/><Relationship Id="rId11" Type="http://schemas.openxmlformats.org/officeDocument/2006/relationships/hyperlink" Target="https://www.researchgate.net/publication/357424856_HaptoMapping_Visuo-Haptic_Augmented_Reality_by_Embedding_User-Imperceptible_Tactile_Display_Control_Signals_in_a_Projected_Image" TargetMode="External"/><Relationship Id="rId32" Type="http://schemas.openxmlformats.org/officeDocument/2006/relationships/hyperlink" Target="https://link.springer.com/article/10.1007/s12193-021-00376-w" TargetMode="External"/><Relationship Id="rId37" Type="http://schemas.openxmlformats.org/officeDocument/2006/relationships/hyperlink" Target="https://link.springer.com/article/10.1007/s11042-026-21158-0" TargetMode="External"/><Relationship Id="rId53" Type="http://schemas.openxmlformats.org/officeDocument/2006/relationships/hyperlink" Target="https://link.springer.com/article/10.1007/s12193-025-00452-5" TargetMode="External"/><Relationship Id="rId58" Type="http://schemas.openxmlformats.org/officeDocument/2006/relationships/hyperlink" Target="https://doi.org/10.1016/j.neuroimage.2025.121652" TargetMode="External"/><Relationship Id="rId74" Type="http://schemas.openxmlformats.org/officeDocument/2006/relationships/hyperlink" Target="https://ietresearch.onlinelibrary.wiley.com/doi/10.1049/ell2.70570" TargetMode="External"/><Relationship Id="rId79" Type="http://schemas.openxmlformats.org/officeDocument/2006/relationships/hyperlink" Target="https://ieeexplore.ieee.org/document/11186136" TargetMode="External"/><Relationship Id="rId102" Type="http://schemas.openxmlformats.org/officeDocument/2006/relationships/hyperlink" Target="https://arxiv.org/abs/2511.10026v3" TargetMode="External"/><Relationship Id="rId123" Type="http://schemas.openxmlformats.org/officeDocument/2006/relationships/hyperlink" Target="https://arxiv.org/abs/2108.09174" TargetMode="External"/><Relationship Id="rId128" Type="http://schemas.openxmlformats.org/officeDocument/2006/relationships/hyperlink" Target="https://ojs.aaai.org/index.php/AAAI/article/view/25233" TargetMode="External"/><Relationship Id="rId144" Type="http://schemas.openxmlformats.org/officeDocument/2006/relationships/table" Target="../tables/table6.xml"/><Relationship Id="rId5" Type="http://schemas.openxmlformats.org/officeDocument/2006/relationships/hyperlink" Target="https://ebooks.iospress.nl/doi/10.3233/FAIA231495" TargetMode="External"/><Relationship Id="rId90" Type="http://schemas.openxmlformats.org/officeDocument/2006/relationships/hyperlink" Target="https://www.nature.com/articles/s41378-026-01190-8" TargetMode="External"/><Relationship Id="rId95" Type="http://schemas.openxmlformats.org/officeDocument/2006/relationships/hyperlink" Target="https://www.frontiersin.org/journals/human-neuroscience/articles/10.3389/fnhum.2014.00291/full" TargetMode="External"/><Relationship Id="rId22" Type="http://schemas.openxmlformats.org/officeDocument/2006/relationships/hyperlink" Target="https://doi.org/10.1016/j.patrec.2019.03.008" TargetMode="External"/><Relationship Id="rId27" Type="http://schemas.openxmlformats.org/officeDocument/2006/relationships/hyperlink" Target="https://doi.org/10.1080/17483107.2025.2463541" TargetMode="External"/><Relationship Id="rId43" Type="http://schemas.openxmlformats.org/officeDocument/2006/relationships/hyperlink" Target="https://doi.org/10.1016/j.heliyon.2024.e31825" TargetMode="External"/><Relationship Id="rId48" Type="http://schemas.openxmlformats.org/officeDocument/2006/relationships/hyperlink" Target="https://link.springer.com/article/10.1007/s11042-021-11287-z" TargetMode="External"/><Relationship Id="rId64" Type="http://schemas.openxmlformats.org/officeDocument/2006/relationships/hyperlink" Target="https://www.ieee-jas.net/article/doi/10.1109/JAS.2021.1004084?pageType=en" TargetMode="External"/><Relationship Id="rId69" Type="http://schemas.openxmlformats.org/officeDocument/2006/relationships/hyperlink" Target="https://doi.org/10.1007/s42486-023-00136-7" TargetMode="External"/><Relationship Id="rId113" Type="http://schemas.openxmlformats.org/officeDocument/2006/relationships/hyperlink" Target="https://www.nature.com/articles/s41598-025-08155-3" TargetMode="External"/><Relationship Id="rId118" Type="http://schemas.openxmlformats.org/officeDocument/2006/relationships/hyperlink" Target="https://journals.sagepub.com/doi/10.1177/0145482X19842491" TargetMode="External"/><Relationship Id="rId134" Type="http://schemas.openxmlformats.org/officeDocument/2006/relationships/hyperlink" Target="https://www.nature.com/articles/s41598-025-21720-0" TargetMode="External"/><Relationship Id="rId139" Type="http://schemas.openxmlformats.org/officeDocument/2006/relationships/hyperlink" Target="https://doi.org/10.1038/s41598-025-29947-7" TargetMode="External"/><Relationship Id="rId80" Type="http://schemas.openxmlformats.org/officeDocument/2006/relationships/hyperlink" Target="https://www.sciencedirect.com/science/article/abs/pii/S0006899315005156?via%3Dihub" TargetMode="External"/><Relationship Id="rId85" Type="http://schemas.openxmlformats.org/officeDocument/2006/relationships/hyperlink" Target="https://link.springer.com/article/10.1186/s12984-021-00935-y" TargetMode="External"/><Relationship Id="rId12" Type="http://schemas.openxmlformats.org/officeDocument/2006/relationships/hyperlink" Target="https://doi.org/10.1109/TVCG.2021.3136214" TargetMode="External"/><Relationship Id="rId17" Type="http://schemas.openxmlformats.org/officeDocument/2006/relationships/hyperlink" Target="https://10.0.4.153/10711813251360704" TargetMode="External"/><Relationship Id="rId33" Type="http://schemas.openxmlformats.org/officeDocument/2006/relationships/hyperlink" Target="https://link.springer.com/article/10.1007/s11042-026-21198-6" TargetMode="External"/><Relationship Id="rId38" Type="http://schemas.openxmlformats.org/officeDocument/2006/relationships/hyperlink" Target="https://doi.org/10.1016/j.neunet.2023.12.042" TargetMode="External"/><Relationship Id="rId59" Type="http://schemas.openxmlformats.org/officeDocument/2006/relationships/hyperlink" Target="https://www.sciencedirect.com/science/article/pii/S105381192500655X?via%3Dihub" TargetMode="External"/><Relationship Id="rId103" Type="http://schemas.openxmlformats.org/officeDocument/2006/relationships/hyperlink" Target="https://doi.org/10.1109/ICRA40945.2020.9196782" TargetMode="External"/><Relationship Id="rId108" Type="http://schemas.openxmlformats.org/officeDocument/2006/relationships/hyperlink" Target="https://www.nature.com/articles/s41539-025-00385-4" TargetMode="External"/><Relationship Id="rId124" Type="http://schemas.openxmlformats.org/officeDocument/2006/relationships/hyperlink" Target="https://arxiv.org/abs/2201.03036" TargetMode="External"/><Relationship Id="rId129" Type="http://schemas.openxmlformats.org/officeDocument/2006/relationships/hyperlink" Target="https://ieeexplore.ieee.org/document/6611022" TargetMode="External"/><Relationship Id="rId54" Type="http://schemas.openxmlformats.org/officeDocument/2006/relationships/hyperlink" Target="https://www.sciencedirect.com/science/article/abs/pii/S1053810009001718?via%3Dihub" TargetMode="External"/><Relationship Id="rId70" Type="http://schemas.openxmlformats.org/officeDocument/2006/relationships/hyperlink" Target="https://link.springer.com/article/10.1007/s42486-023-00136-7" TargetMode="External"/><Relationship Id="rId75" Type="http://schemas.openxmlformats.org/officeDocument/2006/relationships/hyperlink" Target="https://link.springer.com/article/10.1007/s11554-023-01314-7" TargetMode="External"/><Relationship Id="rId91" Type="http://schemas.openxmlformats.org/officeDocument/2006/relationships/hyperlink" Target="https://doi.org/10.3233/FAIA231495" TargetMode="External"/><Relationship Id="rId96" Type="http://schemas.openxmlformats.org/officeDocument/2006/relationships/hyperlink" Target="https://www.tandfonline.com/doi/full/10.1080/23311916.2025.2560974" TargetMode="External"/><Relationship Id="rId140" Type="http://schemas.openxmlformats.org/officeDocument/2006/relationships/hyperlink" Target="https://doi.org/10.1038/s41598-025-99903-y" TargetMode="External"/><Relationship Id="rId1" Type="http://schemas.openxmlformats.org/officeDocument/2006/relationships/hyperlink" Target="https://doi.org/10.3233/FAIA231495" TargetMode="External"/><Relationship Id="rId6" Type="http://schemas.openxmlformats.org/officeDocument/2006/relationships/hyperlink" Target="https://www.sciencedirect.com/science/article/abs/pii/S0001691819302008?via%3Dihub" TargetMode="External"/><Relationship Id="rId23" Type="http://schemas.openxmlformats.org/officeDocument/2006/relationships/hyperlink" Target="https://doi.org/10.1177/14604582221112609" TargetMode="External"/><Relationship Id="rId28" Type="http://schemas.openxmlformats.org/officeDocument/2006/relationships/hyperlink" Target="https://dx.doi.org/10.1109/ACCESS.2024.3419102" TargetMode="External"/><Relationship Id="rId49" Type="http://schemas.openxmlformats.org/officeDocument/2006/relationships/hyperlink" Target="https://link.springer.com/article/10.1007/s13042-023-01887-6" TargetMode="External"/><Relationship Id="rId114" Type="http://schemas.openxmlformats.org/officeDocument/2006/relationships/hyperlink" Target="https://doi.org/10.1038/s41598-025-14946-5" TargetMode="External"/><Relationship Id="rId119" Type="http://schemas.openxmlformats.org/officeDocument/2006/relationships/hyperlink" Target="https://pdfs.semanticscholar.org/9dc6/62fe1c66d32fd96ad040285a9ec3af56c912.pdf/1000" TargetMode="External"/><Relationship Id="rId44" Type="http://schemas.openxmlformats.org/officeDocument/2006/relationships/hyperlink" Target="https://www.cell.com/heliyon/fulltext/S2405-8440(24)07856-3?_returnURL=https%3A%2F%2Flinkinghub.elsevier.com%2Fretrieve%2Fpii%2FS2405844024078563%3Fshowall%3Dtrue" TargetMode="External"/><Relationship Id="rId60" Type="http://schemas.openxmlformats.org/officeDocument/2006/relationships/hyperlink" Target="https://doi.org/10.1016/j.neuroimage.2021.118029" TargetMode="External"/><Relationship Id="rId65" Type="http://schemas.openxmlformats.org/officeDocument/2006/relationships/hyperlink" Target="https://www.tandfonline.com/doi/epdf/10.1080/23311916.2025.2560974?needAccess=true" TargetMode="External"/><Relationship Id="rId81" Type="http://schemas.openxmlformats.org/officeDocument/2006/relationships/hyperlink" Target="https://doi.org/10.1038/s41598-025-08155-3" TargetMode="External"/><Relationship Id="rId86" Type="http://schemas.openxmlformats.org/officeDocument/2006/relationships/hyperlink" Target="https://doi.org/10.3758/s13414-024-02959-7" TargetMode="External"/><Relationship Id="rId130" Type="http://schemas.openxmlformats.org/officeDocument/2006/relationships/hyperlink" Target="https://ieeexplore.ieee.org/document/9491913" TargetMode="External"/><Relationship Id="rId135" Type="http://schemas.openxmlformats.org/officeDocument/2006/relationships/hyperlink" Target="https://ieeexplore.ieee.org/document/9664257" TargetMode="External"/><Relationship Id="rId13" Type="http://schemas.openxmlformats.org/officeDocument/2006/relationships/hyperlink" Target="https://ieeexplore.ieee.org/document/6610223" TargetMode="External"/><Relationship Id="rId18" Type="http://schemas.openxmlformats.org/officeDocument/2006/relationships/hyperlink" Target="https://link.springer.com/article/10.1007/s12193-025-00463-2" TargetMode="External"/><Relationship Id="rId39" Type="http://schemas.openxmlformats.org/officeDocument/2006/relationships/hyperlink" Target="https://www.sciencedirect.com/science/article/pii/S0893608023007499?via%3Dihub" TargetMode="External"/><Relationship Id="rId109" Type="http://schemas.openxmlformats.org/officeDocument/2006/relationships/hyperlink" Target="https://www.sciencedirect.com/science/article/abs/pii/S136466130800199X" TargetMode="External"/><Relationship Id="rId34" Type="http://schemas.openxmlformats.org/officeDocument/2006/relationships/hyperlink" Target="https://doi.org/10.1016/j.neubiorev.2007.05.010" TargetMode="External"/><Relationship Id="rId50" Type="http://schemas.openxmlformats.org/officeDocument/2006/relationships/hyperlink" Target="https://journals.sagepub.com/doi/10.1177/10711813251360706" TargetMode="External"/><Relationship Id="rId55" Type="http://schemas.openxmlformats.org/officeDocument/2006/relationships/hyperlink" Target="https://link.springer.com/article/10.1007/s00221-021-06181-x" TargetMode="External"/><Relationship Id="rId76" Type="http://schemas.openxmlformats.org/officeDocument/2006/relationships/hyperlink" Target="https://doi.org/10.1007/s10209-023-00973-4" TargetMode="External"/><Relationship Id="rId97" Type="http://schemas.openxmlformats.org/officeDocument/2006/relationships/hyperlink" Target="https://doi.org/10.1007/s11042-022-12577-w" TargetMode="External"/><Relationship Id="rId104" Type="http://schemas.openxmlformats.org/officeDocument/2006/relationships/hyperlink" Target="https://www.researchgate.net/publication/339725908_A_Visual_Positioning_System_for_Indoor_Blind_Navigation" TargetMode="External"/><Relationship Id="rId120" Type="http://schemas.openxmlformats.org/officeDocument/2006/relationships/hyperlink" Target="https://ojs.aaai.org/index.php/AAAI/article/view/25233?utm_source=chatgpt.com" TargetMode="External"/><Relationship Id="rId125" Type="http://schemas.openxmlformats.org/officeDocument/2006/relationships/hyperlink" Target="https://arxiv.org/abs/2201.04453like" TargetMode="External"/><Relationship Id="rId141" Type="http://schemas.openxmlformats.org/officeDocument/2006/relationships/hyperlink" Target="https://www.nature.com/articles/s41598-025-99903-y" TargetMode="External"/><Relationship Id="rId7" Type="http://schemas.openxmlformats.org/officeDocument/2006/relationships/hyperlink" Target="https://www.frontiersin.org/journals/human-neuroscience/articles/10.3389/fnhum.2014.00291/full" TargetMode="External"/><Relationship Id="rId71" Type="http://schemas.openxmlformats.org/officeDocument/2006/relationships/hyperlink" Target="https://www.sciencedirect.com/science/article/pii/S2090447923002769?via%3Dihub" TargetMode="External"/><Relationship Id="rId92" Type="http://schemas.openxmlformats.org/officeDocument/2006/relationships/hyperlink" Target="https://doi.org/10.1016/j.actpsy.2019.102950" TargetMode="External"/><Relationship Id="rId2" Type="http://schemas.openxmlformats.org/officeDocument/2006/relationships/hyperlink" Target="https://journals.sagepub.com/doi/10.3233/RNN-221279" TargetMode="External"/><Relationship Id="rId29" Type="http://schemas.openxmlformats.org/officeDocument/2006/relationships/hyperlink" Target="https://ieeexplore.ieee.org/document/10571914/" TargetMode="External"/><Relationship Id="rId24" Type="http://schemas.openxmlformats.org/officeDocument/2006/relationships/hyperlink" Target="https://journals.sagepub.com/doi/10.1177/14604582221112609" TargetMode="External"/><Relationship Id="rId40" Type="http://schemas.openxmlformats.org/officeDocument/2006/relationships/hyperlink" Target="https://journals.sagepub.com/doi/10.1177/20556683251316305" TargetMode="External"/><Relationship Id="rId45" Type="http://schemas.openxmlformats.org/officeDocument/2006/relationships/hyperlink" Target="https://ieeexplore.ieee.org/document/5165018" TargetMode="External"/><Relationship Id="rId66" Type="http://schemas.openxmlformats.org/officeDocument/2006/relationships/hyperlink" Target="https://ieeexplore.ieee.org/document/10041898" TargetMode="External"/><Relationship Id="rId87" Type="http://schemas.openxmlformats.org/officeDocument/2006/relationships/hyperlink" Target="https://link.springer.com/article/10.3758/s13414-024-02959-7" TargetMode="External"/><Relationship Id="rId110" Type="http://schemas.openxmlformats.org/officeDocument/2006/relationships/hyperlink" Target="https://www.nature.com/articles/s41598-020-59102-3" TargetMode="External"/><Relationship Id="rId115" Type="http://schemas.openxmlformats.org/officeDocument/2006/relationships/hyperlink" Target="https://www.nature.com/articles/s41598-025-14946-5" TargetMode="External"/><Relationship Id="rId131" Type="http://schemas.openxmlformats.org/officeDocument/2006/relationships/hyperlink" Target="https://ieeexplore.ieee.org/document/9743965" TargetMode="External"/><Relationship Id="rId136" Type="http://schemas.openxmlformats.org/officeDocument/2006/relationships/hyperlink" Target="https://www.nature.com/articles/s41598-025-29947-7" TargetMode="External"/><Relationship Id="rId61" Type="http://schemas.openxmlformats.org/officeDocument/2006/relationships/hyperlink" Target="https://www.sciencedirect.com/science/article/pii/S1053811921003062?via%3Dihub" TargetMode="External"/><Relationship Id="rId82" Type="http://schemas.openxmlformats.org/officeDocument/2006/relationships/hyperlink" Target="https://doi.org/10.1007/s44443-025-00234-9" TargetMode="External"/><Relationship Id="rId19" Type="http://schemas.openxmlformats.org/officeDocument/2006/relationships/hyperlink" Target="http://linkinghub.elsevier.com/retrieve/pii/S1071581907001012" TargetMode="External"/><Relationship Id="rId14" Type="http://schemas.openxmlformats.org/officeDocument/2006/relationships/hyperlink" Target="https://doi.org/10.1109/EMBC.2013.6610223" TargetMode="External"/><Relationship Id="rId30" Type="http://schemas.openxmlformats.org/officeDocument/2006/relationships/hyperlink" Target="https://link.springer.com/article/10.1007/s12193-024-00447-8" TargetMode="External"/><Relationship Id="rId35" Type="http://schemas.openxmlformats.org/officeDocument/2006/relationships/hyperlink" Target="https://www.sciencedirect.com/science/article/abs/pii/S0149763407000668?via%3Dihub" TargetMode="External"/><Relationship Id="rId56" Type="http://schemas.openxmlformats.org/officeDocument/2006/relationships/hyperlink" Target="https://link.springer.com/article/10.1007/s11042-023-16355-0" TargetMode="External"/><Relationship Id="rId77" Type="http://schemas.openxmlformats.org/officeDocument/2006/relationships/hyperlink" Target="https://link.springer.com/article/10.1007/s10209-023-00973-4" TargetMode="External"/><Relationship Id="rId100" Type="http://schemas.openxmlformats.org/officeDocument/2006/relationships/hyperlink" Target="https://www.sciencedirect.com/science/article/abs/pii/S0957417423015671?via%3Dihub" TargetMode="External"/><Relationship Id="rId105" Type="http://schemas.openxmlformats.org/officeDocument/2006/relationships/hyperlink" Target="https://www.nature.com/articles/s41539-025-00385-4" TargetMode="External"/><Relationship Id="rId126" Type="http://schemas.openxmlformats.org/officeDocument/2006/relationships/hyperlink" Target="https://journals.sagepub.com/doi/10.1177/0145482X19842491" TargetMode="External"/><Relationship Id="rId8" Type="http://schemas.openxmlformats.org/officeDocument/2006/relationships/hyperlink" Target="https://link.springer.com/article/10.1007/s10846-023-01824-3" TargetMode="External"/><Relationship Id="rId51" Type="http://schemas.openxmlformats.org/officeDocument/2006/relationships/hyperlink" Target="https://ieeexplore.ieee.org/abstract/document/9018269" TargetMode="External"/><Relationship Id="rId72" Type="http://schemas.openxmlformats.org/officeDocument/2006/relationships/hyperlink" Target="https://journals.sagepub.com/doi/10.1177/20552076251408522" TargetMode="External"/><Relationship Id="rId93" Type="http://schemas.openxmlformats.org/officeDocument/2006/relationships/hyperlink" Target="https://www.sciencedirect.com/science/article/abs/pii/S0001691819302008?via%3Dihub" TargetMode="External"/><Relationship Id="rId98" Type="http://schemas.openxmlformats.org/officeDocument/2006/relationships/hyperlink" Target="https://journals.sagepub.com/home/dhj" TargetMode="External"/><Relationship Id="rId121" Type="http://schemas.openxmlformats.org/officeDocument/2006/relationships/hyperlink" Target="https://ieeexplore.ieee.org/document/6611022" TargetMode="External"/><Relationship Id="rId142" Type="http://schemas.openxmlformats.org/officeDocument/2006/relationships/hyperlink" Target="https://doi.org/10.1038/s41598-026-37578-9" TargetMode="External"/><Relationship Id="rId3" Type="http://schemas.openxmlformats.org/officeDocument/2006/relationships/hyperlink" Target="https://doi.org/10.1016/j.actpsy.2019.102950" TargetMode="External"/><Relationship Id="rId25" Type="http://schemas.openxmlformats.org/officeDocument/2006/relationships/hyperlink" Target="https://www.tandfonline.com/doi/full/10.1080/17483107.2025.2463541" TargetMode="External"/><Relationship Id="rId46" Type="http://schemas.openxmlformats.org/officeDocument/2006/relationships/hyperlink" Target="https://ieeexplore.ieee.org/document/5165018" TargetMode="External"/><Relationship Id="rId67" Type="http://schemas.openxmlformats.org/officeDocument/2006/relationships/hyperlink" Target="https://doi.org/10.1016/j.eswa.2023.121065" TargetMode="External"/><Relationship Id="rId116" Type="http://schemas.openxmlformats.org/officeDocument/2006/relationships/hyperlink" Target="https://doi.org/10.1038/s41598-025-20765-5" TargetMode="External"/><Relationship Id="rId137" Type="http://schemas.openxmlformats.org/officeDocument/2006/relationships/hyperlink" Target="https://www.nature.com/articles/s41598-025-28038-x" TargetMode="External"/><Relationship Id="rId20" Type="http://schemas.openxmlformats.org/officeDocument/2006/relationships/hyperlink" Target="https://link.springer.com/article/10.1186/s41235-020-00240-7" TargetMode="External"/><Relationship Id="rId41" Type="http://schemas.openxmlformats.org/officeDocument/2006/relationships/hyperlink" Target="https://link.springer.com/article/10.1007/s00530-025-02139-z" TargetMode="External"/><Relationship Id="rId62" Type="http://schemas.openxmlformats.org/officeDocument/2006/relationships/hyperlink" Target="https://doi.org/10.1016/j.neuroimage.2024.120621" TargetMode="External"/><Relationship Id="rId83" Type="http://schemas.openxmlformats.org/officeDocument/2006/relationships/hyperlink" Target="https://link.springer.com/article/10.1007/s44443-025-00234-9" TargetMode="External"/><Relationship Id="rId88" Type="http://schemas.openxmlformats.org/officeDocument/2006/relationships/hyperlink" Target="https://link.springer.com/article/10.1186/s40580-026-00552-2" TargetMode="External"/><Relationship Id="rId111" Type="http://schemas.openxmlformats.org/officeDocument/2006/relationships/hyperlink" Target="https://advanced.onlinelibrary.wiley.com/doi/10.1002/aisy.70450" TargetMode="External"/><Relationship Id="rId132" Type="http://schemas.openxmlformats.org/officeDocument/2006/relationships/hyperlink" Target="https://doi.org/10.1038/s41598-025-21720-0" TargetMode="External"/><Relationship Id="rId15" Type="http://schemas.openxmlformats.org/officeDocument/2006/relationships/hyperlink" Target="https://ebooks.iospress.nl/doi/10.3233/APC210058" TargetMode="External"/><Relationship Id="rId36" Type="http://schemas.openxmlformats.org/officeDocument/2006/relationships/hyperlink" Target="https://ieeexplore.ieee.org/document/10438849" TargetMode="External"/><Relationship Id="rId57" Type="http://schemas.openxmlformats.org/officeDocument/2006/relationships/hyperlink" Target="https://www.sciencedirect.com/science/article/pii/S0006899325003555?via%3Dihub" TargetMode="External"/><Relationship Id="rId106" Type="http://schemas.openxmlformats.org/officeDocument/2006/relationships/hyperlink" Target="https://doi.org/10.1038/s41539-025-00385-4" TargetMode="External"/><Relationship Id="rId127" Type="http://schemas.openxmlformats.org/officeDocument/2006/relationships/hyperlink" Target="https://www.scitepress.org/PublishedPapers/2018/66175/" TargetMode="External"/><Relationship Id="rId10" Type="http://schemas.openxmlformats.org/officeDocument/2006/relationships/hyperlink" Target="https://link.springer.com/article/10.1007/s12559-026-10547-0" TargetMode="External"/><Relationship Id="rId31" Type="http://schemas.openxmlformats.org/officeDocument/2006/relationships/hyperlink" Target="https://link.springer.com/article/10.1007/s12193-023-00427-4" TargetMode="External"/><Relationship Id="rId52" Type="http://schemas.openxmlformats.org/officeDocument/2006/relationships/hyperlink" Target="https://doi.org/10.1007/s12193-025-00452-5" TargetMode="External"/><Relationship Id="rId73" Type="http://schemas.openxmlformats.org/officeDocument/2006/relationships/hyperlink" Target="https://doi.org/10.1049/ell2.70570" TargetMode="External"/><Relationship Id="rId78" Type="http://schemas.openxmlformats.org/officeDocument/2006/relationships/hyperlink" Target="https://doi.org/10.1109/TOH.2025.3616046" TargetMode="External"/><Relationship Id="rId94" Type="http://schemas.openxmlformats.org/officeDocument/2006/relationships/hyperlink" Target="https://doi.org/10.3389/fnhum.2014.00291" TargetMode="External"/><Relationship Id="rId99" Type="http://schemas.openxmlformats.org/officeDocument/2006/relationships/hyperlink" Target="https://link.springer.com/article/10.1007/s42486-023-00136-7" TargetMode="External"/><Relationship Id="rId101" Type="http://schemas.openxmlformats.org/officeDocument/2006/relationships/hyperlink" Target="https://www.nature.com/articles/s41928-023-01074-z" TargetMode="External"/><Relationship Id="rId122" Type="http://schemas.openxmlformats.org/officeDocument/2006/relationships/hyperlink" Target="https://ecasp.ece.iit.edu/publications/2012-present/2021-10.pdf" TargetMode="External"/><Relationship Id="rId143" Type="http://schemas.openxmlformats.org/officeDocument/2006/relationships/hyperlink" Target="https://www.nature.com/articles/s41598-026-37578-9" TargetMode="External"/><Relationship Id="rId4" Type="http://schemas.openxmlformats.org/officeDocument/2006/relationships/hyperlink" Target="https://doi.org/10.3389/fnhum.2014.00291" TargetMode="External"/><Relationship Id="rId9" Type="http://schemas.openxmlformats.org/officeDocument/2006/relationships/hyperlink" Target="https://doi.org/10.1007/s10846-023-01824-3" TargetMode="External"/><Relationship Id="rId26" Type="http://schemas.openxmlformats.org/officeDocument/2006/relationships/hyperlink" Target="https://www.sciencedirect.com/science/article/abs/pii/S0167865519300881?via%3Dihub" TargetMode="External"/><Relationship Id="rId47" Type="http://schemas.openxmlformats.org/officeDocument/2006/relationships/hyperlink" Target="https://doi.org/10.1007/s13042-023-01887-6" TargetMode="External"/><Relationship Id="rId68" Type="http://schemas.openxmlformats.org/officeDocument/2006/relationships/hyperlink" Target="https://www.sciencedirect.com/science/article/abs/pii/S0957417423015671?via%3Dihub" TargetMode="External"/><Relationship Id="rId89" Type="http://schemas.openxmlformats.org/officeDocument/2006/relationships/hyperlink" Target="https://link.springer.com/article/10.1186/s41235-023-00495-w" TargetMode="External"/><Relationship Id="rId112" Type="http://schemas.openxmlformats.org/officeDocument/2006/relationships/hyperlink" Target="https://doi.org/10.1038/s41598-025-08155-3" TargetMode="External"/><Relationship Id="rId133" Type="http://schemas.openxmlformats.org/officeDocument/2006/relationships/hyperlink" Target="https://arxiv.org/abs/2201.04453" TargetMode="External"/><Relationship Id="rId16" Type="http://schemas.openxmlformats.org/officeDocument/2006/relationships/hyperlink" Target="https://journals.sagepub.com/doi/10.1177/10711813251360704" TargetMode="Externa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hyperlink" Target="https://www.sciencedirect.com/science/article/abs/pii/S0149763407000668?via%3Dihub" TargetMode="External"/><Relationship Id="rId7" Type="http://schemas.openxmlformats.org/officeDocument/2006/relationships/hyperlink" Target="https://www.cell.com/heliyon/fulltext/S2405-8440(24)07856-3?_returnURL=https%3A%2F%2Flinkinghub.elsevier.com%2Fretrieve%2Fpii%2FS2405844024078563%3Fshowall%3Dtrue" TargetMode="External"/><Relationship Id="rId2" Type="http://schemas.openxmlformats.org/officeDocument/2006/relationships/hyperlink" Target="https://doi.org/10.1016/j.neubiorev.2007.05.010" TargetMode="External"/><Relationship Id="rId1" Type="http://schemas.openxmlformats.org/officeDocument/2006/relationships/hyperlink" Target="https://link.springer.com/article/10.1007/s12559-026-10547-0" TargetMode="External"/><Relationship Id="rId6" Type="http://schemas.openxmlformats.org/officeDocument/2006/relationships/hyperlink" Target="https://doi.org/10.1016/j.heliyon.2024.e31825" TargetMode="External"/><Relationship Id="rId5" Type="http://schemas.openxmlformats.org/officeDocument/2006/relationships/hyperlink" Target="https://journals.sagepub.com/doi/10.1177/20556683251316305" TargetMode="External"/><Relationship Id="rId4" Type="http://schemas.openxmlformats.org/officeDocument/2006/relationships/hyperlink" Target="https://ieeexplore.ieee.org/document/10438849"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007/s10846-023-01824-3" TargetMode="External"/><Relationship Id="rId13" Type="http://schemas.openxmlformats.org/officeDocument/2006/relationships/hyperlink" Target="https://journals.sagepub.com/doi/10.1177/10711813251360704" TargetMode="External"/><Relationship Id="rId18" Type="http://schemas.openxmlformats.org/officeDocument/2006/relationships/hyperlink" Target="https://doi.org/10.1177/14604582221112609" TargetMode="External"/><Relationship Id="rId3" Type="http://schemas.openxmlformats.org/officeDocument/2006/relationships/hyperlink" Target="https://doi.org/10.3389/fnhum.2014.00291" TargetMode="External"/><Relationship Id="rId21" Type="http://schemas.openxmlformats.org/officeDocument/2006/relationships/hyperlink" Target="https://doi.org/10.1080/17483107.2025.2463541" TargetMode="External"/><Relationship Id="rId7" Type="http://schemas.openxmlformats.org/officeDocument/2006/relationships/hyperlink" Target="https://link.springer.com/article/10.1007/s10846-023-01824-3" TargetMode="External"/><Relationship Id="rId12" Type="http://schemas.openxmlformats.org/officeDocument/2006/relationships/hyperlink" Target="https://doi.org/10.1109/EMBC.2013.6610223" TargetMode="External"/><Relationship Id="rId17" Type="http://schemas.openxmlformats.org/officeDocument/2006/relationships/hyperlink" Target="https://doi.org/10.1186/s41235-020-00240-7" TargetMode="External"/><Relationship Id="rId2" Type="http://schemas.openxmlformats.org/officeDocument/2006/relationships/hyperlink" Target="https://doi.org/10.1016/j.actpsy.2019.102950" TargetMode="External"/><Relationship Id="rId16" Type="http://schemas.openxmlformats.org/officeDocument/2006/relationships/hyperlink" Target="https://link.springer.com/article/10.1186/s41235-020-00240-7" TargetMode="External"/><Relationship Id="rId20" Type="http://schemas.openxmlformats.org/officeDocument/2006/relationships/hyperlink" Target="https://www.tandfonline.com/doi/full/10.1080/17483107.2025.2463541" TargetMode="External"/><Relationship Id="rId1" Type="http://schemas.openxmlformats.org/officeDocument/2006/relationships/hyperlink" Target="https://doi.org/10.3233/FAIA231495" TargetMode="External"/><Relationship Id="rId6" Type="http://schemas.openxmlformats.org/officeDocument/2006/relationships/hyperlink" Target="https://www.frontiersin.org/journals/human-neuroscience/articles/10.3389/fnhum.2014.00291/full" TargetMode="External"/><Relationship Id="rId11" Type="http://schemas.openxmlformats.org/officeDocument/2006/relationships/hyperlink" Target="https://ieeexplore.ieee.org/document/6610223" TargetMode="External"/><Relationship Id="rId24" Type="http://schemas.openxmlformats.org/officeDocument/2006/relationships/table" Target="../tables/table8.xml"/><Relationship Id="rId5" Type="http://schemas.openxmlformats.org/officeDocument/2006/relationships/hyperlink" Target="https://www.sciencedirect.com/science/article/abs/pii/S0001691819302008?via%3Dihub" TargetMode="External"/><Relationship Id="rId15" Type="http://schemas.openxmlformats.org/officeDocument/2006/relationships/hyperlink" Target="http://linkinghub.elsevier.com/retrieve/pii/S1071581907001012" TargetMode="External"/><Relationship Id="rId23" Type="http://schemas.openxmlformats.org/officeDocument/2006/relationships/hyperlink" Target="https://ieeexplore.ieee.org/document/10571914/" TargetMode="External"/><Relationship Id="rId10" Type="http://schemas.openxmlformats.org/officeDocument/2006/relationships/hyperlink" Target="https://doi.org/10.1109/TVCG.2021.3136214" TargetMode="External"/><Relationship Id="rId19" Type="http://schemas.openxmlformats.org/officeDocument/2006/relationships/hyperlink" Target="https://journals.sagepub.com/doi/10.1177/14604582221112609" TargetMode="External"/><Relationship Id="rId4" Type="http://schemas.openxmlformats.org/officeDocument/2006/relationships/hyperlink" Target="https://ebooks.iospress.nl/doi/10.3233/FAIA231495" TargetMode="External"/><Relationship Id="rId9" Type="http://schemas.openxmlformats.org/officeDocument/2006/relationships/hyperlink" Target="https://www.researchgate.net/publication/357424856_HaptoMapping_Visuo-Haptic_Augmented_Reality_by_Embedding_User-Imperceptible_Tactile_Display_Control_Signals_in_a_Projected_Image" TargetMode="External"/><Relationship Id="rId14" Type="http://schemas.openxmlformats.org/officeDocument/2006/relationships/hyperlink" Target="https://10.0.4.153/10711813251360704" TargetMode="External"/><Relationship Id="rId22" Type="http://schemas.openxmlformats.org/officeDocument/2006/relationships/hyperlink" Target="https://dx.doi.org/10.1109/ACCESS.2024.3419102"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www.nature.com/articles/s41598-025-20765-5" TargetMode="External"/><Relationship Id="rId21" Type="http://schemas.openxmlformats.org/officeDocument/2006/relationships/hyperlink" Target="https://doi.org/10.1186/s41235-020-00240-7" TargetMode="External"/><Relationship Id="rId42" Type="http://schemas.openxmlformats.org/officeDocument/2006/relationships/hyperlink" Target="https://link.springer.com/article/10.1007/s00221-026-07309-7" TargetMode="External"/><Relationship Id="rId63" Type="http://schemas.openxmlformats.org/officeDocument/2006/relationships/hyperlink" Target="https://www.sciencedirect.com/science/article/pii/S1053811924001162?via%3Dihub" TargetMode="External"/><Relationship Id="rId84" Type="http://schemas.openxmlformats.org/officeDocument/2006/relationships/hyperlink" Target="https://doi.org/10.1186/s12984-021-00935-y" TargetMode="External"/><Relationship Id="rId138" Type="http://schemas.openxmlformats.org/officeDocument/2006/relationships/hyperlink" Target="https://doi.org/10.1038/s41598-025-29947-7" TargetMode="External"/><Relationship Id="rId107" Type="http://schemas.openxmlformats.org/officeDocument/2006/relationships/hyperlink" Target="https://doi.org/10.1038/s41539-025-00385-4" TargetMode="External"/><Relationship Id="rId11" Type="http://schemas.openxmlformats.org/officeDocument/2006/relationships/hyperlink" Target="https://www.researchgate.net/publication/357424856_HaptoMapping_Visuo-Haptic_Augmented_Reality_by_Embedding_User-Imperceptible_Tactile_Display_Control_Signals_in_a_Projected_Image" TargetMode="External"/><Relationship Id="rId32" Type="http://schemas.openxmlformats.org/officeDocument/2006/relationships/hyperlink" Target="https://link.springer.com/article/10.1007/s12193-021-00376-w" TargetMode="External"/><Relationship Id="rId37" Type="http://schemas.openxmlformats.org/officeDocument/2006/relationships/hyperlink" Target="https://link.springer.com/article/10.1007/s11042-026-21158-0" TargetMode="External"/><Relationship Id="rId53" Type="http://schemas.openxmlformats.org/officeDocument/2006/relationships/hyperlink" Target="https://link.springer.com/article/10.1007/s12193-025-00452-5" TargetMode="External"/><Relationship Id="rId58" Type="http://schemas.openxmlformats.org/officeDocument/2006/relationships/hyperlink" Target="https://doi.org/10.1016/j.neuroimage.2025.121652" TargetMode="External"/><Relationship Id="rId74" Type="http://schemas.openxmlformats.org/officeDocument/2006/relationships/hyperlink" Target="https://ietresearch.onlinelibrary.wiley.com/doi/10.1049/ell2.70570" TargetMode="External"/><Relationship Id="rId79" Type="http://schemas.openxmlformats.org/officeDocument/2006/relationships/hyperlink" Target="https://ieeexplore.ieee.org/document/11186136" TargetMode="External"/><Relationship Id="rId102" Type="http://schemas.openxmlformats.org/officeDocument/2006/relationships/hyperlink" Target="https://arxiv.org/abs/2511.10026v3" TargetMode="External"/><Relationship Id="rId123" Type="http://schemas.openxmlformats.org/officeDocument/2006/relationships/hyperlink" Target="https://arxiv.org/abs/2108.09174" TargetMode="External"/><Relationship Id="rId128" Type="http://schemas.openxmlformats.org/officeDocument/2006/relationships/hyperlink" Target="https://ojs.aaai.org/index.php/AAAI/article/view/25233" TargetMode="External"/><Relationship Id="rId144" Type="http://schemas.openxmlformats.org/officeDocument/2006/relationships/table" Target="../tables/table9.xml"/><Relationship Id="rId5" Type="http://schemas.openxmlformats.org/officeDocument/2006/relationships/hyperlink" Target="https://ebooks.iospress.nl/doi/10.3233/FAIA231495" TargetMode="External"/><Relationship Id="rId90" Type="http://schemas.openxmlformats.org/officeDocument/2006/relationships/hyperlink" Target="https://www.nature.com/articles/s41378-026-01190-8" TargetMode="External"/><Relationship Id="rId95" Type="http://schemas.openxmlformats.org/officeDocument/2006/relationships/hyperlink" Target="https://www.frontiersin.org/journals/human-neuroscience/articles/10.3389/fnhum.2014.00291/full" TargetMode="External"/><Relationship Id="rId22" Type="http://schemas.openxmlformats.org/officeDocument/2006/relationships/hyperlink" Target="https://doi.org/10.1016/j.patrec.2019.03.008" TargetMode="External"/><Relationship Id="rId27" Type="http://schemas.openxmlformats.org/officeDocument/2006/relationships/hyperlink" Target="https://doi.org/10.1080/17483107.2025.2463541" TargetMode="External"/><Relationship Id="rId43" Type="http://schemas.openxmlformats.org/officeDocument/2006/relationships/hyperlink" Target="https://doi.org/10.1016/j.heliyon.2024.e31825" TargetMode="External"/><Relationship Id="rId48" Type="http://schemas.openxmlformats.org/officeDocument/2006/relationships/hyperlink" Target="https://link.springer.com/article/10.1007/s11042-021-11287-z" TargetMode="External"/><Relationship Id="rId64" Type="http://schemas.openxmlformats.org/officeDocument/2006/relationships/hyperlink" Target="https://www.ieee-jas.net/article/doi/10.1109/JAS.2021.1004084?pageType=en" TargetMode="External"/><Relationship Id="rId69" Type="http://schemas.openxmlformats.org/officeDocument/2006/relationships/hyperlink" Target="https://doi.org/10.1007/s42486-023-00136-7" TargetMode="External"/><Relationship Id="rId113" Type="http://schemas.openxmlformats.org/officeDocument/2006/relationships/hyperlink" Target="https://www.nature.com/articles/s41598-025-08155-3" TargetMode="External"/><Relationship Id="rId118" Type="http://schemas.openxmlformats.org/officeDocument/2006/relationships/hyperlink" Target="https://journals.sagepub.com/doi/10.1177/0145482X19842491" TargetMode="External"/><Relationship Id="rId134" Type="http://schemas.openxmlformats.org/officeDocument/2006/relationships/hyperlink" Target="https://www.nature.com/articles/s41598-025-21720-0" TargetMode="External"/><Relationship Id="rId139" Type="http://schemas.openxmlformats.org/officeDocument/2006/relationships/hyperlink" Target="https://doi.org/10.1038/s41598-025-29947-7" TargetMode="External"/><Relationship Id="rId80" Type="http://schemas.openxmlformats.org/officeDocument/2006/relationships/hyperlink" Target="https://www.sciencedirect.com/science/article/abs/pii/S0006899315005156?via%3Dihub" TargetMode="External"/><Relationship Id="rId85" Type="http://schemas.openxmlformats.org/officeDocument/2006/relationships/hyperlink" Target="https://link.springer.com/article/10.1186/s12984-021-00935-y" TargetMode="External"/><Relationship Id="rId12" Type="http://schemas.openxmlformats.org/officeDocument/2006/relationships/hyperlink" Target="https://doi.org/10.1109/TVCG.2021.3136214" TargetMode="External"/><Relationship Id="rId17" Type="http://schemas.openxmlformats.org/officeDocument/2006/relationships/hyperlink" Target="https://10.0.4.153/10711813251360704" TargetMode="External"/><Relationship Id="rId33" Type="http://schemas.openxmlformats.org/officeDocument/2006/relationships/hyperlink" Target="https://link.springer.com/article/10.1007/s11042-026-21198-6" TargetMode="External"/><Relationship Id="rId38" Type="http://schemas.openxmlformats.org/officeDocument/2006/relationships/hyperlink" Target="https://doi.org/10.1016/j.neunet.2023.12.042" TargetMode="External"/><Relationship Id="rId59" Type="http://schemas.openxmlformats.org/officeDocument/2006/relationships/hyperlink" Target="https://www.sciencedirect.com/science/article/pii/S105381192500655X?via%3Dihub" TargetMode="External"/><Relationship Id="rId103" Type="http://schemas.openxmlformats.org/officeDocument/2006/relationships/hyperlink" Target="https://doi.org/10.1109/ICRA40945.2020.9196782" TargetMode="External"/><Relationship Id="rId108" Type="http://schemas.openxmlformats.org/officeDocument/2006/relationships/hyperlink" Target="https://www.nature.com/articles/s41539-025-00385-4" TargetMode="External"/><Relationship Id="rId124" Type="http://schemas.openxmlformats.org/officeDocument/2006/relationships/hyperlink" Target="https://arxiv.org/abs/2201.03036" TargetMode="External"/><Relationship Id="rId129" Type="http://schemas.openxmlformats.org/officeDocument/2006/relationships/hyperlink" Target="https://ieeexplore.ieee.org/document/6611022" TargetMode="External"/><Relationship Id="rId54" Type="http://schemas.openxmlformats.org/officeDocument/2006/relationships/hyperlink" Target="https://www.sciencedirect.com/science/article/abs/pii/S1053810009001718?via%3Dihub" TargetMode="External"/><Relationship Id="rId70" Type="http://schemas.openxmlformats.org/officeDocument/2006/relationships/hyperlink" Target="https://link.springer.com/article/10.1007/s42486-023-00136-7" TargetMode="External"/><Relationship Id="rId75" Type="http://schemas.openxmlformats.org/officeDocument/2006/relationships/hyperlink" Target="https://link.springer.com/article/10.1007/s11554-023-01314-7" TargetMode="External"/><Relationship Id="rId91" Type="http://schemas.openxmlformats.org/officeDocument/2006/relationships/hyperlink" Target="https://doi.org/10.3233/FAIA231495" TargetMode="External"/><Relationship Id="rId96" Type="http://schemas.openxmlformats.org/officeDocument/2006/relationships/hyperlink" Target="https://www.tandfonline.com/doi/full/10.1080/23311916.2025.2560974" TargetMode="External"/><Relationship Id="rId140" Type="http://schemas.openxmlformats.org/officeDocument/2006/relationships/hyperlink" Target="https://doi.org/10.1038/s41598-025-99903-y" TargetMode="External"/><Relationship Id="rId1" Type="http://schemas.openxmlformats.org/officeDocument/2006/relationships/hyperlink" Target="https://doi.org/10.3233/FAIA231495" TargetMode="External"/><Relationship Id="rId6" Type="http://schemas.openxmlformats.org/officeDocument/2006/relationships/hyperlink" Target="https://www.sciencedirect.com/science/article/abs/pii/S0001691819302008?via%3Dihub" TargetMode="External"/><Relationship Id="rId23" Type="http://schemas.openxmlformats.org/officeDocument/2006/relationships/hyperlink" Target="https://doi.org/10.1177/14604582221112609" TargetMode="External"/><Relationship Id="rId28" Type="http://schemas.openxmlformats.org/officeDocument/2006/relationships/hyperlink" Target="https://dx.doi.org/10.1109/ACCESS.2024.3419102" TargetMode="External"/><Relationship Id="rId49" Type="http://schemas.openxmlformats.org/officeDocument/2006/relationships/hyperlink" Target="https://link.springer.com/article/10.1007/s13042-023-01887-6" TargetMode="External"/><Relationship Id="rId114" Type="http://schemas.openxmlformats.org/officeDocument/2006/relationships/hyperlink" Target="https://doi.org/10.1038/s41598-025-14946-5" TargetMode="External"/><Relationship Id="rId119" Type="http://schemas.openxmlformats.org/officeDocument/2006/relationships/hyperlink" Target="https://pdfs.semanticscholar.org/9dc6/62fe1c66d32fd96ad040285a9ec3af56c912.pdf/1000" TargetMode="External"/><Relationship Id="rId44" Type="http://schemas.openxmlformats.org/officeDocument/2006/relationships/hyperlink" Target="https://www.cell.com/heliyon/fulltext/S2405-8440(24)07856-3?_returnURL=https%3A%2F%2Flinkinghub.elsevier.com%2Fretrieve%2Fpii%2FS2405844024078563%3Fshowall%3Dtrue" TargetMode="External"/><Relationship Id="rId60" Type="http://schemas.openxmlformats.org/officeDocument/2006/relationships/hyperlink" Target="https://doi.org/10.1016/j.neuroimage.2021.118029" TargetMode="External"/><Relationship Id="rId65" Type="http://schemas.openxmlformats.org/officeDocument/2006/relationships/hyperlink" Target="https://www.tandfonline.com/doi/epdf/10.1080/23311916.2025.2560974?needAccess=true" TargetMode="External"/><Relationship Id="rId81" Type="http://schemas.openxmlformats.org/officeDocument/2006/relationships/hyperlink" Target="https://doi.org/10.1038/s41598-025-08155-3" TargetMode="External"/><Relationship Id="rId86" Type="http://schemas.openxmlformats.org/officeDocument/2006/relationships/hyperlink" Target="https://doi.org/10.3758/s13414-024-02959-7" TargetMode="External"/><Relationship Id="rId130" Type="http://schemas.openxmlformats.org/officeDocument/2006/relationships/hyperlink" Target="https://ieeexplore.ieee.org/document/9491913" TargetMode="External"/><Relationship Id="rId135" Type="http://schemas.openxmlformats.org/officeDocument/2006/relationships/hyperlink" Target="https://ieeexplore.ieee.org/document/9664257" TargetMode="External"/><Relationship Id="rId13" Type="http://schemas.openxmlformats.org/officeDocument/2006/relationships/hyperlink" Target="https://ieeexplore.ieee.org/document/6610223" TargetMode="External"/><Relationship Id="rId18" Type="http://schemas.openxmlformats.org/officeDocument/2006/relationships/hyperlink" Target="https://link.springer.com/article/10.1007/s12193-025-00463-2" TargetMode="External"/><Relationship Id="rId39" Type="http://schemas.openxmlformats.org/officeDocument/2006/relationships/hyperlink" Target="https://www.sciencedirect.com/science/article/pii/S0893608023007499?via%3Dihub" TargetMode="External"/><Relationship Id="rId109" Type="http://schemas.openxmlformats.org/officeDocument/2006/relationships/hyperlink" Target="https://www.sciencedirect.com/science/article/abs/pii/S136466130800199X" TargetMode="External"/><Relationship Id="rId34" Type="http://schemas.openxmlformats.org/officeDocument/2006/relationships/hyperlink" Target="https://doi.org/10.1016/j.neubiorev.2007.05.010" TargetMode="External"/><Relationship Id="rId50" Type="http://schemas.openxmlformats.org/officeDocument/2006/relationships/hyperlink" Target="https://journals.sagepub.com/doi/10.1177/10711813251360706" TargetMode="External"/><Relationship Id="rId55" Type="http://schemas.openxmlformats.org/officeDocument/2006/relationships/hyperlink" Target="https://link.springer.com/article/10.1007/s00221-021-06181-x" TargetMode="External"/><Relationship Id="rId76" Type="http://schemas.openxmlformats.org/officeDocument/2006/relationships/hyperlink" Target="https://doi.org/10.1007/s10209-023-00973-4" TargetMode="External"/><Relationship Id="rId97" Type="http://schemas.openxmlformats.org/officeDocument/2006/relationships/hyperlink" Target="https://doi.org/10.1007/s11042-022-12577-w" TargetMode="External"/><Relationship Id="rId104" Type="http://schemas.openxmlformats.org/officeDocument/2006/relationships/hyperlink" Target="https://www.researchgate.net/publication/339725908_A_Visual_Positioning_System_for_Indoor_Blind_Navigation" TargetMode="External"/><Relationship Id="rId120" Type="http://schemas.openxmlformats.org/officeDocument/2006/relationships/hyperlink" Target="https://ojs.aaai.org/index.php/AAAI/article/view/25233?utm_source=chatgpt.com" TargetMode="External"/><Relationship Id="rId125" Type="http://schemas.openxmlformats.org/officeDocument/2006/relationships/hyperlink" Target="https://arxiv.org/abs/2201.04453like" TargetMode="External"/><Relationship Id="rId141" Type="http://schemas.openxmlformats.org/officeDocument/2006/relationships/hyperlink" Target="https://www.nature.com/articles/s41598-025-99903-y" TargetMode="External"/><Relationship Id="rId7" Type="http://schemas.openxmlformats.org/officeDocument/2006/relationships/hyperlink" Target="https://www.frontiersin.org/journals/human-neuroscience/articles/10.3389/fnhum.2014.00291/full" TargetMode="External"/><Relationship Id="rId71" Type="http://schemas.openxmlformats.org/officeDocument/2006/relationships/hyperlink" Target="https://www.sciencedirect.com/science/article/pii/S2090447923002769?via%3Dihub" TargetMode="External"/><Relationship Id="rId92" Type="http://schemas.openxmlformats.org/officeDocument/2006/relationships/hyperlink" Target="https://doi.org/10.1016/j.actpsy.2019.102950" TargetMode="External"/><Relationship Id="rId2" Type="http://schemas.openxmlformats.org/officeDocument/2006/relationships/hyperlink" Target="https://journals.sagepub.com/doi/10.3233/RNN-221279" TargetMode="External"/><Relationship Id="rId29" Type="http://schemas.openxmlformats.org/officeDocument/2006/relationships/hyperlink" Target="https://ieeexplore.ieee.org/document/10571914/" TargetMode="External"/><Relationship Id="rId24" Type="http://schemas.openxmlformats.org/officeDocument/2006/relationships/hyperlink" Target="https://journals.sagepub.com/doi/10.1177/14604582221112609" TargetMode="External"/><Relationship Id="rId40" Type="http://schemas.openxmlformats.org/officeDocument/2006/relationships/hyperlink" Target="https://journals.sagepub.com/doi/10.1177/20556683251316305" TargetMode="External"/><Relationship Id="rId45" Type="http://schemas.openxmlformats.org/officeDocument/2006/relationships/hyperlink" Target="https://ieeexplore.ieee.org/document/5165018" TargetMode="External"/><Relationship Id="rId66" Type="http://schemas.openxmlformats.org/officeDocument/2006/relationships/hyperlink" Target="https://ieeexplore.ieee.org/document/10041898" TargetMode="External"/><Relationship Id="rId87" Type="http://schemas.openxmlformats.org/officeDocument/2006/relationships/hyperlink" Target="https://link.springer.com/article/10.3758/s13414-024-02959-7" TargetMode="External"/><Relationship Id="rId110" Type="http://schemas.openxmlformats.org/officeDocument/2006/relationships/hyperlink" Target="https://www.nature.com/articles/s41598-020-59102-3" TargetMode="External"/><Relationship Id="rId115" Type="http://schemas.openxmlformats.org/officeDocument/2006/relationships/hyperlink" Target="https://www.nature.com/articles/s41598-025-14946-5" TargetMode="External"/><Relationship Id="rId131" Type="http://schemas.openxmlformats.org/officeDocument/2006/relationships/hyperlink" Target="https://ieeexplore.ieee.org/document/9743965" TargetMode="External"/><Relationship Id="rId136" Type="http://schemas.openxmlformats.org/officeDocument/2006/relationships/hyperlink" Target="https://www.nature.com/articles/s41598-025-29947-7" TargetMode="External"/><Relationship Id="rId61" Type="http://schemas.openxmlformats.org/officeDocument/2006/relationships/hyperlink" Target="https://www.sciencedirect.com/science/article/pii/S1053811921003062?via%3Dihub" TargetMode="External"/><Relationship Id="rId82" Type="http://schemas.openxmlformats.org/officeDocument/2006/relationships/hyperlink" Target="https://doi.org/10.1007/s44443-025-00234-9" TargetMode="External"/><Relationship Id="rId19" Type="http://schemas.openxmlformats.org/officeDocument/2006/relationships/hyperlink" Target="http://linkinghub.elsevier.com/retrieve/pii/S1071581907001012" TargetMode="External"/><Relationship Id="rId14" Type="http://schemas.openxmlformats.org/officeDocument/2006/relationships/hyperlink" Target="https://doi.org/10.1109/EMBC.2013.6610223" TargetMode="External"/><Relationship Id="rId30" Type="http://schemas.openxmlformats.org/officeDocument/2006/relationships/hyperlink" Target="https://link.springer.com/article/10.1007/s12193-024-00447-8" TargetMode="External"/><Relationship Id="rId35" Type="http://schemas.openxmlformats.org/officeDocument/2006/relationships/hyperlink" Target="https://www.sciencedirect.com/science/article/abs/pii/S0149763407000668?via%3Dihub" TargetMode="External"/><Relationship Id="rId56" Type="http://schemas.openxmlformats.org/officeDocument/2006/relationships/hyperlink" Target="https://link.springer.com/article/10.1007/s11042-023-16355-0" TargetMode="External"/><Relationship Id="rId77" Type="http://schemas.openxmlformats.org/officeDocument/2006/relationships/hyperlink" Target="https://link.springer.com/article/10.1007/s10209-023-00973-4" TargetMode="External"/><Relationship Id="rId100" Type="http://schemas.openxmlformats.org/officeDocument/2006/relationships/hyperlink" Target="https://www.sciencedirect.com/science/article/abs/pii/S0957417423015671?via%3Dihub" TargetMode="External"/><Relationship Id="rId105" Type="http://schemas.openxmlformats.org/officeDocument/2006/relationships/hyperlink" Target="https://www.nature.com/articles/s41539-025-00385-4" TargetMode="External"/><Relationship Id="rId126" Type="http://schemas.openxmlformats.org/officeDocument/2006/relationships/hyperlink" Target="https://journals.sagepub.com/doi/10.1177/0145482X19842491" TargetMode="External"/><Relationship Id="rId8" Type="http://schemas.openxmlformats.org/officeDocument/2006/relationships/hyperlink" Target="https://link.springer.com/article/10.1007/s10846-023-01824-3" TargetMode="External"/><Relationship Id="rId51" Type="http://schemas.openxmlformats.org/officeDocument/2006/relationships/hyperlink" Target="https://ieeexplore.ieee.org/abstract/document/9018269" TargetMode="External"/><Relationship Id="rId72" Type="http://schemas.openxmlformats.org/officeDocument/2006/relationships/hyperlink" Target="https://journals.sagepub.com/doi/10.1177/20552076251408522" TargetMode="External"/><Relationship Id="rId93" Type="http://schemas.openxmlformats.org/officeDocument/2006/relationships/hyperlink" Target="https://www.sciencedirect.com/science/article/abs/pii/S0001691819302008?via%3Dihub" TargetMode="External"/><Relationship Id="rId98" Type="http://schemas.openxmlformats.org/officeDocument/2006/relationships/hyperlink" Target="https://journals.sagepub.com/home/dhj" TargetMode="External"/><Relationship Id="rId121" Type="http://schemas.openxmlformats.org/officeDocument/2006/relationships/hyperlink" Target="https://ieeexplore.ieee.org/document/6611022" TargetMode="External"/><Relationship Id="rId142" Type="http://schemas.openxmlformats.org/officeDocument/2006/relationships/hyperlink" Target="https://doi.org/10.1038/s41598-026-37578-9" TargetMode="External"/><Relationship Id="rId3" Type="http://schemas.openxmlformats.org/officeDocument/2006/relationships/hyperlink" Target="https://doi.org/10.1016/j.actpsy.2019.102950" TargetMode="External"/><Relationship Id="rId25" Type="http://schemas.openxmlformats.org/officeDocument/2006/relationships/hyperlink" Target="https://www.tandfonline.com/doi/full/10.1080/17483107.2025.2463541" TargetMode="External"/><Relationship Id="rId46" Type="http://schemas.openxmlformats.org/officeDocument/2006/relationships/hyperlink" Target="https://ieeexplore.ieee.org/document/5165018" TargetMode="External"/><Relationship Id="rId67" Type="http://schemas.openxmlformats.org/officeDocument/2006/relationships/hyperlink" Target="https://doi.org/10.1016/j.eswa.2023.121065" TargetMode="External"/><Relationship Id="rId116" Type="http://schemas.openxmlformats.org/officeDocument/2006/relationships/hyperlink" Target="https://doi.org/10.1038/s41598-025-20765-5" TargetMode="External"/><Relationship Id="rId137" Type="http://schemas.openxmlformats.org/officeDocument/2006/relationships/hyperlink" Target="https://www.nature.com/articles/s41598-025-28038-x" TargetMode="External"/><Relationship Id="rId20" Type="http://schemas.openxmlformats.org/officeDocument/2006/relationships/hyperlink" Target="https://link.springer.com/article/10.1186/s41235-020-00240-7" TargetMode="External"/><Relationship Id="rId41" Type="http://schemas.openxmlformats.org/officeDocument/2006/relationships/hyperlink" Target="https://link.springer.com/article/10.1007/s00530-025-02139-z" TargetMode="External"/><Relationship Id="rId62" Type="http://schemas.openxmlformats.org/officeDocument/2006/relationships/hyperlink" Target="https://doi.org/10.1016/j.neuroimage.2024.120621" TargetMode="External"/><Relationship Id="rId83" Type="http://schemas.openxmlformats.org/officeDocument/2006/relationships/hyperlink" Target="https://link.springer.com/article/10.1007/s44443-025-00234-9" TargetMode="External"/><Relationship Id="rId88" Type="http://schemas.openxmlformats.org/officeDocument/2006/relationships/hyperlink" Target="https://link.springer.com/article/10.1186/s40580-026-00552-2" TargetMode="External"/><Relationship Id="rId111" Type="http://schemas.openxmlformats.org/officeDocument/2006/relationships/hyperlink" Target="https://advanced.onlinelibrary.wiley.com/doi/10.1002/aisy.70450" TargetMode="External"/><Relationship Id="rId132" Type="http://schemas.openxmlformats.org/officeDocument/2006/relationships/hyperlink" Target="https://doi.org/10.1038/s41598-025-21720-0" TargetMode="External"/><Relationship Id="rId15" Type="http://schemas.openxmlformats.org/officeDocument/2006/relationships/hyperlink" Target="https://ebooks.iospress.nl/doi/10.3233/APC210058" TargetMode="External"/><Relationship Id="rId36" Type="http://schemas.openxmlformats.org/officeDocument/2006/relationships/hyperlink" Target="https://ieeexplore.ieee.org/document/10438849" TargetMode="External"/><Relationship Id="rId57" Type="http://schemas.openxmlformats.org/officeDocument/2006/relationships/hyperlink" Target="https://www.sciencedirect.com/science/article/pii/S0006899325003555?via%3Dihub" TargetMode="External"/><Relationship Id="rId106" Type="http://schemas.openxmlformats.org/officeDocument/2006/relationships/hyperlink" Target="https://doi.org/10.1038/s41539-025-00385-4" TargetMode="External"/><Relationship Id="rId127" Type="http://schemas.openxmlformats.org/officeDocument/2006/relationships/hyperlink" Target="https://www.scitepress.org/PublishedPapers/2018/66175/" TargetMode="External"/><Relationship Id="rId10" Type="http://schemas.openxmlformats.org/officeDocument/2006/relationships/hyperlink" Target="https://link.springer.com/article/10.1007/s12559-026-10547-0" TargetMode="External"/><Relationship Id="rId31" Type="http://schemas.openxmlformats.org/officeDocument/2006/relationships/hyperlink" Target="https://link.springer.com/article/10.1007/s12193-023-00427-4" TargetMode="External"/><Relationship Id="rId52" Type="http://schemas.openxmlformats.org/officeDocument/2006/relationships/hyperlink" Target="https://doi.org/10.1007/s12193-025-00452-5" TargetMode="External"/><Relationship Id="rId73" Type="http://schemas.openxmlformats.org/officeDocument/2006/relationships/hyperlink" Target="https://doi.org/10.1049/ell2.70570" TargetMode="External"/><Relationship Id="rId78" Type="http://schemas.openxmlformats.org/officeDocument/2006/relationships/hyperlink" Target="https://doi.org/10.1109/TOH.2025.3616046" TargetMode="External"/><Relationship Id="rId94" Type="http://schemas.openxmlformats.org/officeDocument/2006/relationships/hyperlink" Target="https://doi.org/10.3389/fnhum.2014.00291" TargetMode="External"/><Relationship Id="rId99" Type="http://schemas.openxmlformats.org/officeDocument/2006/relationships/hyperlink" Target="https://link.springer.com/article/10.1007/s42486-023-00136-7" TargetMode="External"/><Relationship Id="rId101" Type="http://schemas.openxmlformats.org/officeDocument/2006/relationships/hyperlink" Target="https://www.nature.com/articles/s41928-023-01074-z" TargetMode="External"/><Relationship Id="rId122" Type="http://schemas.openxmlformats.org/officeDocument/2006/relationships/hyperlink" Target="https://ecasp.ece.iit.edu/publications/2012-present/2021-10.pdf" TargetMode="External"/><Relationship Id="rId143" Type="http://schemas.openxmlformats.org/officeDocument/2006/relationships/hyperlink" Target="https://www.nature.com/articles/s41598-026-37578-9" TargetMode="External"/><Relationship Id="rId4" Type="http://schemas.openxmlformats.org/officeDocument/2006/relationships/hyperlink" Target="https://doi.org/10.3389/fnhum.2014.00291" TargetMode="External"/><Relationship Id="rId9" Type="http://schemas.openxmlformats.org/officeDocument/2006/relationships/hyperlink" Target="https://doi.org/10.1007/s10846-023-01824-3" TargetMode="External"/><Relationship Id="rId26" Type="http://schemas.openxmlformats.org/officeDocument/2006/relationships/hyperlink" Target="https://www.sciencedirect.com/science/article/abs/pii/S0167865519300881?via%3Dihub" TargetMode="External"/><Relationship Id="rId47" Type="http://schemas.openxmlformats.org/officeDocument/2006/relationships/hyperlink" Target="https://doi.org/10.1007/s13042-023-01887-6" TargetMode="External"/><Relationship Id="rId68" Type="http://schemas.openxmlformats.org/officeDocument/2006/relationships/hyperlink" Target="https://www.sciencedirect.com/science/article/abs/pii/S0957417423015671?via%3Dihub" TargetMode="External"/><Relationship Id="rId89" Type="http://schemas.openxmlformats.org/officeDocument/2006/relationships/hyperlink" Target="https://link.springer.com/article/10.1186/s41235-023-00495-w" TargetMode="External"/><Relationship Id="rId112" Type="http://schemas.openxmlformats.org/officeDocument/2006/relationships/hyperlink" Target="https://doi.org/10.1038/s41598-025-08155-3" TargetMode="External"/><Relationship Id="rId133" Type="http://schemas.openxmlformats.org/officeDocument/2006/relationships/hyperlink" Target="https://arxiv.org/abs/2201.04453" TargetMode="External"/><Relationship Id="rId16" Type="http://schemas.openxmlformats.org/officeDocument/2006/relationships/hyperlink" Target="https://journals.sagepub.com/doi/10.1177/10711813251360704"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www.nature.com/articles/s41598-025-20765-5" TargetMode="External"/><Relationship Id="rId21" Type="http://schemas.openxmlformats.org/officeDocument/2006/relationships/hyperlink" Target="https://doi.org/10.1186/s41235-020-00240-7" TargetMode="External"/><Relationship Id="rId42" Type="http://schemas.openxmlformats.org/officeDocument/2006/relationships/hyperlink" Target="https://link.springer.com/article/10.1007/s00221-026-07309-7" TargetMode="External"/><Relationship Id="rId63" Type="http://schemas.openxmlformats.org/officeDocument/2006/relationships/hyperlink" Target="https://www.sciencedirect.com/science/article/pii/S1053811924001162?via%3Dihub" TargetMode="External"/><Relationship Id="rId84" Type="http://schemas.openxmlformats.org/officeDocument/2006/relationships/hyperlink" Target="https://doi.org/10.1186/s12984-021-00935-y" TargetMode="External"/><Relationship Id="rId138" Type="http://schemas.openxmlformats.org/officeDocument/2006/relationships/hyperlink" Target="https://doi.org/10.1038/s41598-025-29947-7" TargetMode="External"/><Relationship Id="rId107" Type="http://schemas.openxmlformats.org/officeDocument/2006/relationships/hyperlink" Target="https://doi.org/10.1038/s41539-025-00385-4" TargetMode="External"/><Relationship Id="rId11" Type="http://schemas.openxmlformats.org/officeDocument/2006/relationships/hyperlink" Target="https://www.researchgate.net/publication/357424856_HaptoMapping_Visuo-Haptic_Augmented_Reality_by_Embedding_User-Imperceptible_Tactile_Display_Control_Signals_in_a_Projected_Image" TargetMode="External"/><Relationship Id="rId32" Type="http://schemas.openxmlformats.org/officeDocument/2006/relationships/hyperlink" Target="https://link.springer.com/article/10.1007/s12193-021-00376-w" TargetMode="External"/><Relationship Id="rId37" Type="http://schemas.openxmlformats.org/officeDocument/2006/relationships/hyperlink" Target="https://link.springer.com/article/10.1007/s11042-026-21158-0" TargetMode="External"/><Relationship Id="rId53" Type="http://schemas.openxmlformats.org/officeDocument/2006/relationships/hyperlink" Target="https://link.springer.com/article/10.1007/s12193-025-00452-5" TargetMode="External"/><Relationship Id="rId58" Type="http://schemas.openxmlformats.org/officeDocument/2006/relationships/hyperlink" Target="https://doi.org/10.1016/j.neuroimage.2025.121652" TargetMode="External"/><Relationship Id="rId74" Type="http://schemas.openxmlformats.org/officeDocument/2006/relationships/hyperlink" Target="https://ietresearch.onlinelibrary.wiley.com/doi/10.1049/ell2.70570" TargetMode="External"/><Relationship Id="rId79" Type="http://schemas.openxmlformats.org/officeDocument/2006/relationships/hyperlink" Target="https://ieeexplore.ieee.org/document/11186136" TargetMode="External"/><Relationship Id="rId102" Type="http://schemas.openxmlformats.org/officeDocument/2006/relationships/hyperlink" Target="https://arxiv.org/abs/2511.10026v3" TargetMode="External"/><Relationship Id="rId123" Type="http://schemas.openxmlformats.org/officeDocument/2006/relationships/hyperlink" Target="https://arxiv.org/abs/2108.09174" TargetMode="External"/><Relationship Id="rId128" Type="http://schemas.openxmlformats.org/officeDocument/2006/relationships/hyperlink" Target="https://ojs.aaai.org/index.php/AAAI/article/view/25233" TargetMode="External"/><Relationship Id="rId144" Type="http://schemas.openxmlformats.org/officeDocument/2006/relationships/table" Target="../tables/table10.xml"/><Relationship Id="rId5" Type="http://schemas.openxmlformats.org/officeDocument/2006/relationships/hyperlink" Target="https://ebooks.iospress.nl/doi/10.3233/FAIA231495" TargetMode="External"/><Relationship Id="rId90" Type="http://schemas.openxmlformats.org/officeDocument/2006/relationships/hyperlink" Target="https://www.nature.com/articles/s41378-026-01190-8" TargetMode="External"/><Relationship Id="rId95" Type="http://schemas.openxmlformats.org/officeDocument/2006/relationships/hyperlink" Target="https://www.frontiersin.org/journals/human-neuroscience/articles/10.3389/fnhum.2014.00291/full" TargetMode="External"/><Relationship Id="rId22" Type="http://schemas.openxmlformats.org/officeDocument/2006/relationships/hyperlink" Target="https://doi.org/10.1016/j.patrec.2019.03.008" TargetMode="External"/><Relationship Id="rId27" Type="http://schemas.openxmlformats.org/officeDocument/2006/relationships/hyperlink" Target="https://doi.org/10.1080/17483107.2025.2463541" TargetMode="External"/><Relationship Id="rId43" Type="http://schemas.openxmlformats.org/officeDocument/2006/relationships/hyperlink" Target="https://doi.org/10.1016/j.heliyon.2024.e31825" TargetMode="External"/><Relationship Id="rId48" Type="http://schemas.openxmlformats.org/officeDocument/2006/relationships/hyperlink" Target="https://link.springer.com/article/10.1007/s11042-021-11287-z" TargetMode="External"/><Relationship Id="rId64" Type="http://schemas.openxmlformats.org/officeDocument/2006/relationships/hyperlink" Target="https://www.ieee-jas.net/article/doi/10.1109/JAS.2021.1004084?pageType=en" TargetMode="External"/><Relationship Id="rId69" Type="http://schemas.openxmlformats.org/officeDocument/2006/relationships/hyperlink" Target="https://doi.org/10.1007/s42486-023-00136-7" TargetMode="External"/><Relationship Id="rId113" Type="http://schemas.openxmlformats.org/officeDocument/2006/relationships/hyperlink" Target="https://www.nature.com/articles/s41598-025-08155-3" TargetMode="External"/><Relationship Id="rId118" Type="http://schemas.openxmlformats.org/officeDocument/2006/relationships/hyperlink" Target="https://journals.sagepub.com/doi/10.1177/0145482X19842491" TargetMode="External"/><Relationship Id="rId134" Type="http://schemas.openxmlformats.org/officeDocument/2006/relationships/hyperlink" Target="https://www.nature.com/articles/s41598-025-21720-0" TargetMode="External"/><Relationship Id="rId139" Type="http://schemas.openxmlformats.org/officeDocument/2006/relationships/hyperlink" Target="https://doi.org/10.1038/s41598-025-29947-7" TargetMode="External"/><Relationship Id="rId80" Type="http://schemas.openxmlformats.org/officeDocument/2006/relationships/hyperlink" Target="https://www.sciencedirect.com/science/article/abs/pii/S0006899315005156?via%3Dihub" TargetMode="External"/><Relationship Id="rId85" Type="http://schemas.openxmlformats.org/officeDocument/2006/relationships/hyperlink" Target="https://link.springer.com/article/10.1186/s12984-021-00935-y" TargetMode="External"/><Relationship Id="rId12" Type="http://schemas.openxmlformats.org/officeDocument/2006/relationships/hyperlink" Target="https://doi.org/10.1109/TVCG.2021.3136214" TargetMode="External"/><Relationship Id="rId17" Type="http://schemas.openxmlformats.org/officeDocument/2006/relationships/hyperlink" Target="https://10.0.4.153/10711813251360704" TargetMode="External"/><Relationship Id="rId33" Type="http://schemas.openxmlformats.org/officeDocument/2006/relationships/hyperlink" Target="https://link.springer.com/article/10.1007/s11042-026-21198-6" TargetMode="External"/><Relationship Id="rId38" Type="http://schemas.openxmlformats.org/officeDocument/2006/relationships/hyperlink" Target="https://doi.org/10.1016/j.neunet.2023.12.042" TargetMode="External"/><Relationship Id="rId59" Type="http://schemas.openxmlformats.org/officeDocument/2006/relationships/hyperlink" Target="https://www.sciencedirect.com/science/article/pii/S105381192500655X?via%3Dihub" TargetMode="External"/><Relationship Id="rId103" Type="http://schemas.openxmlformats.org/officeDocument/2006/relationships/hyperlink" Target="https://doi.org/10.1109/ICRA40945.2020.9196782" TargetMode="External"/><Relationship Id="rId108" Type="http://schemas.openxmlformats.org/officeDocument/2006/relationships/hyperlink" Target="https://www.nature.com/articles/s41539-025-00385-4" TargetMode="External"/><Relationship Id="rId124" Type="http://schemas.openxmlformats.org/officeDocument/2006/relationships/hyperlink" Target="https://arxiv.org/abs/2201.03036" TargetMode="External"/><Relationship Id="rId129" Type="http://schemas.openxmlformats.org/officeDocument/2006/relationships/hyperlink" Target="https://ieeexplore.ieee.org/document/6611022" TargetMode="External"/><Relationship Id="rId54" Type="http://schemas.openxmlformats.org/officeDocument/2006/relationships/hyperlink" Target="https://www.sciencedirect.com/science/article/abs/pii/S1053810009001718?via%3Dihub" TargetMode="External"/><Relationship Id="rId70" Type="http://schemas.openxmlformats.org/officeDocument/2006/relationships/hyperlink" Target="https://link.springer.com/article/10.1007/s42486-023-00136-7" TargetMode="External"/><Relationship Id="rId75" Type="http://schemas.openxmlformats.org/officeDocument/2006/relationships/hyperlink" Target="https://link.springer.com/article/10.1007/s11554-023-01314-7" TargetMode="External"/><Relationship Id="rId91" Type="http://schemas.openxmlformats.org/officeDocument/2006/relationships/hyperlink" Target="https://doi.org/10.3233/FAIA231495" TargetMode="External"/><Relationship Id="rId96" Type="http://schemas.openxmlformats.org/officeDocument/2006/relationships/hyperlink" Target="https://www.tandfonline.com/doi/full/10.1080/23311916.2025.2560974" TargetMode="External"/><Relationship Id="rId140" Type="http://schemas.openxmlformats.org/officeDocument/2006/relationships/hyperlink" Target="https://doi.org/10.1038/s41598-025-99903-y" TargetMode="External"/><Relationship Id="rId1" Type="http://schemas.openxmlformats.org/officeDocument/2006/relationships/hyperlink" Target="https://doi.org/10.3233/FAIA231495" TargetMode="External"/><Relationship Id="rId6" Type="http://schemas.openxmlformats.org/officeDocument/2006/relationships/hyperlink" Target="https://www.sciencedirect.com/science/article/abs/pii/S0001691819302008?via%3Dihub" TargetMode="External"/><Relationship Id="rId23" Type="http://schemas.openxmlformats.org/officeDocument/2006/relationships/hyperlink" Target="https://doi.org/10.1177/14604582221112609" TargetMode="External"/><Relationship Id="rId28" Type="http://schemas.openxmlformats.org/officeDocument/2006/relationships/hyperlink" Target="https://dx.doi.org/10.1109/ACCESS.2024.3419102" TargetMode="External"/><Relationship Id="rId49" Type="http://schemas.openxmlformats.org/officeDocument/2006/relationships/hyperlink" Target="https://link.springer.com/article/10.1007/s13042-023-01887-6" TargetMode="External"/><Relationship Id="rId114" Type="http://schemas.openxmlformats.org/officeDocument/2006/relationships/hyperlink" Target="https://doi.org/10.1038/s41598-025-14946-5" TargetMode="External"/><Relationship Id="rId119" Type="http://schemas.openxmlformats.org/officeDocument/2006/relationships/hyperlink" Target="https://pdfs.semanticscholar.org/9dc6/62fe1c66d32fd96ad040285a9ec3af56c912.pdf/1000" TargetMode="External"/><Relationship Id="rId44" Type="http://schemas.openxmlformats.org/officeDocument/2006/relationships/hyperlink" Target="https://www.cell.com/heliyon/fulltext/S2405-8440(24)07856-3?_returnURL=https%3A%2F%2Flinkinghub.elsevier.com%2Fretrieve%2Fpii%2FS2405844024078563%3Fshowall%3Dtrue" TargetMode="External"/><Relationship Id="rId60" Type="http://schemas.openxmlformats.org/officeDocument/2006/relationships/hyperlink" Target="https://doi.org/10.1016/j.neuroimage.2021.118029" TargetMode="External"/><Relationship Id="rId65" Type="http://schemas.openxmlformats.org/officeDocument/2006/relationships/hyperlink" Target="https://www.tandfonline.com/doi/epdf/10.1080/23311916.2025.2560974?needAccess=true" TargetMode="External"/><Relationship Id="rId81" Type="http://schemas.openxmlformats.org/officeDocument/2006/relationships/hyperlink" Target="https://doi.org/10.1038/s41598-025-08155-3" TargetMode="External"/><Relationship Id="rId86" Type="http://schemas.openxmlformats.org/officeDocument/2006/relationships/hyperlink" Target="https://doi.org/10.3758/s13414-024-02959-7" TargetMode="External"/><Relationship Id="rId130" Type="http://schemas.openxmlformats.org/officeDocument/2006/relationships/hyperlink" Target="https://ieeexplore.ieee.org/document/9491913" TargetMode="External"/><Relationship Id="rId135" Type="http://schemas.openxmlformats.org/officeDocument/2006/relationships/hyperlink" Target="https://ieeexplore.ieee.org/document/9664257" TargetMode="External"/><Relationship Id="rId13" Type="http://schemas.openxmlformats.org/officeDocument/2006/relationships/hyperlink" Target="https://ieeexplore.ieee.org/document/6610223" TargetMode="External"/><Relationship Id="rId18" Type="http://schemas.openxmlformats.org/officeDocument/2006/relationships/hyperlink" Target="https://link.springer.com/article/10.1007/s12193-025-00463-2" TargetMode="External"/><Relationship Id="rId39" Type="http://schemas.openxmlformats.org/officeDocument/2006/relationships/hyperlink" Target="https://www.sciencedirect.com/science/article/pii/S0893608023007499?via%3Dihub" TargetMode="External"/><Relationship Id="rId109" Type="http://schemas.openxmlformats.org/officeDocument/2006/relationships/hyperlink" Target="https://www.sciencedirect.com/science/article/abs/pii/S136466130800199X" TargetMode="External"/><Relationship Id="rId34" Type="http://schemas.openxmlformats.org/officeDocument/2006/relationships/hyperlink" Target="https://doi.org/10.1016/j.neubiorev.2007.05.010" TargetMode="External"/><Relationship Id="rId50" Type="http://schemas.openxmlformats.org/officeDocument/2006/relationships/hyperlink" Target="https://journals.sagepub.com/doi/10.1177/10711813251360706" TargetMode="External"/><Relationship Id="rId55" Type="http://schemas.openxmlformats.org/officeDocument/2006/relationships/hyperlink" Target="https://link.springer.com/article/10.1007/s00221-021-06181-x" TargetMode="External"/><Relationship Id="rId76" Type="http://schemas.openxmlformats.org/officeDocument/2006/relationships/hyperlink" Target="https://doi.org/10.1007/s10209-023-00973-4" TargetMode="External"/><Relationship Id="rId97" Type="http://schemas.openxmlformats.org/officeDocument/2006/relationships/hyperlink" Target="https://doi.org/10.1007/s11042-022-12577-w" TargetMode="External"/><Relationship Id="rId104" Type="http://schemas.openxmlformats.org/officeDocument/2006/relationships/hyperlink" Target="https://www.researchgate.net/publication/339725908_A_Visual_Positioning_System_for_Indoor_Blind_Navigation" TargetMode="External"/><Relationship Id="rId120" Type="http://schemas.openxmlformats.org/officeDocument/2006/relationships/hyperlink" Target="https://ojs.aaai.org/index.php/AAAI/article/view/25233?utm_source=chatgpt.com" TargetMode="External"/><Relationship Id="rId125" Type="http://schemas.openxmlformats.org/officeDocument/2006/relationships/hyperlink" Target="https://arxiv.org/abs/2201.04453like" TargetMode="External"/><Relationship Id="rId141" Type="http://schemas.openxmlformats.org/officeDocument/2006/relationships/hyperlink" Target="https://www.nature.com/articles/s41598-025-99903-y" TargetMode="External"/><Relationship Id="rId7" Type="http://schemas.openxmlformats.org/officeDocument/2006/relationships/hyperlink" Target="https://www.frontiersin.org/journals/human-neuroscience/articles/10.3389/fnhum.2014.00291/full" TargetMode="External"/><Relationship Id="rId71" Type="http://schemas.openxmlformats.org/officeDocument/2006/relationships/hyperlink" Target="https://www.sciencedirect.com/science/article/pii/S2090447923002769?via%3Dihub" TargetMode="External"/><Relationship Id="rId92" Type="http://schemas.openxmlformats.org/officeDocument/2006/relationships/hyperlink" Target="https://doi.org/10.1016/j.actpsy.2019.102950" TargetMode="External"/><Relationship Id="rId2" Type="http://schemas.openxmlformats.org/officeDocument/2006/relationships/hyperlink" Target="https://journals.sagepub.com/doi/10.3233/RNN-221279" TargetMode="External"/><Relationship Id="rId29" Type="http://schemas.openxmlformats.org/officeDocument/2006/relationships/hyperlink" Target="https://ieeexplore.ieee.org/document/10571914/" TargetMode="External"/><Relationship Id="rId24" Type="http://schemas.openxmlformats.org/officeDocument/2006/relationships/hyperlink" Target="https://journals.sagepub.com/doi/10.1177/14604582221112609" TargetMode="External"/><Relationship Id="rId40" Type="http://schemas.openxmlformats.org/officeDocument/2006/relationships/hyperlink" Target="https://journals.sagepub.com/doi/10.1177/20556683251316305" TargetMode="External"/><Relationship Id="rId45" Type="http://schemas.openxmlformats.org/officeDocument/2006/relationships/hyperlink" Target="https://ieeexplore.ieee.org/document/5165018" TargetMode="External"/><Relationship Id="rId66" Type="http://schemas.openxmlformats.org/officeDocument/2006/relationships/hyperlink" Target="https://ieeexplore.ieee.org/document/10041898" TargetMode="External"/><Relationship Id="rId87" Type="http://schemas.openxmlformats.org/officeDocument/2006/relationships/hyperlink" Target="https://link.springer.com/article/10.3758/s13414-024-02959-7" TargetMode="External"/><Relationship Id="rId110" Type="http://schemas.openxmlformats.org/officeDocument/2006/relationships/hyperlink" Target="https://www.nature.com/articles/s41598-020-59102-3" TargetMode="External"/><Relationship Id="rId115" Type="http://schemas.openxmlformats.org/officeDocument/2006/relationships/hyperlink" Target="https://www.nature.com/articles/s41598-025-14946-5" TargetMode="External"/><Relationship Id="rId131" Type="http://schemas.openxmlformats.org/officeDocument/2006/relationships/hyperlink" Target="https://ieeexplore.ieee.org/document/9743965" TargetMode="External"/><Relationship Id="rId136" Type="http://schemas.openxmlformats.org/officeDocument/2006/relationships/hyperlink" Target="https://www.nature.com/articles/s41598-025-29947-7" TargetMode="External"/><Relationship Id="rId61" Type="http://schemas.openxmlformats.org/officeDocument/2006/relationships/hyperlink" Target="https://www.sciencedirect.com/science/article/pii/S1053811921003062?via%3Dihub" TargetMode="External"/><Relationship Id="rId82" Type="http://schemas.openxmlformats.org/officeDocument/2006/relationships/hyperlink" Target="https://doi.org/10.1007/s44443-025-00234-9" TargetMode="External"/><Relationship Id="rId19" Type="http://schemas.openxmlformats.org/officeDocument/2006/relationships/hyperlink" Target="http://linkinghub.elsevier.com/retrieve/pii/S1071581907001012" TargetMode="External"/><Relationship Id="rId14" Type="http://schemas.openxmlformats.org/officeDocument/2006/relationships/hyperlink" Target="https://doi.org/10.1109/EMBC.2013.6610223" TargetMode="External"/><Relationship Id="rId30" Type="http://schemas.openxmlformats.org/officeDocument/2006/relationships/hyperlink" Target="https://link.springer.com/article/10.1007/s12193-024-00447-8" TargetMode="External"/><Relationship Id="rId35" Type="http://schemas.openxmlformats.org/officeDocument/2006/relationships/hyperlink" Target="https://www.sciencedirect.com/science/article/abs/pii/S0149763407000668?via%3Dihub" TargetMode="External"/><Relationship Id="rId56" Type="http://schemas.openxmlformats.org/officeDocument/2006/relationships/hyperlink" Target="https://link.springer.com/article/10.1007/s11042-023-16355-0" TargetMode="External"/><Relationship Id="rId77" Type="http://schemas.openxmlformats.org/officeDocument/2006/relationships/hyperlink" Target="https://link.springer.com/article/10.1007/s10209-023-00973-4" TargetMode="External"/><Relationship Id="rId100" Type="http://schemas.openxmlformats.org/officeDocument/2006/relationships/hyperlink" Target="https://www.sciencedirect.com/science/article/abs/pii/S0957417423015671?via%3Dihub" TargetMode="External"/><Relationship Id="rId105" Type="http://schemas.openxmlformats.org/officeDocument/2006/relationships/hyperlink" Target="https://www.nature.com/articles/s41539-025-00385-4" TargetMode="External"/><Relationship Id="rId126" Type="http://schemas.openxmlformats.org/officeDocument/2006/relationships/hyperlink" Target="https://journals.sagepub.com/doi/10.1177/0145482X19842491" TargetMode="External"/><Relationship Id="rId8" Type="http://schemas.openxmlformats.org/officeDocument/2006/relationships/hyperlink" Target="https://link.springer.com/article/10.1007/s10846-023-01824-3" TargetMode="External"/><Relationship Id="rId51" Type="http://schemas.openxmlformats.org/officeDocument/2006/relationships/hyperlink" Target="https://ieeexplore.ieee.org/abstract/document/9018269" TargetMode="External"/><Relationship Id="rId72" Type="http://schemas.openxmlformats.org/officeDocument/2006/relationships/hyperlink" Target="https://journals.sagepub.com/doi/10.1177/20552076251408522" TargetMode="External"/><Relationship Id="rId93" Type="http://schemas.openxmlformats.org/officeDocument/2006/relationships/hyperlink" Target="https://www.sciencedirect.com/science/article/abs/pii/S0001691819302008?via%3Dihub" TargetMode="External"/><Relationship Id="rId98" Type="http://schemas.openxmlformats.org/officeDocument/2006/relationships/hyperlink" Target="https://journals.sagepub.com/home/dhj" TargetMode="External"/><Relationship Id="rId121" Type="http://schemas.openxmlformats.org/officeDocument/2006/relationships/hyperlink" Target="https://ieeexplore.ieee.org/document/6611022" TargetMode="External"/><Relationship Id="rId142" Type="http://schemas.openxmlformats.org/officeDocument/2006/relationships/hyperlink" Target="https://doi.org/10.1038/s41598-026-37578-9" TargetMode="External"/><Relationship Id="rId3" Type="http://schemas.openxmlformats.org/officeDocument/2006/relationships/hyperlink" Target="https://doi.org/10.1016/j.actpsy.2019.102950" TargetMode="External"/><Relationship Id="rId25" Type="http://schemas.openxmlformats.org/officeDocument/2006/relationships/hyperlink" Target="https://www.tandfonline.com/doi/full/10.1080/17483107.2025.2463541" TargetMode="External"/><Relationship Id="rId46" Type="http://schemas.openxmlformats.org/officeDocument/2006/relationships/hyperlink" Target="https://ieeexplore.ieee.org/document/5165018" TargetMode="External"/><Relationship Id="rId67" Type="http://schemas.openxmlformats.org/officeDocument/2006/relationships/hyperlink" Target="https://doi.org/10.1016/j.eswa.2023.121065" TargetMode="External"/><Relationship Id="rId116" Type="http://schemas.openxmlformats.org/officeDocument/2006/relationships/hyperlink" Target="https://doi.org/10.1038/s41598-025-20765-5" TargetMode="External"/><Relationship Id="rId137" Type="http://schemas.openxmlformats.org/officeDocument/2006/relationships/hyperlink" Target="https://www.nature.com/articles/s41598-025-28038-x" TargetMode="External"/><Relationship Id="rId20" Type="http://schemas.openxmlformats.org/officeDocument/2006/relationships/hyperlink" Target="https://link.springer.com/article/10.1186/s41235-020-00240-7" TargetMode="External"/><Relationship Id="rId41" Type="http://schemas.openxmlformats.org/officeDocument/2006/relationships/hyperlink" Target="https://link.springer.com/article/10.1007/s00530-025-02139-z" TargetMode="External"/><Relationship Id="rId62" Type="http://schemas.openxmlformats.org/officeDocument/2006/relationships/hyperlink" Target="https://doi.org/10.1016/j.neuroimage.2024.120621" TargetMode="External"/><Relationship Id="rId83" Type="http://schemas.openxmlformats.org/officeDocument/2006/relationships/hyperlink" Target="https://link.springer.com/article/10.1007/s44443-025-00234-9" TargetMode="External"/><Relationship Id="rId88" Type="http://schemas.openxmlformats.org/officeDocument/2006/relationships/hyperlink" Target="https://link.springer.com/article/10.1186/s40580-026-00552-2" TargetMode="External"/><Relationship Id="rId111" Type="http://schemas.openxmlformats.org/officeDocument/2006/relationships/hyperlink" Target="https://advanced.onlinelibrary.wiley.com/doi/10.1002/aisy.70450" TargetMode="External"/><Relationship Id="rId132" Type="http://schemas.openxmlformats.org/officeDocument/2006/relationships/hyperlink" Target="https://doi.org/10.1038/s41598-025-21720-0" TargetMode="External"/><Relationship Id="rId15" Type="http://schemas.openxmlformats.org/officeDocument/2006/relationships/hyperlink" Target="https://ebooks.iospress.nl/doi/10.3233/APC210058" TargetMode="External"/><Relationship Id="rId36" Type="http://schemas.openxmlformats.org/officeDocument/2006/relationships/hyperlink" Target="https://ieeexplore.ieee.org/document/10438849" TargetMode="External"/><Relationship Id="rId57" Type="http://schemas.openxmlformats.org/officeDocument/2006/relationships/hyperlink" Target="https://www.sciencedirect.com/science/article/pii/S0006899325003555?via%3Dihub" TargetMode="External"/><Relationship Id="rId106" Type="http://schemas.openxmlformats.org/officeDocument/2006/relationships/hyperlink" Target="https://doi.org/10.1038/s41539-025-00385-4" TargetMode="External"/><Relationship Id="rId127" Type="http://schemas.openxmlformats.org/officeDocument/2006/relationships/hyperlink" Target="https://www.scitepress.org/PublishedPapers/2018/66175/" TargetMode="External"/><Relationship Id="rId10" Type="http://schemas.openxmlformats.org/officeDocument/2006/relationships/hyperlink" Target="https://link.springer.com/article/10.1007/s12559-026-10547-0" TargetMode="External"/><Relationship Id="rId31" Type="http://schemas.openxmlformats.org/officeDocument/2006/relationships/hyperlink" Target="https://link.springer.com/article/10.1007/s12193-023-00427-4" TargetMode="External"/><Relationship Id="rId52" Type="http://schemas.openxmlformats.org/officeDocument/2006/relationships/hyperlink" Target="https://doi.org/10.1007/s12193-025-00452-5" TargetMode="External"/><Relationship Id="rId73" Type="http://schemas.openxmlformats.org/officeDocument/2006/relationships/hyperlink" Target="https://doi.org/10.1049/ell2.70570" TargetMode="External"/><Relationship Id="rId78" Type="http://schemas.openxmlformats.org/officeDocument/2006/relationships/hyperlink" Target="https://doi.org/10.1109/TOH.2025.3616046" TargetMode="External"/><Relationship Id="rId94" Type="http://schemas.openxmlformats.org/officeDocument/2006/relationships/hyperlink" Target="https://doi.org/10.3389/fnhum.2014.00291" TargetMode="External"/><Relationship Id="rId99" Type="http://schemas.openxmlformats.org/officeDocument/2006/relationships/hyperlink" Target="https://link.springer.com/article/10.1007/s42486-023-00136-7" TargetMode="External"/><Relationship Id="rId101" Type="http://schemas.openxmlformats.org/officeDocument/2006/relationships/hyperlink" Target="https://www.nature.com/articles/s41928-023-01074-z" TargetMode="External"/><Relationship Id="rId122" Type="http://schemas.openxmlformats.org/officeDocument/2006/relationships/hyperlink" Target="https://ecasp.ece.iit.edu/publications/2012-present/2021-10.pdf" TargetMode="External"/><Relationship Id="rId143" Type="http://schemas.openxmlformats.org/officeDocument/2006/relationships/hyperlink" Target="https://www.nature.com/articles/s41598-026-37578-9" TargetMode="External"/><Relationship Id="rId4" Type="http://schemas.openxmlformats.org/officeDocument/2006/relationships/hyperlink" Target="https://doi.org/10.3389/fnhum.2014.00291" TargetMode="External"/><Relationship Id="rId9" Type="http://schemas.openxmlformats.org/officeDocument/2006/relationships/hyperlink" Target="https://doi.org/10.1007/s10846-023-01824-3" TargetMode="External"/><Relationship Id="rId26" Type="http://schemas.openxmlformats.org/officeDocument/2006/relationships/hyperlink" Target="https://www.sciencedirect.com/science/article/abs/pii/S0167865519300881?via%3Dihub" TargetMode="External"/><Relationship Id="rId47" Type="http://schemas.openxmlformats.org/officeDocument/2006/relationships/hyperlink" Target="https://doi.org/10.1007/s13042-023-01887-6" TargetMode="External"/><Relationship Id="rId68" Type="http://schemas.openxmlformats.org/officeDocument/2006/relationships/hyperlink" Target="https://www.sciencedirect.com/science/article/abs/pii/S0957417423015671?via%3Dihub" TargetMode="External"/><Relationship Id="rId89" Type="http://schemas.openxmlformats.org/officeDocument/2006/relationships/hyperlink" Target="https://link.springer.com/article/10.1186/s41235-023-00495-w" TargetMode="External"/><Relationship Id="rId112" Type="http://schemas.openxmlformats.org/officeDocument/2006/relationships/hyperlink" Target="https://doi.org/10.1038/s41598-025-08155-3" TargetMode="External"/><Relationship Id="rId133" Type="http://schemas.openxmlformats.org/officeDocument/2006/relationships/hyperlink" Target="https://arxiv.org/abs/2201.04453" TargetMode="External"/><Relationship Id="rId16" Type="http://schemas.openxmlformats.org/officeDocument/2006/relationships/hyperlink" Target="https://journals.sagepub.com/doi/10.1177/10711813251360704"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pdfs.semanticscholar.org/9dc6/62fe1c66d32fd96ad040285a9ec3af56c912.pdf/1000" TargetMode="External"/><Relationship Id="rId21" Type="http://schemas.openxmlformats.org/officeDocument/2006/relationships/hyperlink" Target="https://doi.org/10.1186/s41235-020-00240-7" TargetMode="External"/><Relationship Id="rId42" Type="http://schemas.openxmlformats.org/officeDocument/2006/relationships/hyperlink" Target="https://link.springer.com/article/10.1007/s00221-026-07309-7" TargetMode="External"/><Relationship Id="rId63" Type="http://schemas.openxmlformats.org/officeDocument/2006/relationships/hyperlink" Target="https://www.sciencedirect.com/science/article/pii/S1053811924001162?via%3Dihub" TargetMode="External"/><Relationship Id="rId84" Type="http://schemas.openxmlformats.org/officeDocument/2006/relationships/hyperlink" Target="https://doi.org/10.1186/s12984-021-00935-y" TargetMode="External"/><Relationship Id="rId138" Type="http://schemas.openxmlformats.org/officeDocument/2006/relationships/hyperlink" Target="https://doi.org/10.1038/s41598-025-99903-y" TargetMode="External"/><Relationship Id="rId107" Type="http://schemas.openxmlformats.org/officeDocument/2006/relationships/hyperlink" Target="https://www.sciencedirect.com/science/article/abs/pii/S136466130800199X" TargetMode="External"/><Relationship Id="rId11" Type="http://schemas.openxmlformats.org/officeDocument/2006/relationships/hyperlink" Target="https://www.researchgate.net/publication/357424856_HaptoMapping_Visuo-Haptic_Augmented_Reality_by_Embedding_User-Imperceptible_Tactile_Display_Control_Signals_in_a_Projected_Image" TargetMode="External"/><Relationship Id="rId32" Type="http://schemas.openxmlformats.org/officeDocument/2006/relationships/hyperlink" Target="https://link.springer.com/article/10.1007/s12193-021-00376-w" TargetMode="External"/><Relationship Id="rId53" Type="http://schemas.openxmlformats.org/officeDocument/2006/relationships/hyperlink" Target="https://link.springer.com/article/10.1007/s12193-025-00452-5" TargetMode="External"/><Relationship Id="rId74" Type="http://schemas.openxmlformats.org/officeDocument/2006/relationships/hyperlink" Target="https://ietresearch.onlinelibrary.wiley.com/doi/10.1049/ell2.70570" TargetMode="External"/><Relationship Id="rId128" Type="http://schemas.openxmlformats.org/officeDocument/2006/relationships/hyperlink" Target="https://ieeexplore.ieee.org/document/9491913" TargetMode="External"/><Relationship Id="rId149" Type="http://schemas.openxmlformats.org/officeDocument/2006/relationships/hyperlink" Target="https://dl.acm.org/doi/10.1145/3517428.354479" TargetMode="External"/><Relationship Id="rId5" Type="http://schemas.openxmlformats.org/officeDocument/2006/relationships/hyperlink" Target="https://ebooks.iospress.nl/doi/10.3233/FAIA231495" TargetMode="External"/><Relationship Id="rId95" Type="http://schemas.openxmlformats.org/officeDocument/2006/relationships/hyperlink" Target="https://www.frontiersin.org/journals/human-neuroscience/articles/10.3389/fnhum.2014.00291/full" TargetMode="External"/><Relationship Id="rId22" Type="http://schemas.openxmlformats.org/officeDocument/2006/relationships/hyperlink" Target="https://doi.org/10.1016/j.patrec.2019.03.008" TargetMode="External"/><Relationship Id="rId27" Type="http://schemas.openxmlformats.org/officeDocument/2006/relationships/hyperlink" Target="https://doi.org/10.1080/17483107.2025.2463541" TargetMode="External"/><Relationship Id="rId43" Type="http://schemas.openxmlformats.org/officeDocument/2006/relationships/hyperlink" Target="https://doi.org/10.1016/j.heliyon.2024.e31825" TargetMode="External"/><Relationship Id="rId48" Type="http://schemas.openxmlformats.org/officeDocument/2006/relationships/hyperlink" Target="https://link.springer.com/article/10.1007/s11042-021-11287-z" TargetMode="External"/><Relationship Id="rId64" Type="http://schemas.openxmlformats.org/officeDocument/2006/relationships/hyperlink" Target="https://www.ieee-jas.net/article/doi/10.1109/JAS.2021.1004084?pageType=en" TargetMode="External"/><Relationship Id="rId69" Type="http://schemas.openxmlformats.org/officeDocument/2006/relationships/hyperlink" Target="https://doi.org/10.1007/s42486-023-00136-7" TargetMode="External"/><Relationship Id="rId113" Type="http://schemas.openxmlformats.org/officeDocument/2006/relationships/hyperlink" Target="https://www.nature.com/articles/s41598-025-14946-5" TargetMode="External"/><Relationship Id="rId118" Type="http://schemas.openxmlformats.org/officeDocument/2006/relationships/hyperlink" Target="https://ojs.aaai.org/index.php/AAAI/article/view/25233?utm_source=chatgpt.com" TargetMode="External"/><Relationship Id="rId134" Type="http://schemas.openxmlformats.org/officeDocument/2006/relationships/hyperlink" Target="https://www.nature.com/articles/s41598-025-29947-7" TargetMode="External"/><Relationship Id="rId139" Type="http://schemas.openxmlformats.org/officeDocument/2006/relationships/hyperlink" Target="https://www.nature.com/articles/s41598-025-99903-y" TargetMode="External"/><Relationship Id="rId80" Type="http://schemas.openxmlformats.org/officeDocument/2006/relationships/hyperlink" Target="https://www.sciencedirect.com/science/article/abs/pii/S0006899315005156?via%3Dihub" TargetMode="External"/><Relationship Id="rId85" Type="http://schemas.openxmlformats.org/officeDocument/2006/relationships/hyperlink" Target="https://link.springer.com/article/10.1186/s12984-021-00935-y" TargetMode="External"/><Relationship Id="rId150" Type="http://schemas.openxmlformats.org/officeDocument/2006/relationships/table" Target="../tables/table11.xml"/><Relationship Id="rId12" Type="http://schemas.openxmlformats.org/officeDocument/2006/relationships/hyperlink" Target="https://doi.org/10.1109/TVCG.2021.3136214" TargetMode="External"/><Relationship Id="rId17" Type="http://schemas.openxmlformats.org/officeDocument/2006/relationships/hyperlink" Target="https://10.0.4.153/10711813251360704" TargetMode="External"/><Relationship Id="rId33" Type="http://schemas.openxmlformats.org/officeDocument/2006/relationships/hyperlink" Target="https://link.springer.com/article/10.1007/s11042-026-21198-6" TargetMode="External"/><Relationship Id="rId38" Type="http://schemas.openxmlformats.org/officeDocument/2006/relationships/hyperlink" Target="https://doi.org/10.1016/j.neunet.2023.12.042" TargetMode="External"/><Relationship Id="rId59" Type="http://schemas.openxmlformats.org/officeDocument/2006/relationships/hyperlink" Target="https://www.sciencedirect.com/science/article/pii/S105381192500655X?via%3Dihub" TargetMode="External"/><Relationship Id="rId103" Type="http://schemas.openxmlformats.org/officeDocument/2006/relationships/hyperlink" Target="https://www.nature.com/articles/s41539-025-00385-4" TargetMode="External"/><Relationship Id="rId108" Type="http://schemas.openxmlformats.org/officeDocument/2006/relationships/hyperlink" Target="https://www.nature.com/articles/s41598-020-59102-3" TargetMode="External"/><Relationship Id="rId124" Type="http://schemas.openxmlformats.org/officeDocument/2006/relationships/hyperlink" Target="https://journals.sagepub.com/doi/10.1177/0145482X19842491" TargetMode="External"/><Relationship Id="rId129" Type="http://schemas.openxmlformats.org/officeDocument/2006/relationships/hyperlink" Target="https://ieeexplore.ieee.org/document/9743965" TargetMode="External"/><Relationship Id="rId54" Type="http://schemas.openxmlformats.org/officeDocument/2006/relationships/hyperlink" Target="https://www.sciencedirect.com/science/article/abs/pii/S1053810009001718?via%3Dihub" TargetMode="External"/><Relationship Id="rId70" Type="http://schemas.openxmlformats.org/officeDocument/2006/relationships/hyperlink" Target="https://link.springer.com/article/10.1007/s42486-023-00136-7" TargetMode="External"/><Relationship Id="rId75" Type="http://schemas.openxmlformats.org/officeDocument/2006/relationships/hyperlink" Target="https://link.springer.com/article/10.1007/s11554-023-01314-7" TargetMode="External"/><Relationship Id="rId91" Type="http://schemas.openxmlformats.org/officeDocument/2006/relationships/hyperlink" Target="https://doi.org/10.3233/FAIA231495" TargetMode="External"/><Relationship Id="rId96" Type="http://schemas.openxmlformats.org/officeDocument/2006/relationships/hyperlink" Target="https://www.tandfonline.com/doi/full/10.1080/23311916.2025.2560974" TargetMode="External"/><Relationship Id="rId140" Type="http://schemas.openxmlformats.org/officeDocument/2006/relationships/hyperlink" Target="https://doi.org/10.1038/s41598-026-37578-9" TargetMode="External"/><Relationship Id="rId145" Type="http://schemas.openxmlformats.org/officeDocument/2006/relationships/hyperlink" Target="https://doi.org/10.1145/3663547.374633" TargetMode="External"/><Relationship Id="rId1" Type="http://schemas.openxmlformats.org/officeDocument/2006/relationships/hyperlink" Target="https://doi.org/10.3233/FAIA231495" TargetMode="External"/><Relationship Id="rId6" Type="http://schemas.openxmlformats.org/officeDocument/2006/relationships/hyperlink" Target="https://www.sciencedirect.com/science/article/abs/pii/S0001691819302008?via%3Dihub" TargetMode="External"/><Relationship Id="rId23" Type="http://schemas.openxmlformats.org/officeDocument/2006/relationships/hyperlink" Target="https://doi.org/10.1177/14604582221112609" TargetMode="External"/><Relationship Id="rId28" Type="http://schemas.openxmlformats.org/officeDocument/2006/relationships/hyperlink" Target="https://dx.doi.org/10.1109/ACCESS.2024.3419102" TargetMode="External"/><Relationship Id="rId49" Type="http://schemas.openxmlformats.org/officeDocument/2006/relationships/hyperlink" Target="https://link.springer.com/article/10.1007/s13042-023-01887-6" TargetMode="External"/><Relationship Id="rId114" Type="http://schemas.openxmlformats.org/officeDocument/2006/relationships/hyperlink" Target="https://doi.org/10.1038/s41598-025-20765-5" TargetMode="External"/><Relationship Id="rId119" Type="http://schemas.openxmlformats.org/officeDocument/2006/relationships/hyperlink" Target="https://ieeexplore.ieee.org/document/6611022" TargetMode="External"/><Relationship Id="rId44" Type="http://schemas.openxmlformats.org/officeDocument/2006/relationships/hyperlink" Target="https://www.cell.com/heliyon/fulltext/S2405-8440(24)07856-3?_returnURL=https%3A%2F%2Flinkinghub.elsevier.com%2Fretrieve%2Fpii%2FS2405844024078563%3Fshowall%3Dtrue" TargetMode="External"/><Relationship Id="rId60" Type="http://schemas.openxmlformats.org/officeDocument/2006/relationships/hyperlink" Target="https://doi.org/10.1016/j.neuroimage.2021.118029" TargetMode="External"/><Relationship Id="rId65" Type="http://schemas.openxmlformats.org/officeDocument/2006/relationships/hyperlink" Target="https://www.tandfonline.com/doi/epdf/10.1080/23311916.2025.2560974?needAccess=true" TargetMode="External"/><Relationship Id="rId81" Type="http://schemas.openxmlformats.org/officeDocument/2006/relationships/hyperlink" Target="https://doi.org/10.1038/s41598-025-08155-3" TargetMode="External"/><Relationship Id="rId86" Type="http://schemas.openxmlformats.org/officeDocument/2006/relationships/hyperlink" Target="https://doi.org/10.3758/s13414-024-02959-7" TargetMode="External"/><Relationship Id="rId130" Type="http://schemas.openxmlformats.org/officeDocument/2006/relationships/hyperlink" Target="https://doi.org/10.1038/s41598-025-21720-0" TargetMode="External"/><Relationship Id="rId135" Type="http://schemas.openxmlformats.org/officeDocument/2006/relationships/hyperlink" Target="https://www.nature.com/articles/s41598-025-28038-x" TargetMode="External"/><Relationship Id="rId13" Type="http://schemas.openxmlformats.org/officeDocument/2006/relationships/hyperlink" Target="https://ieeexplore.ieee.org/document/6610223" TargetMode="External"/><Relationship Id="rId18" Type="http://schemas.openxmlformats.org/officeDocument/2006/relationships/hyperlink" Target="https://link.springer.com/article/10.1007/s12193-025-00463-2" TargetMode="External"/><Relationship Id="rId39" Type="http://schemas.openxmlformats.org/officeDocument/2006/relationships/hyperlink" Target="https://www.sciencedirect.com/science/article/pii/S0893608023007499?via%3Dihub" TargetMode="External"/><Relationship Id="rId109" Type="http://schemas.openxmlformats.org/officeDocument/2006/relationships/hyperlink" Target="https://advanced.onlinelibrary.wiley.com/doi/10.1002/aisy.70450" TargetMode="External"/><Relationship Id="rId34" Type="http://schemas.openxmlformats.org/officeDocument/2006/relationships/hyperlink" Target="https://doi.org/10.1016/j.neubiorev.2007.05.010" TargetMode="External"/><Relationship Id="rId50" Type="http://schemas.openxmlformats.org/officeDocument/2006/relationships/hyperlink" Target="https://journals.sagepub.com/doi/10.1177/10711813251360706" TargetMode="External"/><Relationship Id="rId55" Type="http://schemas.openxmlformats.org/officeDocument/2006/relationships/hyperlink" Target="https://link.springer.com/article/10.1007/s00221-021-06181-x" TargetMode="External"/><Relationship Id="rId76" Type="http://schemas.openxmlformats.org/officeDocument/2006/relationships/hyperlink" Target="https://doi.org/10.1007/s10209-023-00973-4" TargetMode="External"/><Relationship Id="rId97" Type="http://schemas.openxmlformats.org/officeDocument/2006/relationships/hyperlink" Target="https://doi.org/10.1007/s11042-022-12577-w" TargetMode="External"/><Relationship Id="rId104" Type="http://schemas.openxmlformats.org/officeDocument/2006/relationships/hyperlink" Target="https://doi.org/10.1038/s41539-025-00385-4" TargetMode="External"/><Relationship Id="rId120" Type="http://schemas.openxmlformats.org/officeDocument/2006/relationships/hyperlink" Target="https://ecasp.ece.iit.edu/publications/2012-present/2021-10.pdf" TargetMode="External"/><Relationship Id="rId125" Type="http://schemas.openxmlformats.org/officeDocument/2006/relationships/hyperlink" Target="https://www.scitepress.org/PublishedPapers/2018/66175/" TargetMode="External"/><Relationship Id="rId141" Type="http://schemas.openxmlformats.org/officeDocument/2006/relationships/hyperlink" Target="https://www.nature.com/articles/s41598-026-37578-9" TargetMode="External"/><Relationship Id="rId146" Type="http://schemas.openxmlformats.org/officeDocument/2006/relationships/hyperlink" Target="https://dl.acm.org/doi/10.1145/3663547.3746338" TargetMode="External"/><Relationship Id="rId7" Type="http://schemas.openxmlformats.org/officeDocument/2006/relationships/hyperlink" Target="https://www.frontiersin.org/journals/human-neuroscience/articles/10.3389/fnhum.2014.00291/full" TargetMode="External"/><Relationship Id="rId71" Type="http://schemas.openxmlformats.org/officeDocument/2006/relationships/hyperlink" Target="https://www.sciencedirect.com/science/article/pii/S2090447923002769?via%3Dihub" TargetMode="External"/><Relationship Id="rId92" Type="http://schemas.openxmlformats.org/officeDocument/2006/relationships/hyperlink" Target="https://doi.org/10.1016/j.actpsy.2019.102950" TargetMode="External"/><Relationship Id="rId2" Type="http://schemas.openxmlformats.org/officeDocument/2006/relationships/hyperlink" Target="https://journals.sagepub.com/doi/10.3233/RNN-221279" TargetMode="External"/><Relationship Id="rId29" Type="http://schemas.openxmlformats.org/officeDocument/2006/relationships/hyperlink" Target="https://ieeexplore.ieee.org/document/10571914/" TargetMode="External"/><Relationship Id="rId24" Type="http://schemas.openxmlformats.org/officeDocument/2006/relationships/hyperlink" Target="https://journals.sagepub.com/doi/10.1177/14604582221112609" TargetMode="External"/><Relationship Id="rId40" Type="http://schemas.openxmlformats.org/officeDocument/2006/relationships/hyperlink" Target="https://journals.sagepub.com/doi/10.1177/20556683251316305" TargetMode="External"/><Relationship Id="rId45" Type="http://schemas.openxmlformats.org/officeDocument/2006/relationships/hyperlink" Target="https://ieeexplore.ieee.org/document/5165018" TargetMode="External"/><Relationship Id="rId66" Type="http://schemas.openxmlformats.org/officeDocument/2006/relationships/hyperlink" Target="https://ieeexplore.ieee.org/document/10041898" TargetMode="External"/><Relationship Id="rId87" Type="http://schemas.openxmlformats.org/officeDocument/2006/relationships/hyperlink" Target="https://link.springer.com/article/10.3758/s13414-024-02959-7" TargetMode="External"/><Relationship Id="rId110" Type="http://schemas.openxmlformats.org/officeDocument/2006/relationships/hyperlink" Target="https://doi.org/10.1038/s41598-025-08155-3" TargetMode="External"/><Relationship Id="rId115" Type="http://schemas.openxmlformats.org/officeDocument/2006/relationships/hyperlink" Target="https://www.nature.com/articles/s41598-025-20765-5" TargetMode="External"/><Relationship Id="rId131" Type="http://schemas.openxmlformats.org/officeDocument/2006/relationships/hyperlink" Target="https://arxiv.org/abs/2201.04453" TargetMode="External"/><Relationship Id="rId136" Type="http://schemas.openxmlformats.org/officeDocument/2006/relationships/hyperlink" Target="https://doi.org/10.1038/s41598-025-29947-7" TargetMode="External"/><Relationship Id="rId61" Type="http://schemas.openxmlformats.org/officeDocument/2006/relationships/hyperlink" Target="https://www.sciencedirect.com/science/article/pii/S1053811921003062?via%3Dihub" TargetMode="External"/><Relationship Id="rId82" Type="http://schemas.openxmlformats.org/officeDocument/2006/relationships/hyperlink" Target="https://doi.org/10.1007/s44443-025-00234-9" TargetMode="External"/><Relationship Id="rId19" Type="http://schemas.openxmlformats.org/officeDocument/2006/relationships/hyperlink" Target="http://linkinghub.elsevier.com/retrieve/pii/S1071581907001012" TargetMode="External"/><Relationship Id="rId14" Type="http://schemas.openxmlformats.org/officeDocument/2006/relationships/hyperlink" Target="https://doi.org/10.1109/EMBC.2013.6610223" TargetMode="External"/><Relationship Id="rId30" Type="http://schemas.openxmlformats.org/officeDocument/2006/relationships/hyperlink" Target="https://link.springer.com/article/10.1007/s12193-024-00447-8" TargetMode="External"/><Relationship Id="rId35" Type="http://schemas.openxmlformats.org/officeDocument/2006/relationships/hyperlink" Target="https://www.sciencedirect.com/science/article/abs/pii/S0149763407000668?via%3Dihub" TargetMode="External"/><Relationship Id="rId56" Type="http://schemas.openxmlformats.org/officeDocument/2006/relationships/hyperlink" Target="https://link.springer.com/article/10.1007/s11042-023-16355-0" TargetMode="External"/><Relationship Id="rId77" Type="http://schemas.openxmlformats.org/officeDocument/2006/relationships/hyperlink" Target="https://link.springer.com/article/10.1007/s10209-023-00973-4" TargetMode="External"/><Relationship Id="rId100" Type="http://schemas.openxmlformats.org/officeDocument/2006/relationships/hyperlink" Target="https://www.sciencedirect.com/science/article/abs/pii/S0957417423015671?via%3Dihub" TargetMode="External"/><Relationship Id="rId105" Type="http://schemas.openxmlformats.org/officeDocument/2006/relationships/hyperlink" Target="https://doi.org/10.1038/s41539-025-00385-4" TargetMode="External"/><Relationship Id="rId126" Type="http://schemas.openxmlformats.org/officeDocument/2006/relationships/hyperlink" Target="https://ojs.aaai.org/index.php/AAAI/article/view/25233" TargetMode="External"/><Relationship Id="rId147" Type="http://schemas.openxmlformats.org/officeDocument/2006/relationships/hyperlink" Target="https://doi.org/10.1145/3517428.3544797" TargetMode="External"/><Relationship Id="rId8" Type="http://schemas.openxmlformats.org/officeDocument/2006/relationships/hyperlink" Target="https://link.springer.com/article/10.1007/s10846-023-01824-3" TargetMode="External"/><Relationship Id="rId51" Type="http://schemas.openxmlformats.org/officeDocument/2006/relationships/hyperlink" Target="https://ieeexplore.ieee.org/abstract/document/9018269" TargetMode="External"/><Relationship Id="rId72" Type="http://schemas.openxmlformats.org/officeDocument/2006/relationships/hyperlink" Target="https://journals.sagepub.com/doi/10.1177/20552076251408522" TargetMode="External"/><Relationship Id="rId93" Type="http://schemas.openxmlformats.org/officeDocument/2006/relationships/hyperlink" Target="https://www.sciencedirect.com/science/article/abs/pii/S0001691819302008?via%3Dihub" TargetMode="External"/><Relationship Id="rId98" Type="http://schemas.openxmlformats.org/officeDocument/2006/relationships/hyperlink" Target="https://journals.sagepub.com/home/dhj" TargetMode="External"/><Relationship Id="rId121" Type="http://schemas.openxmlformats.org/officeDocument/2006/relationships/hyperlink" Target="https://arxiv.org/abs/2108.09174" TargetMode="External"/><Relationship Id="rId142" Type="http://schemas.openxmlformats.org/officeDocument/2006/relationships/hyperlink" Target="https://www.researchgate.net/publication/339725908_A_Visual_Positioning_System_for_Indoor_Blind_Navigation" TargetMode="External"/><Relationship Id="rId3" Type="http://schemas.openxmlformats.org/officeDocument/2006/relationships/hyperlink" Target="https://doi.org/10.1016/j.actpsy.2019.102950" TargetMode="External"/><Relationship Id="rId25" Type="http://schemas.openxmlformats.org/officeDocument/2006/relationships/hyperlink" Target="https://www.tandfonline.com/doi/full/10.1080/17483107.2025.2463541" TargetMode="External"/><Relationship Id="rId46" Type="http://schemas.openxmlformats.org/officeDocument/2006/relationships/hyperlink" Target="https://ieeexplore.ieee.org/document/5165018" TargetMode="External"/><Relationship Id="rId67" Type="http://schemas.openxmlformats.org/officeDocument/2006/relationships/hyperlink" Target="https://doi.org/10.1016/j.eswa.2023.121065" TargetMode="External"/><Relationship Id="rId116" Type="http://schemas.openxmlformats.org/officeDocument/2006/relationships/hyperlink" Target="https://journals.sagepub.com/doi/10.1177/0145482X19842491" TargetMode="External"/><Relationship Id="rId137" Type="http://schemas.openxmlformats.org/officeDocument/2006/relationships/hyperlink" Target="https://doi.org/10.1038/s41598-025-29947-7" TargetMode="External"/><Relationship Id="rId20" Type="http://schemas.openxmlformats.org/officeDocument/2006/relationships/hyperlink" Target="https://link.springer.com/article/10.1186/s41235-020-00240-7" TargetMode="External"/><Relationship Id="rId41" Type="http://schemas.openxmlformats.org/officeDocument/2006/relationships/hyperlink" Target="https://link.springer.com/article/10.1007/s00530-025-02139-z" TargetMode="External"/><Relationship Id="rId62" Type="http://schemas.openxmlformats.org/officeDocument/2006/relationships/hyperlink" Target="https://doi.org/10.1016/j.neuroimage.2024.120621" TargetMode="External"/><Relationship Id="rId83" Type="http://schemas.openxmlformats.org/officeDocument/2006/relationships/hyperlink" Target="https://link.springer.com/article/10.1007/s44443-025-00234-9" TargetMode="External"/><Relationship Id="rId88" Type="http://schemas.openxmlformats.org/officeDocument/2006/relationships/hyperlink" Target="https://link.springer.com/article/10.1186/s40580-026-00552-2" TargetMode="External"/><Relationship Id="rId111" Type="http://schemas.openxmlformats.org/officeDocument/2006/relationships/hyperlink" Target="https://www.nature.com/articles/s41598-025-08155-3" TargetMode="External"/><Relationship Id="rId132" Type="http://schemas.openxmlformats.org/officeDocument/2006/relationships/hyperlink" Target="https://www.nature.com/articles/s41598-025-21720-0" TargetMode="External"/><Relationship Id="rId15" Type="http://schemas.openxmlformats.org/officeDocument/2006/relationships/hyperlink" Target="https://ebooks.iospress.nl/doi/10.3233/APC210058" TargetMode="External"/><Relationship Id="rId36" Type="http://schemas.openxmlformats.org/officeDocument/2006/relationships/hyperlink" Target="https://ieeexplore.ieee.org/document/10438849" TargetMode="External"/><Relationship Id="rId57" Type="http://schemas.openxmlformats.org/officeDocument/2006/relationships/hyperlink" Target="https://www.sciencedirect.com/science/article/pii/S0006899325003555?via%3Dihub" TargetMode="External"/><Relationship Id="rId106" Type="http://schemas.openxmlformats.org/officeDocument/2006/relationships/hyperlink" Target="https://www.nature.com/articles/s41539-025-00385-4" TargetMode="External"/><Relationship Id="rId127" Type="http://schemas.openxmlformats.org/officeDocument/2006/relationships/hyperlink" Target="https://ieeexplore.ieee.org/document/6611022" TargetMode="External"/><Relationship Id="rId10" Type="http://schemas.openxmlformats.org/officeDocument/2006/relationships/hyperlink" Target="https://link.springer.com/article/10.1007/s12559-026-10547-0" TargetMode="External"/><Relationship Id="rId31" Type="http://schemas.openxmlformats.org/officeDocument/2006/relationships/hyperlink" Target="https://link.springer.com/article/10.1007/s12193-023-00427-4" TargetMode="External"/><Relationship Id="rId52" Type="http://schemas.openxmlformats.org/officeDocument/2006/relationships/hyperlink" Target="https://doi.org/10.1007/s12193-025-00452-5" TargetMode="External"/><Relationship Id="rId73" Type="http://schemas.openxmlformats.org/officeDocument/2006/relationships/hyperlink" Target="https://doi.org/10.1049/ell2.70570" TargetMode="External"/><Relationship Id="rId78" Type="http://schemas.openxmlformats.org/officeDocument/2006/relationships/hyperlink" Target="https://doi.org/10.1109/TOH.2025.3616046" TargetMode="External"/><Relationship Id="rId94" Type="http://schemas.openxmlformats.org/officeDocument/2006/relationships/hyperlink" Target="https://doi.org/10.3389/fnhum.2014.00291" TargetMode="External"/><Relationship Id="rId99" Type="http://schemas.openxmlformats.org/officeDocument/2006/relationships/hyperlink" Target="https://link.springer.com/article/10.1007/s42486-023-00136-7" TargetMode="External"/><Relationship Id="rId101" Type="http://schemas.openxmlformats.org/officeDocument/2006/relationships/hyperlink" Target="https://www.nature.com/articles/s41928-023-01074-z" TargetMode="External"/><Relationship Id="rId122" Type="http://schemas.openxmlformats.org/officeDocument/2006/relationships/hyperlink" Target="https://arxiv.org/abs/2201.03036" TargetMode="External"/><Relationship Id="rId143" Type="http://schemas.openxmlformats.org/officeDocument/2006/relationships/hyperlink" Target="https://doi.org/10.1109/ICRA40945.2020.9196782" TargetMode="External"/><Relationship Id="rId148" Type="http://schemas.openxmlformats.org/officeDocument/2006/relationships/hyperlink" Target="https://www.nature.com/articles/s41928-023-01074-z" TargetMode="External"/><Relationship Id="rId4" Type="http://schemas.openxmlformats.org/officeDocument/2006/relationships/hyperlink" Target="https://doi.org/10.3389/fnhum.2014.00291" TargetMode="External"/><Relationship Id="rId9" Type="http://schemas.openxmlformats.org/officeDocument/2006/relationships/hyperlink" Target="https://doi.org/10.1007/s10846-023-01824-3" TargetMode="External"/><Relationship Id="rId26" Type="http://schemas.openxmlformats.org/officeDocument/2006/relationships/hyperlink" Target="https://www.sciencedirect.com/science/article/abs/pii/S0167865519300881?via%3Dihub" TargetMode="External"/><Relationship Id="rId47" Type="http://schemas.openxmlformats.org/officeDocument/2006/relationships/hyperlink" Target="https://doi.org/10.1007/s13042-023-01887-6" TargetMode="External"/><Relationship Id="rId68" Type="http://schemas.openxmlformats.org/officeDocument/2006/relationships/hyperlink" Target="https://www.sciencedirect.com/science/article/abs/pii/S0957417423015671?via%3Dihub" TargetMode="External"/><Relationship Id="rId89" Type="http://schemas.openxmlformats.org/officeDocument/2006/relationships/hyperlink" Target="https://link.springer.com/article/10.1186/s41235-023-00495-w" TargetMode="External"/><Relationship Id="rId112" Type="http://schemas.openxmlformats.org/officeDocument/2006/relationships/hyperlink" Target="https://doi.org/10.1038/s41598-025-14946-5" TargetMode="External"/><Relationship Id="rId133" Type="http://schemas.openxmlformats.org/officeDocument/2006/relationships/hyperlink" Target="https://ieeexplore.ieee.org/document/9664257" TargetMode="External"/><Relationship Id="rId16" Type="http://schemas.openxmlformats.org/officeDocument/2006/relationships/hyperlink" Target="https://journals.sagepub.com/doi/10.1177/10711813251360704" TargetMode="External"/><Relationship Id="rId37" Type="http://schemas.openxmlformats.org/officeDocument/2006/relationships/hyperlink" Target="https://link.springer.com/article/10.1007/s11042-026-21158-0" TargetMode="External"/><Relationship Id="rId58" Type="http://schemas.openxmlformats.org/officeDocument/2006/relationships/hyperlink" Target="https://doi.org/10.1016/j.neuroimage.2025.121652" TargetMode="External"/><Relationship Id="rId79" Type="http://schemas.openxmlformats.org/officeDocument/2006/relationships/hyperlink" Target="https://ieeexplore.ieee.org/document/11186136" TargetMode="External"/><Relationship Id="rId102" Type="http://schemas.openxmlformats.org/officeDocument/2006/relationships/hyperlink" Target="https://arxiv.org/abs/2511.10026v3" TargetMode="External"/><Relationship Id="rId123" Type="http://schemas.openxmlformats.org/officeDocument/2006/relationships/hyperlink" Target="https://arxiv.org/abs/2201.04453like" TargetMode="External"/><Relationship Id="rId144" Type="http://schemas.openxmlformats.org/officeDocument/2006/relationships/hyperlink" Target="https://doi.org/10.1038/s41928-023-01074-z" TargetMode="External"/><Relationship Id="rId90" Type="http://schemas.openxmlformats.org/officeDocument/2006/relationships/hyperlink" Target="https://www.nature.com/articles/s41378-026-01190-8"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journals.sagepub.com/doi/10.1177/0145482X19842491" TargetMode="External"/><Relationship Id="rId13" Type="http://schemas.openxmlformats.org/officeDocument/2006/relationships/hyperlink" Target="https://arxiv.org/abs/2108.09174" TargetMode="External"/><Relationship Id="rId18" Type="http://schemas.openxmlformats.org/officeDocument/2006/relationships/hyperlink" Target="https://ojs.aaai.org/index.php/AAAI/article/view/25233" TargetMode="External"/><Relationship Id="rId3" Type="http://schemas.openxmlformats.org/officeDocument/2006/relationships/hyperlink" Target="https://www.sciencedirect.com/science/article/pii/S105381192500655X?via%3Dihub" TargetMode="External"/><Relationship Id="rId21" Type="http://schemas.openxmlformats.org/officeDocument/2006/relationships/hyperlink" Target="https://ieeexplore.ieee.org/document/9743965" TargetMode="External"/><Relationship Id="rId7" Type="http://schemas.openxmlformats.org/officeDocument/2006/relationships/hyperlink" Target="https://www.sciencedirect.com/science/article/pii/S1053811924001162?via%3Dihub" TargetMode="External"/><Relationship Id="rId12" Type="http://schemas.openxmlformats.org/officeDocument/2006/relationships/hyperlink" Target="https://ecasp.ece.iit.edu/publications/2012-present/2021-10.pdf" TargetMode="External"/><Relationship Id="rId17" Type="http://schemas.openxmlformats.org/officeDocument/2006/relationships/hyperlink" Target="https://www.scitepress.org/PublishedPapers/2018/66175/" TargetMode="External"/><Relationship Id="rId2" Type="http://schemas.openxmlformats.org/officeDocument/2006/relationships/hyperlink" Target="https://doi.org/10.1016/j.neuroimage.2025.121652" TargetMode="External"/><Relationship Id="rId16" Type="http://schemas.openxmlformats.org/officeDocument/2006/relationships/hyperlink" Target="https://journals.sagepub.com/doi/10.1177/0145482X19842491" TargetMode="External"/><Relationship Id="rId20" Type="http://schemas.openxmlformats.org/officeDocument/2006/relationships/hyperlink" Target="https://ieeexplore.ieee.org/document/9491913" TargetMode="External"/><Relationship Id="rId1" Type="http://schemas.openxmlformats.org/officeDocument/2006/relationships/hyperlink" Target="https://www.sciencedirect.com/science/article/pii/S0006899325003555?via%3Dihub" TargetMode="External"/><Relationship Id="rId6" Type="http://schemas.openxmlformats.org/officeDocument/2006/relationships/hyperlink" Target="https://doi.org/10.1016/j.neuroimage.2024.120621" TargetMode="External"/><Relationship Id="rId11" Type="http://schemas.openxmlformats.org/officeDocument/2006/relationships/hyperlink" Target="https://ieeexplore.ieee.org/document/6611022" TargetMode="External"/><Relationship Id="rId24" Type="http://schemas.openxmlformats.org/officeDocument/2006/relationships/table" Target="../tables/table12.xml"/><Relationship Id="rId5" Type="http://schemas.openxmlformats.org/officeDocument/2006/relationships/hyperlink" Target="https://www.sciencedirect.com/science/article/pii/S1053811921003062?via%3Dihub" TargetMode="External"/><Relationship Id="rId15" Type="http://schemas.openxmlformats.org/officeDocument/2006/relationships/hyperlink" Target="https://arxiv.org/abs/2201.04453like" TargetMode="External"/><Relationship Id="rId23" Type="http://schemas.openxmlformats.org/officeDocument/2006/relationships/hyperlink" Target="https://ieeexplore.ieee.org/document/9664257" TargetMode="External"/><Relationship Id="rId10" Type="http://schemas.openxmlformats.org/officeDocument/2006/relationships/hyperlink" Target="https://ojs.aaai.org/index.php/AAAI/article/view/25233?utm_source=chatgpt.com" TargetMode="External"/><Relationship Id="rId19" Type="http://schemas.openxmlformats.org/officeDocument/2006/relationships/hyperlink" Target="https://ieeexplore.ieee.org/document/6611022" TargetMode="External"/><Relationship Id="rId4" Type="http://schemas.openxmlformats.org/officeDocument/2006/relationships/hyperlink" Target="https://doi.org/10.1016/j.neuroimage.2021.118029" TargetMode="External"/><Relationship Id="rId9" Type="http://schemas.openxmlformats.org/officeDocument/2006/relationships/hyperlink" Target="https://pdfs.semanticscholar.org/9dc6/62fe1c66d32fd96ad040285a9ec3af56c912.pdf/1000" TargetMode="External"/><Relationship Id="rId14" Type="http://schemas.openxmlformats.org/officeDocument/2006/relationships/hyperlink" Target="https://arxiv.org/abs/2201.03036" TargetMode="External"/><Relationship Id="rId22" Type="http://schemas.openxmlformats.org/officeDocument/2006/relationships/hyperlink" Target="https://arxiv.org/abs/2201.04453"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C71"/>
  </sheetPr>
  <dimension ref="A1:BD319"/>
  <sheetViews>
    <sheetView tabSelected="1" zoomScaleNormal="100" workbookViewId="0">
      <pane xSplit="1" topLeftCell="B13" activePane="topRight" state="frozen"/>
      <selection pane="topRight" activeCell="B55" sqref="B55"/>
      <selection activeCell="A3" sqref="A3"/>
    </sheetView>
  </sheetViews>
  <sheetFormatPr defaultColWidth="13.42578125" defaultRowHeight="15"/>
  <cols>
    <col min="1" max="1" width="6.5703125" bestFit="1" customWidth="1"/>
    <col min="2" max="2" width="33.28515625" customWidth="1"/>
    <col min="3" max="3" width="122.28515625" bestFit="1" customWidth="1"/>
    <col min="4" max="4" width="21.5703125" customWidth="1"/>
    <col min="5" max="5" width="17" style="33" bestFit="1" customWidth="1"/>
    <col min="6" max="6" width="78" bestFit="1" customWidth="1"/>
    <col min="7" max="7" width="44.140625" bestFit="1" customWidth="1"/>
    <col min="8" max="8" width="23.140625" customWidth="1"/>
    <col min="9" max="9" width="133" bestFit="1" customWidth="1"/>
    <col min="10" max="10" width="99.140625" bestFit="1" customWidth="1"/>
    <col min="11" max="11" width="221.7109375" bestFit="1" customWidth="1"/>
    <col min="12" max="12" width="20.140625" bestFit="1" customWidth="1"/>
    <col min="13" max="13" width="47.42578125" customWidth="1"/>
    <col min="14" max="14" width="73" customWidth="1"/>
    <col min="15" max="15" width="123" bestFit="1" customWidth="1"/>
    <col min="16" max="16" width="19.28515625" bestFit="1" customWidth="1"/>
  </cols>
  <sheetData>
    <row r="1" spans="1:16">
      <c r="B1" s="38" t="s">
        <v>0</v>
      </c>
      <c r="C1" s="38" t="s">
        <v>1</v>
      </c>
      <c r="D1" s="39" t="s">
        <v>2</v>
      </c>
      <c r="E1" s="39" t="s">
        <v>3</v>
      </c>
      <c r="F1" s="39" t="s">
        <v>4</v>
      </c>
      <c r="G1" s="39" t="s">
        <v>5</v>
      </c>
      <c r="H1" s="38" t="s">
        <v>6</v>
      </c>
      <c r="I1" s="38" t="s">
        <v>7</v>
      </c>
      <c r="J1" s="38" t="s">
        <v>8</v>
      </c>
      <c r="K1" s="38" t="s">
        <v>9</v>
      </c>
      <c r="L1" s="38" t="s">
        <v>10</v>
      </c>
      <c r="M1" s="38" t="s">
        <v>11</v>
      </c>
      <c r="N1" t="s">
        <v>12</v>
      </c>
      <c r="O1" t="s">
        <v>13</v>
      </c>
      <c r="P1" t="s">
        <v>14</v>
      </c>
    </row>
    <row r="2" spans="1:16" ht="144">
      <c r="A2" s="354" t="s">
        <v>15</v>
      </c>
      <c r="B2" t="s">
        <v>16</v>
      </c>
      <c r="C2" s="200" t="s">
        <v>17</v>
      </c>
      <c r="D2" s="100">
        <v>2025</v>
      </c>
      <c r="E2" s="132" t="s">
        <v>18</v>
      </c>
      <c r="F2" s="201" t="s">
        <v>19</v>
      </c>
      <c r="G2" s="215" t="s">
        <v>20</v>
      </c>
      <c r="H2" s="105" t="s">
        <v>21</v>
      </c>
      <c r="I2" s="36"/>
      <c r="J2" s="207" t="s">
        <v>22</v>
      </c>
      <c r="K2" s="207" t="s">
        <v>23</v>
      </c>
      <c r="L2" s="262" t="s">
        <v>24</v>
      </c>
      <c r="M2" s="262" t="s">
        <v>25</v>
      </c>
      <c r="N2" s="43"/>
      <c r="P2">
        <v>1</v>
      </c>
    </row>
    <row r="3" spans="1:16" ht="86.25">
      <c r="A3" s="354"/>
      <c r="B3" s="191" t="s">
        <v>26</v>
      </c>
      <c r="C3" s="202" t="s">
        <v>27</v>
      </c>
      <c r="D3" s="97">
        <v>2025</v>
      </c>
      <c r="E3" s="97" t="s">
        <v>18</v>
      </c>
      <c r="F3" s="127" t="s">
        <v>28</v>
      </c>
      <c r="G3" s="158" t="s">
        <v>29</v>
      </c>
      <c r="H3" s="105" t="s">
        <v>21</v>
      </c>
      <c r="I3" s="35"/>
      <c r="J3" s="208" t="s">
        <v>30</v>
      </c>
      <c r="K3" s="208" t="s">
        <v>31</v>
      </c>
      <c r="L3" s="208"/>
      <c r="M3" s="208"/>
      <c r="P3">
        <v>2</v>
      </c>
    </row>
    <row r="4" spans="1:16" ht="86.25">
      <c r="A4" s="354"/>
      <c r="B4" s="190" t="s">
        <v>32</v>
      </c>
      <c r="C4" s="203" t="s">
        <v>33</v>
      </c>
      <c r="D4" s="100">
        <v>2021</v>
      </c>
      <c r="E4" s="133" t="s">
        <v>18</v>
      </c>
      <c r="F4" s="112" t="s">
        <v>34</v>
      </c>
      <c r="G4" s="164" t="s">
        <v>35</v>
      </c>
      <c r="H4" s="105" t="s">
        <v>21</v>
      </c>
      <c r="J4" s="209" t="s">
        <v>36</v>
      </c>
      <c r="K4" s="210" t="s">
        <v>37</v>
      </c>
      <c r="L4" s="210"/>
      <c r="M4" s="209"/>
      <c r="P4">
        <v>3</v>
      </c>
    </row>
    <row r="5" spans="1:16" ht="86.25">
      <c r="A5" s="354"/>
      <c r="B5" s="191" t="s">
        <v>38</v>
      </c>
      <c r="C5" s="158" t="s">
        <v>39</v>
      </c>
      <c r="D5" s="97">
        <v>2024</v>
      </c>
      <c r="E5" s="97" t="s">
        <v>18</v>
      </c>
      <c r="F5" s="127" t="s">
        <v>40</v>
      </c>
      <c r="G5" s="158" t="s">
        <v>41</v>
      </c>
      <c r="H5" s="105" t="s">
        <v>21</v>
      </c>
      <c r="I5" s="35"/>
      <c r="J5" s="208" t="s">
        <v>42</v>
      </c>
      <c r="K5" s="208" t="s">
        <v>43</v>
      </c>
      <c r="L5" s="208"/>
      <c r="M5" s="208"/>
      <c r="P5">
        <v>4</v>
      </c>
    </row>
    <row r="6" spans="1:16" ht="86.25">
      <c r="A6" s="354"/>
      <c r="B6" s="190" t="s">
        <v>44</v>
      </c>
      <c r="C6" s="187" t="s">
        <v>45</v>
      </c>
      <c r="D6" s="100">
        <v>2019</v>
      </c>
      <c r="E6" s="33" t="s">
        <v>46</v>
      </c>
      <c r="F6" s="112" t="s">
        <v>47</v>
      </c>
      <c r="G6" s="164" t="s">
        <v>48</v>
      </c>
      <c r="H6" s="198" t="s">
        <v>21</v>
      </c>
      <c r="J6" s="209" t="s">
        <v>49</v>
      </c>
      <c r="K6" s="210" t="s">
        <v>50</v>
      </c>
      <c r="L6" s="210"/>
      <c r="M6" s="209"/>
      <c r="P6">
        <v>5</v>
      </c>
    </row>
    <row r="7" spans="1:16" ht="16.5" customHeight="1">
      <c r="A7" s="354"/>
      <c r="B7" s="191" t="s">
        <v>51</v>
      </c>
      <c r="C7" s="187" t="s">
        <v>52</v>
      </c>
      <c r="D7" s="97">
        <v>2018</v>
      </c>
      <c r="E7" s="189" t="s">
        <v>53</v>
      </c>
      <c r="F7" s="127" t="s">
        <v>54</v>
      </c>
      <c r="G7" s="97"/>
      <c r="H7" s="104" t="s">
        <v>55</v>
      </c>
      <c r="I7" s="199" t="s">
        <v>56</v>
      </c>
      <c r="J7" s="211"/>
      <c r="K7" s="211"/>
      <c r="L7" s="211"/>
      <c r="M7" s="211"/>
      <c r="P7">
        <v>6</v>
      </c>
    </row>
    <row r="8" spans="1:16" ht="16.5" customHeight="1">
      <c r="A8" s="354"/>
      <c r="B8" s="190" t="s">
        <v>57</v>
      </c>
      <c r="C8" s="187" t="s">
        <v>58</v>
      </c>
      <c r="D8" s="100">
        <v>2023</v>
      </c>
      <c r="E8" s="189" t="s">
        <v>59</v>
      </c>
      <c r="F8" s="112" t="s">
        <v>60</v>
      </c>
      <c r="G8" s="165"/>
      <c r="H8" s="104" t="s">
        <v>55</v>
      </c>
      <c r="I8" s="33" t="s">
        <v>61</v>
      </c>
      <c r="J8" s="212"/>
      <c r="K8" s="209"/>
      <c r="L8" s="209"/>
      <c r="M8" s="209"/>
      <c r="P8">
        <v>7</v>
      </c>
    </row>
    <row r="9" spans="1:16" ht="16.5" customHeight="1">
      <c r="A9" s="354"/>
      <c r="B9" s="194" t="s">
        <v>62</v>
      </c>
      <c r="C9" s="204" t="s">
        <v>63</v>
      </c>
      <c r="D9" s="195">
        <v>2013</v>
      </c>
      <c r="E9" s="196" t="s">
        <v>64</v>
      </c>
      <c r="F9" s="127" t="s">
        <v>65</v>
      </c>
      <c r="G9" s="158"/>
      <c r="H9" s="104" t="s">
        <v>55</v>
      </c>
      <c r="I9" s="33" t="s">
        <v>66</v>
      </c>
      <c r="J9" s="211"/>
      <c r="K9" s="211"/>
      <c r="L9" s="211"/>
      <c r="M9" s="211"/>
      <c r="P9">
        <v>8</v>
      </c>
    </row>
    <row r="10" spans="1:16" ht="159">
      <c r="A10" s="354"/>
      <c r="B10" s="193" t="s">
        <v>67</v>
      </c>
      <c r="C10" s="187" t="s">
        <v>68</v>
      </c>
      <c r="D10" s="100">
        <v>2021</v>
      </c>
      <c r="E10" s="187" t="s">
        <v>64</v>
      </c>
      <c r="F10" s="112" t="s">
        <v>69</v>
      </c>
      <c r="G10" s="164" t="s">
        <v>70</v>
      </c>
      <c r="H10" s="198" t="s">
        <v>21</v>
      </c>
      <c r="I10" s="33"/>
      <c r="J10" s="212" t="s">
        <v>71</v>
      </c>
      <c r="K10" s="210" t="s">
        <v>72</v>
      </c>
      <c r="L10" s="210"/>
      <c r="M10" s="209"/>
      <c r="P10">
        <v>9</v>
      </c>
    </row>
    <row r="11" spans="1:16" ht="115.5">
      <c r="A11" s="354"/>
      <c r="B11" s="191" t="s">
        <v>73</v>
      </c>
      <c r="C11" s="187" t="s">
        <v>74</v>
      </c>
      <c r="D11" s="97">
        <v>2021</v>
      </c>
      <c r="E11" s="187" t="s">
        <v>75</v>
      </c>
      <c r="F11" s="127" t="s">
        <v>76</v>
      </c>
      <c r="G11" s="158" t="s">
        <v>77</v>
      </c>
      <c r="H11" s="198" t="s">
        <v>21</v>
      </c>
      <c r="I11" s="83"/>
      <c r="J11" s="209" t="s">
        <v>78</v>
      </c>
      <c r="K11" s="208" t="s">
        <v>79</v>
      </c>
      <c r="L11" s="257"/>
      <c r="M11" s="209"/>
      <c r="P11">
        <v>10</v>
      </c>
    </row>
    <row r="12" spans="1:16" ht="16.5" customHeight="1">
      <c r="A12" s="354"/>
      <c r="B12" s="190" t="s">
        <v>80</v>
      </c>
      <c r="C12" s="187" t="s">
        <v>81</v>
      </c>
      <c r="D12" s="100">
        <v>2022</v>
      </c>
      <c r="E12" s="33" t="s">
        <v>75</v>
      </c>
      <c r="F12" s="205" t="s">
        <v>82</v>
      </c>
      <c r="G12" s="165"/>
      <c r="H12" s="104" t="s">
        <v>55</v>
      </c>
      <c r="I12" s="187" t="s">
        <v>83</v>
      </c>
      <c r="J12" s="212"/>
      <c r="K12" s="209"/>
      <c r="L12" s="209"/>
      <c r="M12" s="209"/>
      <c r="P12">
        <v>11</v>
      </c>
    </row>
    <row r="13" spans="1:16" ht="115.5">
      <c r="A13" s="354"/>
      <c r="B13" s="192" t="s">
        <v>84</v>
      </c>
      <c r="C13" s="187" t="s">
        <v>85</v>
      </c>
      <c r="D13" s="188">
        <v>2022</v>
      </c>
      <c r="E13" s="33" t="s">
        <v>86</v>
      </c>
      <c r="F13" s="112" t="s">
        <v>87</v>
      </c>
      <c r="G13" s="216" t="s">
        <v>88</v>
      </c>
      <c r="H13" s="198" t="s">
        <v>21</v>
      </c>
      <c r="I13" s="37"/>
      <c r="J13" s="213" t="s">
        <v>89</v>
      </c>
      <c r="K13" s="214" t="s">
        <v>90</v>
      </c>
      <c r="L13" s="261"/>
      <c r="M13" s="213"/>
      <c r="P13">
        <v>12</v>
      </c>
    </row>
    <row r="14" spans="1:16" ht="45.75">
      <c r="A14" s="354" t="s">
        <v>91</v>
      </c>
      <c r="B14" s="124" t="s">
        <v>92</v>
      </c>
      <c r="C14" s="139" t="s">
        <v>93</v>
      </c>
      <c r="D14" s="77">
        <v>2025</v>
      </c>
      <c r="E14" s="104" t="s">
        <v>94</v>
      </c>
      <c r="F14" s="125" t="s">
        <v>95</v>
      </c>
      <c r="G14" s="118" t="s">
        <v>96</v>
      </c>
      <c r="H14" s="104" t="s">
        <v>55</v>
      </c>
      <c r="I14" s="77" t="s">
        <v>97</v>
      </c>
      <c r="J14" s="118" t="s">
        <v>96</v>
      </c>
      <c r="K14" s="118" t="s">
        <v>96</v>
      </c>
    </row>
    <row r="15" spans="1:16" ht="45.75">
      <c r="A15" s="355"/>
      <c r="B15" s="126" t="s">
        <v>98</v>
      </c>
      <c r="C15" s="181" t="s">
        <v>99</v>
      </c>
      <c r="D15" s="97">
        <v>2026</v>
      </c>
      <c r="E15" s="240" t="s">
        <v>100</v>
      </c>
      <c r="F15" s="127" t="s">
        <v>101</v>
      </c>
      <c r="G15" s="106" t="s">
        <v>102</v>
      </c>
      <c r="H15" s="197" t="s">
        <v>21</v>
      </c>
      <c r="I15" s="35"/>
      <c r="J15" s="213" t="s">
        <v>103</v>
      </c>
      <c r="K15" s="274" t="s">
        <v>104</v>
      </c>
    </row>
    <row r="16" spans="1:16" ht="60.75">
      <c r="A16" s="355"/>
      <c r="B16" s="128" t="s">
        <v>105</v>
      </c>
      <c r="C16" s="139" t="s">
        <v>106</v>
      </c>
      <c r="D16" s="77"/>
      <c r="E16" s="77" t="s">
        <v>107</v>
      </c>
      <c r="F16" s="112" t="s">
        <v>108</v>
      </c>
      <c r="G16" s="129"/>
      <c r="H16" s="104" t="s">
        <v>55</v>
      </c>
      <c r="I16" s="34"/>
      <c r="J16" s="56"/>
      <c r="K16" s="56"/>
      <c r="L16" s="41"/>
      <c r="M16" s="77"/>
    </row>
    <row r="17" spans="1:16" ht="16.5">
      <c r="A17" s="355"/>
      <c r="B17" s="127"/>
      <c r="C17" s="242" t="s">
        <v>109</v>
      </c>
      <c r="D17" s="97">
        <v>2025</v>
      </c>
      <c r="E17" s="149" t="s">
        <v>110</v>
      </c>
      <c r="F17" s="127"/>
      <c r="G17" s="123"/>
      <c r="H17" s="104" t="s">
        <v>55</v>
      </c>
      <c r="I17" s="35"/>
      <c r="J17" s="35"/>
      <c r="K17" s="35"/>
    </row>
    <row r="18" spans="1:16" ht="43.5">
      <c r="A18" s="355"/>
      <c r="B18" s="41" t="s">
        <v>111</v>
      </c>
      <c r="C18" s="77" t="s">
        <v>112</v>
      </c>
      <c r="D18" s="77">
        <v>2020</v>
      </c>
      <c r="E18" s="77" t="s">
        <v>64</v>
      </c>
      <c r="F18" s="112" t="s">
        <v>113</v>
      </c>
      <c r="G18" s="106" t="s">
        <v>114</v>
      </c>
      <c r="H18" s="105" t="s">
        <v>21</v>
      </c>
      <c r="I18" s="34"/>
      <c r="J18" s="56" t="s">
        <v>115</v>
      </c>
      <c r="K18" s="56" t="s">
        <v>116</v>
      </c>
    </row>
    <row r="19" spans="1:16" ht="30.75" customHeight="1">
      <c r="A19" s="355"/>
      <c r="B19" s="123" t="s">
        <v>117</v>
      </c>
      <c r="C19" s="181" t="s">
        <v>118</v>
      </c>
      <c r="D19" s="103">
        <v>2023</v>
      </c>
      <c r="E19" s="103" t="s">
        <v>64</v>
      </c>
      <c r="F19" s="127" t="s">
        <v>119</v>
      </c>
      <c r="G19" s="106" t="s">
        <v>120</v>
      </c>
      <c r="H19" s="105" t="s">
        <v>21</v>
      </c>
      <c r="I19" s="35"/>
      <c r="J19" s="216" t="s">
        <v>121</v>
      </c>
      <c r="K19" s="274" t="s">
        <v>122</v>
      </c>
    </row>
    <row r="20" spans="1:16" ht="60.75" customHeight="1">
      <c r="A20" s="355"/>
      <c r="B20" s="128" t="s">
        <v>123</v>
      </c>
      <c r="C20" s="139" t="s">
        <v>124</v>
      </c>
      <c r="D20" s="77">
        <v>2023</v>
      </c>
      <c r="E20" s="77" t="s">
        <v>18</v>
      </c>
      <c r="F20" s="112" t="s">
        <v>125</v>
      </c>
      <c r="G20" s="129" t="s">
        <v>126</v>
      </c>
      <c r="H20" s="105" t="s">
        <v>21</v>
      </c>
      <c r="I20" s="34"/>
      <c r="J20" s="139" t="s">
        <v>127</v>
      </c>
      <c r="K20" s="139" t="s">
        <v>128</v>
      </c>
    </row>
    <row r="21" spans="1:16" ht="43.5">
      <c r="A21" s="355"/>
      <c r="B21" s="131" t="s">
        <v>129</v>
      </c>
      <c r="C21" s="181" t="s">
        <v>130</v>
      </c>
      <c r="D21" s="103">
        <v>2026</v>
      </c>
      <c r="E21" s="104" t="s">
        <v>75</v>
      </c>
      <c r="F21" s="127" t="s">
        <v>131</v>
      </c>
      <c r="G21" s="106" t="s">
        <v>96</v>
      </c>
      <c r="H21" s="104" t="s">
        <v>55</v>
      </c>
      <c r="I21" s="243" t="s">
        <v>132</v>
      </c>
      <c r="J21" s="137" t="s">
        <v>96</v>
      </c>
      <c r="K21" s="137" t="s">
        <v>96</v>
      </c>
    </row>
    <row r="22" spans="1:16" ht="72">
      <c r="A22" s="355"/>
      <c r="B22" s="128" t="s">
        <v>133</v>
      </c>
      <c r="C22" s="277" t="s">
        <v>134</v>
      </c>
      <c r="D22" s="77">
        <v>2023</v>
      </c>
      <c r="E22" s="77" t="s">
        <v>135</v>
      </c>
      <c r="F22" s="112" t="s">
        <v>136</v>
      </c>
      <c r="G22" s="129" t="s">
        <v>137</v>
      </c>
      <c r="H22" s="278" t="s">
        <v>138</v>
      </c>
      <c r="I22" s="34"/>
      <c r="J22" s="139" t="s">
        <v>139</v>
      </c>
      <c r="K22" s="139" t="s">
        <v>140</v>
      </c>
    </row>
    <row r="23" spans="1:16" ht="72">
      <c r="A23" s="355"/>
      <c r="B23" s="127" t="s">
        <v>141</v>
      </c>
      <c r="C23" s="101" t="s">
        <v>142</v>
      </c>
      <c r="D23" s="103">
        <v>2025</v>
      </c>
      <c r="E23" s="103" t="s">
        <v>143</v>
      </c>
      <c r="F23" s="127" t="s">
        <v>144</v>
      </c>
      <c r="G23" s="106" t="s">
        <v>145</v>
      </c>
      <c r="H23" s="105" t="s">
        <v>21</v>
      </c>
      <c r="I23" s="35"/>
      <c r="J23" s="216" t="s">
        <v>146</v>
      </c>
      <c r="K23" s="216" t="s">
        <v>147</v>
      </c>
    </row>
    <row r="24" spans="1:16" ht="45.75">
      <c r="A24" s="355"/>
      <c r="B24" s="162" t="s">
        <v>148</v>
      </c>
      <c r="C24" s="139" t="s">
        <v>149</v>
      </c>
      <c r="D24" s="139">
        <v>2023</v>
      </c>
      <c r="E24" s="139" t="s">
        <v>150</v>
      </c>
      <c r="F24" s="162" t="s">
        <v>151</v>
      </c>
      <c r="G24" s="139" t="s">
        <v>152</v>
      </c>
      <c r="H24" s="105" t="s">
        <v>153</v>
      </c>
      <c r="I24" s="139"/>
      <c r="J24" s="139" t="s">
        <v>154</v>
      </c>
      <c r="K24" s="279" t="s">
        <v>155</v>
      </c>
    </row>
    <row r="25" spans="1:16" s="185" customFormat="1" ht="45.75">
      <c r="A25" s="356"/>
      <c r="B25" s="280" t="s">
        <v>156</v>
      </c>
      <c r="C25" s="245" t="s">
        <v>157</v>
      </c>
      <c r="D25" s="281">
        <v>2022</v>
      </c>
      <c r="E25" s="281" t="s">
        <v>107</v>
      </c>
      <c r="F25" s="280" t="s">
        <v>158</v>
      </c>
      <c r="G25" s="106"/>
      <c r="H25" s="183" t="s">
        <v>55</v>
      </c>
      <c r="I25" s="184"/>
      <c r="J25" s="184"/>
      <c r="K25" s="184"/>
      <c r="L25"/>
      <c r="M25"/>
    </row>
    <row r="26" spans="1:16" ht="16.5" customHeight="1">
      <c r="A26" s="354" t="s">
        <v>159</v>
      </c>
      <c r="B26" s="104" t="s">
        <v>160</v>
      </c>
      <c r="C26" s="100" t="s">
        <v>161</v>
      </c>
      <c r="D26" s="100">
        <v>2021</v>
      </c>
      <c r="E26" s="104" t="s">
        <v>162</v>
      </c>
      <c r="F26" s="186" t="s">
        <v>163</v>
      </c>
      <c r="G26" s="118" t="s">
        <v>96</v>
      </c>
      <c r="H26" s="104" t="s">
        <v>55</v>
      </c>
      <c r="I26" s="100" t="s">
        <v>164</v>
      </c>
      <c r="J26" s="118" t="s">
        <v>96</v>
      </c>
      <c r="K26" s="118" t="s">
        <v>96</v>
      </c>
      <c r="L26" s="118"/>
      <c r="M26" s="118"/>
      <c r="N26" s="56"/>
      <c r="O26" s="56"/>
      <c r="P26">
        <v>25</v>
      </c>
    </row>
    <row r="27" spans="1:16" ht="72">
      <c r="A27" s="355"/>
      <c r="B27" s="127" t="s">
        <v>165</v>
      </c>
      <c r="C27" s="101" t="s">
        <v>166</v>
      </c>
      <c r="D27" s="104">
        <v>2004</v>
      </c>
      <c r="E27" s="101" t="s">
        <v>100</v>
      </c>
      <c r="F27" s="81" t="s">
        <v>167</v>
      </c>
      <c r="G27" s="361" t="s">
        <v>168</v>
      </c>
      <c r="H27" s="105" t="s">
        <v>21</v>
      </c>
      <c r="I27" s="106" t="s">
        <v>169</v>
      </c>
      <c r="J27" s="103" t="s">
        <v>170</v>
      </c>
      <c r="K27" s="102" t="s">
        <v>171</v>
      </c>
      <c r="L27" s="102"/>
      <c r="M27" s="103"/>
      <c r="N27" s="56"/>
      <c r="O27" s="56"/>
      <c r="P27">
        <v>26</v>
      </c>
    </row>
    <row r="28" spans="1:16" ht="101.25">
      <c r="A28" s="355"/>
      <c r="B28" s="125" t="s">
        <v>172</v>
      </c>
      <c r="C28" s="140" t="s">
        <v>173</v>
      </c>
      <c r="D28" s="140">
        <v>2024</v>
      </c>
      <c r="E28" s="140" t="s">
        <v>18</v>
      </c>
      <c r="F28" s="141" t="s">
        <v>174</v>
      </c>
      <c r="G28" s="142" t="s">
        <v>175</v>
      </c>
      <c r="H28" s="105" t="s">
        <v>21</v>
      </c>
      <c r="I28" s="143" t="s">
        <v>176</v>
      </c>
      <c r="J28" s="140" t="s">
        <v>177</v>
      </c>
      <c r="K28" s="142" t="s">
        <v>178</v>
      </c>
      <c r="L28" s="142"/>
      <c r="M28" s="140"/>
      <c r="N28" s="56"/>
      <c r="O28" s="56"/>
      <c r="P28">
        <v>27</v>
      </c>
    </row>
    <row r="29" spans="1:16" ht="115.5">
      <c r="A29" s="355"/>
      <c r="B29" s="144" t="s">
        <v>179</v>
      </c>
      <c r="C29" s="138" t="s">
        <v>180</v>
      </c>
      <c r="D29" s="138">
        <v>2021</v>
      </c>
      <c r="E29" s="138" t="s">
        <v>64</v>
      </c>
      <c r="F29" s="145" t="s">
        <v>181</v>
      </c>
      <c r="G29" s="135" t="s">
        <v>182</v>
      </c>
      <c r="H29" s="146" t="s">
        <v>183</v>
      </c>
      <c r="I29" s="147" t="s">
        <v>184</v>
      </c>
      <c r="J29" s="135" t="s">
        <v>185</v>
      </c>
      <c r="K29" s="148" t="s">
        <v>186</v>
      </c>
      <c r="L29" s="148"/>
      <c r="M29" s="135"/>
      <c r="N29" s="56"/>
      <c r="O29" s="56"/>
      <c r="P29">
        <v>28</v>
      </c>
    </row>
    <row r="30" spans="1:16" ht="26.25" customHeight="1">
      <c r="A30" s="355"/>
      <c r="B30" s="113"/>
      <c r="C30" s="114" t="s">
        <v>187</v>
      </c>
      <c r="D30" s="113"/>
      <c r="E30" s="113"/>
      <c r="F30" s="113"/>
      <c r="G30" s="113"/>
      <c r="H30" s="104" t="s">
        <v>55</v>
      </c>
      <c r="I30" s="113"/>
      <c r="J30" s="104"/>
      <c r="K30" s="104"/>
      <c r="L30" s="104"/>
      <c r="M30" s="104"/>
      <c r="N30" s="56"/>
      <c r="O30" s="56"/>
      <c r="P30">
        <v>29</v>
      </c>
    </row>
    <row r="31" spans="1:16" ht="16.5" customHeight="1">
      <c r="A31" s="355"/>
      <c r="B31" s="118" t="s">
        <v>96</v>
      </c>
      <c r="C31" s="118" t="s">
        <v>96</v>
      </c>
      <c r="D31" s="118" t="s">
        <v>96</v>
      </c>
      <c r="E31" s="115" t="s">
        <v>94</v>
      </c>
      <c r="F31" s="78" t="s">
        <v>188</v>
      </c>
      <c r="G31" s="118" t="s">
        <v>96</v>
      </c>
      <c r="H31" s="104" t="s">
        <v>55</v>
      </c>
      <c r="I31" s="100" t="s">
        <v>189</v>
      </c>
      <c r="J31" s="118" t="s">
        <v>96</v>
      </c>
      <c r="K31" s="118" t="s">
        <v>96</v>
      </c>
      <c r="L31" s="118"/>
      <c r="M31" s="118"/>
      <c r="N31" s="56"/>
      <c r="O31" s="56"/>
      <c r="P31">
        <v>30</v>
      </c>
    </row>
    <row r="32" spans="1:16" ht="129.75">
      <c r="A32" s="355"/>
      <c r="B32" s="127" t="s">
        <v>141</v>
      </c>
      <c r="C32" s="103" t="s">
        <v>190</v>
      </c>
      <c r="D32" s="103">
        <v>2025</v>
      </c>
      <c r="E32" s="103" t="s">
        <v>143</v>
      </c>
      <c r="F32" s="81" t="s">
        <v>191</v>
      </c>
      <c r="G32" s="102" t="s">
        <v>192</v>
      </c>
      <c r="H32" s="105" t="s">
        <v>153</v>
      </c>
      <c r="I32" s="106" t="s">
        <v>193</v>
      </c>
      <c r="J32" s="102" t="s">
        <v>194</v>
      </c>
      <c r="K32" s="102" t="s">
        <v>195</v>
      </c>
      <c r="L32" s="106"/>
      <c r="M32" s="103"/>
      <c r="N32" s="56"/>
      <c r="O32" s="56"/>
      <c r="P32">
        <v>31</v>
      </c>
    </row>
    <row r="33" spans="1:56" ht="159">
      <c r="A33" s="355"/>
      <c r="B33" s="125" t="s">
        <v>196</v>
      </c>
      <c r="C33" s="109" t="s">
        <v>197</v>
      </c>
      <c r="D33" s="100">
        <v>2023</v>
      </c>
      <c r="E33" s="100" t="s">
        <v>198</v>
      </c>
      <c r="F33" s="78" t="s">
        <v>199</v>
      </c>
      <c r="G33" s="111" t="s">
        <v>200</v>
      </c>
      <c r="H33" s="105" t="s">
        <v>153</v>
      </c>
      <c r="I33" s="129" t="s">
        <v>201</v>
      </c>
      <c r="J33" s="110" t="s">
        <v>202</v>
      </c>
      <c r="K33" s="110" t="s">
        <v>203</v>
      </c>
      <c r="L33" s="118"/>
      <c r="M33" s="118"/>
      <c r="N33" s="56"/>
      <c r="O33" s="56"/>
      <c r="P33">
        <v>32</v>
      </c>
      <c r="BC33" s="134"/>
      <c r="BD33" s="134"/>
    </row>
    <row r="34" spans="1:56" ht="115.5">
      <c r="A34" s="355"/>
      <c r="B34" s="127" t="s">
        <v>204</v>
      </c>
      <c r="C34" s="106" t="s">
        <v>205</v>
      </c>
      <c r="D34" s="103">
        <v>2023</v>
      </c>
      <c r="E34" s="103" t="s">
        <v>18</v>
      </c>
      <c r="F34" s="81" t="s">
        <v>125</v>
      </c>
      <c r="G34" s="102" t="s">
        <v>206</v>
      </c>
      <c r="H34" s="105" t="s">
        <v>153</v>
      </c>
      <c r="I34" s="106" t="s">
        <v>207</v>
      </c>
      <c r="J34" s="103"/>
      <c r="K34" s="106" t="s">
        <v>208</v>
      </c>
      <c r="L34" s="106"/>
      <c r="M34" s="106"/>
      <c r="N34" s="56"/>
      <c r="O34" s="56"/>
      <c r="P34">
        <v>33</v>
      </c>
    </row>
    <row r="35" spans="1:56" ht="25.5" customHeight="1">
      <c r="A35" s="355"/>
      <c r="B35" s="125" t="s">
        <v>209</v>
      </c>
      <c r="C35" s="100" t="s">
        <v>210</v>
      </c>
      <c r="D35" s="100">
        <v>2023</v>
      </c>
      <c r="E35" s="155" t="s">
        <v>150</v>
      </c>
      <c r="F35" s="118"/>
      <c r="G35" s="118"/>
      <c r="H35" s="105" t="s">
        <v>153</v>
      </c>
      <c r="J35" s="118" t="s">
        <v>96</v>
      </c>
      <c r="K35" s="118" t="s">
        <v>96</v>
      </c>
      <c r="L35" s="49"/>
      <c r="M35" s="49"/>
      <c r="N35" s="56"/>
      <c r="O35" s="56"/>
      <c r="P35">
        <v>34</v>
      </c>
    </row>
    <row r="36" spans="1:56" ht="129.75">
      <c r="A36" s="355"/>
      <c r="B36" s="127" t="s">
        <v>211</v>
      </c>
      <c r="C36" s="106" t="s">
        <v>212</v>
      </c>
      <c r="D36" s="103">
        <v>2026</v>
      </c>
      <c r="E36" s="103" t="s">
        <v>100</v>
      </c>
      <c r="F36" s="81" t="s">
        <v>151</v>
      </c>
      <c r="G36" s="102" t="s">
        <v>213</v>
      </c>
      <c r="H36" s="105" t="s">
        <v>153</v>
      </c>
      <c r="I36" s="106" t="s">
        <v>214</v>
      </c>
      <c r="J36" s="106" t="s">
        <v>215</v>
      </c>
      <c r="K36" s="106" t="s">
        <v>216</v>
      </c>
      <c r="L36" s="96"/>
      <c r="M36" s="96"/>
      <c r="N36" s="56"/>
      <c r="O36" s="56"/>
      <c r="P36">
        <v>35</v>
      </c>
    </row>
    <row r="37" spans="1:56" ht="159">
      <c r="A37" s="356"/>
      <c r="B37" s="125" t="s">
        <v>217</v>
      </c>
      <c r="C37" s="43" t="s">
        <v>218</v>
      </c>
      <c r="D37" s="77">
        <v>2020</v>
      </c>
      <c r="E37" s="77" t="s">
        <v>18</v>
      </c>
      <c r="F37" s="78" t="s">
        <v>219</v>
      </c>
      <c r="G37" s="49" t="s">
        <v>220</v>
      </c>
      <c r="H37" s="75" t="s">
        <v>221</v>
      </c>
      <c r="I37" s="49" t="s">
        <v>222</v>
      </c>
      <c r="J37" s="49" t="s">
        <v>223</v>
      </c>
      <c r="K37" s="49" t="s">
        <v>224</v>
      </c>
      <c r="L37" s="95"/>
      <c r="M37" s="95"/>
      <c r="N37" s="56"/>
      <c r="O37" s="56"/>
      <c r="P37">
        <v>36</v>
      </c>
    </row>
    <row r="38" spans="1:56" s="56" customFormat="1" ht="96" customHeight="1">
      <c r="A38" s="353" t="s">
        <v>225</v>
      </c>
      <c r="B38" s="50" t="s">
        <v>226</v>
      </c>
      <c r="C38" s="99" t="s">
        <v>227</v>
      </c>
      <c r="D38" s="97">
        <v>2023</v>
      </c>
      <c r="E38" s="97" t="s">
        <v>18</v>
      </c>
      <c r="F38" s="81" t="s">
        <v>228</v>
      </c>
      <c r="G38" s="96" t="s">
        <v>229</v>
      </c>
      <c r="H38" s="75" t="s">
        <v>221</v>
      </c>
      <c r="I38" s="94" t="s">
        <v>230</v>
      </c>
      <c r="J38" s="96" t="s">
        <v>231</v>
      </c>
      <c r="K38" s="96" t="s">
        <v>232</v>
      </c>
      <c r="L38" s="96"/>
      <c r="M38" s="96"/>
      <c r="P38">
        <v>37</v>
      </c>
    </row>
    <row r="39" spans="1:56" s="56" customFormat="1" ht="141" customHeight="1">
      <c r="A39" s="353"/>
      <c r="B39" s="55" t="s">
        <v>233</v>
      </c>
      <c r="C39" s="43" t="s">
        <v>234</v>
      </c>
      <c r="D39" s="104">
        <v>2010</v>
      </c>
      <c r="E39" s="77" t="s">
        <v>64</v>
      </c>
      <c r="F39" s="78" t="s">
        <v>233</v>
      </c>
      <c r="G39" s="95" t="s">
        <v>235</v>
      </c>
      <c r="H39" s="93" t="s">
        <v>55</v>
      </c>
      <c r="I39" s="49" t="s">
        <v>236</v>
      </c>
      <c r="J39" s="95" t="s">
        <v>235</v>
      </c>
      <c r="K39" s="95" t="s">
        <v>235</v>
      </c>
      <c r="L39" s="170"/>
      <c r="M39" s="170"/>
      <c r="P39">
        <v>38</v>
      </c>
    </row>
    <row r="40" spans="1:56" s="56" customFormat="1" ht="87.75" customHeight="1">
      <c r="A40" s="353"/>
      <c r="B40" s="82" t="s">
        <v>237</v>
      </c>
      <c r="C40" s="98" t="s">
        <v>238</v>
      </c>
      <c r="D40" s="97">
        <v>2021</v>
      </c>
      <c r="E40" s="97" t="s">
        <v>239</v>
      </c>
      <c r="F40" s="81" t="s">
        <v>240</v>
      </c>
      <c r="G40" s="96" t="s">
        <v>241</v>
      </c>
      <c r="H40" s="75" t="s">
        <v>221</v>
      </c>
      <c r="I40" s="94" t="s">
        <v>242</v>
      </c>
      <c r="J40" s="96" t="s">
        <v>243</v>
      </c>
      <c r="K40" s="96" t="s">
        <v>244</v>
      </c>
      <c r="L40" s="99"/>
      <c r="M40" s="99"/>
      <c r="P40">
        <v>39</v>
      </c>
    </row>
    <row r="41" spans="1:56" ht="81" customHeight="1">
      <c r="A41" s="353"/>
      <c r="B41" s="55" t="s">
        <v>245</v>
      </c>
      <c r="C41" s="40" t="s">
        <v>246</v>
      </c>
      <c r="D41" s="77">
        <v>2023</v>
      </c>
      <c r="E41" s="77" t="s">
        <v>135</v>
      </c>
      <c r="F41" s="112" t="s">
        <v>247</v>
      </c>
      <c r="G41" s="95" t="s">
        <v>248</v>
      </c>
      <c r="H41" s="75" t="s">
        <v>221</v>
      </c>
      <c r="I41" s="169" t="s">
        <v>249</v>
      </c>
      <c r="J41" s="170" t="s">
        <v>250</v>
      </c>
      <c r="K41" s="170" t="s">
        <v>251</v>
      </c>
      <c r="L41" s="170"/>
      <c r="M41" s="170"/>
      <c r="P41">
        <v>40</v>
      </c>
    </row>
    <row r="42" spans="1:56" ht="73.5" customHeight="1">
      <c r="A42" s="353"/>
      <c r="B42" s="81" t="s">
        <v>252</v>
      </c>
      <c r="C42" s="98" t="s">
        <v>253</v>
      </c>
      <c r="D42" s="97">
        <v>2026</v>
      </c>
      <c r="E42" s="97" t="s">
        <v>100</v>
      </c>
      <c r="F42" s="81" t="s">
        <v>254</v>
      </c>
      <c r="G42" s="96" t="s">
        <v>255</v>
      </c>
      <c r="H42" s="75" t="s">
        <v>221</v>
      </c>
      <c r="I42" s="94" t="s">
        <v>256</v>
      </c>
      <c r="J42" s="99" t="s">
        <v>257</v>
      </c>
      <c r="K42" s="99" t="s">
        <v>258</v>
      </c>
      <c r="L42" s="99"/>
      <c r="M42" s="99"/>
      <c r="P42">
        <v>41</v>
      </c>
    </row>
    <row r="43" spans="1:56" ht="84.75" customHeight="1">
      <c r="A43" s="353"/>
      <c r="B43" s="55" t="s">
        <v>259</v>
      </c>
      <c r="C43" s="40" t="s">
        <v>260</v>
      </c>
      <c r="D43" s="77">
        <v>2023</v>
      </c>
      <c r="E43" s="77" t="s">
        <v>135</v>
      </c>
      <c r="F43" s="112" t="s">
        <v>261</v>
      </c>
      <c r="G43" s="95" t="s">
        <v>262</v>
      </c>
      <c r="H43" s="75" t="s">
        <v>221</v>
      </c>
      <c r="I43" s="169" t="s">
        <v>263</v>
      </c>
      <c r="J43" s="170" t="s">
        <v>264</v>
      </c>
      <c r="K43" s="170" t="s">
        <v>265</v>
      </c>
      <c r="L43" s="171"/>
      <c r="M43" s="170"/>
      <c r="P43">
        <v>42</v>
      </c>
    </row>
    <row r="44" spans="1:56" ht="78" customHeight="1">
      <c r="A44" s="353"/>
      <c r="B44" s="47" t="s">
        <v>266</v>
      </c>
      <c r="C44" s="98" t="s">
        <v>267</v>
      </c>
      <c r="D44" s="97">
        <v>2023</v>
      </c>
      <c r="E44" s="97" t="s">
        <v>135</v>
      </c>
      <c r="F44" s="47" t="s">
        <v>268</v>
      </c>
      <c r="G44" s="96" t="s">
        <v>269</v>
      </c>
      <c r="H44" s="75" t="s">
        <v>221</v>
      </c>
      <c r="I44" s="94" t="s">
        <v>270</v>
      </c>
      <c r="J44" s="99" t="s">
        <v>271</v>
      </c>
      <c r="K44" s="99" t="s">
        <v>272</v>
      </c>
      <c r="L44" s="35"/>
      <c r="M44" s="35"/>
      <c r="P44">
        <v>43</v>
      </c>
    </row>
    <row r="45" spans="1:56" ht="77.25" customHeight="1">
      <c r="A45" s="353"/>
      <c r="B45" s="41" t="s">
        <v>273</v>
      </c>
      <c r="C45" s="40" t="s">
        <v>274</v>
      </c>
      <c r="D45" s="77">
        <v>2025</v>
      </c>
      <c r="E45" s="77" t="s">
        <v>64</v>
      </c>
      <c r="F45" s="45" t="s">
        <v>275</v>
      </c>
      <c r="G45" s="52" t="s">
        <v>276</v>
      </c>
      <c r="H45" s="75" t="s">
        <v>221</v>
      </c>
      <c r="I45" s="171" t="s">
        <v>277</v>
      </c>
      <c r="J45" s="170" t="s">
        <v>278</v>
      </c>
      <c r="K45" s="171" t="s">
        <v>279</v>
      </c>
      <c r="L45" s="34"/>
      <c r="M45" s="34"/>
      <c r="P45">
        <v>44</v>
      </c>
    </row>
    <row r="46" spans="1:56" ht="89.25" customHeight="1">
      <c r="A46" s="353"/>
      <c r="B46" s="47" t="s">
        <v>280</v>
      </c>
      <c r="C46" s="98" t="s">
        <v>281</v>
      </c>
      <c r="D46" s="172">
        <v>2024</v>
      </c>
      <c r="E46" s="172" t="s">
        <v>162</v>
      </c>
      <c r="F46" s="26"/>
      <c r="G46" s="35"/>
      <c r="H46" s="93" t="s">
        <v>282</v>
      </c>
      <c r="I46" s="122" t="s">
        <v>283</v>
      </c>
      <c r="J46" s="35"/>
      <c r="K46" s="35"/>
      <c r="L46" s="35"/>
      <c r="M46" s="35"/>
      <c r="P46">
        <v>45</v>
      </c>
    </row>
    <row r="47" spans="1:56" ht="96.75" customHeight="1">
      <c r="A47" s="353"/>
      <c r="B47" s="41" t="s">
        <v>284</v>
      </c>
      <c r="C47" t="s">
        <v>285</v>
      </c>
      <c r="D47" s="104">
        <v>2019</v>
      </c>
      <c r="E47" s="33" t="s">
        <v>18</v>
      </c>
      <c r="F47" s="45" t="s">
        <v>286</v>
      </c>
      <c r="G47" s="34"/>
      <c r="H47" s="93" t="s">
        <v>282</v>
      </c>
      <c r="I47" s="171" t="s">
        <v>287</v>
      </c>
      <c r="J47" s="34"/>
      <c r="K47" s="34"/>
      <c r="L47" s="52"/>
      <c r="M47" s="52"/>
      <c r="P47">
        <v>46</v>
      </c>
    </row>
    <row r="48" spans="1:56" ht="68.25" customHeight="1">
      <c r="A48" s="353"/>
      <c r="B48" s="47" t="s">
        <v>288</v>
      </c>
      <c r="C48" s="98" t="s">
        <v>289</v>
      </c>
      <c r="D48" s="104">
        <v>2014</v>
      </c>
      <c r="E48" s="104" t="s">
        <v>290</v>
      </c>
      <c r="F48" s="47" t="s">
        <v>291</v>
      </c>
      <c r="G48" s="35"/>
      <c r="H48" s="93" t="s">
        <v>282</v>
      </c>
      <c r="I48" s="122" t="s">
        <v>292</v>
      </c>
      <c r="J48" s="35"/>
      <c r="K48" s="35"/>
      <c r="L48" s="119"/>
      <c r="M48" s="119"/>
      <c r="P48">
        <v>47</v>
      </c>
    </row>
    <row r="49" spans="1:16" ht="93" customHeight="1">
      <c r="A49" s="353"/>
      <c r="B49" s="55" t="s">
        <v>280</v>
      </c>
      <c r="C49" s="43" t="s">
        <v>281</v>
      </c>
      <c r="D49" s="77">
        <v>2024</v>
      </c>
      <c r="E49" s="77" t="s">
        <v>143</v>
      </c>
      <c r="F49" s="78" t="s">
        <v>293</v>
      </c>
      <c r="G49" s="118"/>
      <c r="H49" s="75" t="s">
        <v>221</v>
      </c>
      <c r="I49" s="117" t="s">
        <v>294</v>
      </c>
      <c r="J49" s="52" t="s">
        <v>295</v>
      </c>
      <c r="K49" s="52" t="s">
        <v>296</v>
      </c>
      <c r="L49" s="118"/>
      <c r="M49" s="118"/>
      <c r="P49">
        <v>48</v>
      </c>
    </row>
    <row r="50" spans="1:16" ht="45.75">
      <c r="A50" s="357" t="s">
        <v>297</v>
      </c>
      <c r="B50" s="345" t="s">
        <v>280</v>
      </c>
      <c r="C50" s="43" t="s">
        <v>281</v>
      </c>
      <c r="D50" s="77">
        <v>2024</v>
      </c>
      <c r="E50" s="311" t="s">
        <v>162</v>
      </c>
      <c r="F50" s="78" t="s">
        <v>293</v>
      </c>
      <c r="G50" s="119" t="s">
        <v>96</v>
      </c>
      <c r="H50" s="72" t="s">
        <v>55</v>
      </c>
      <c r="I50" s="117"/>
      <c r="J50" s="52"/>
      <c r="K50" s="52"/>
      <c r="L50" s="119"/>
      <c r="M50" s="119"/>
      <c r="P50">
        <v>49</v>
      </c>
    </row>
    <row r="51" spans="1:16" ht="45.75">
      <c r="A51" s="357"/>
      <c r="B51" s="59" t="s">
        <v>284</v>
      </c>
      <c r="C51" s="46" t="s">
        <v>285</v>
      </c>
      <c r="D51" s="72">
        <v>2019</v>
      </c>
      <c r="E51" s="84" t="s">
        <v>18</v>
      </c>
      <c r="F51" s="61" t="s">
        <v>286</v>
      </c>
      <c r="G51" s="119" t="s">
        <v>96</v>
      </c>
      <c r="H51" s="72" t="s">
        <v>55</v>
      </c>
      <c r="I51" s="247" t="s">
        <v>298</v>
      </c>
      <c r="J51" s="119" t="s">
        <v>96</v>
      </c>
      <c r="K51" s="119" t="s">
        <v>96</v>
      </c>
      <c r="L51" s="118"/>
      <c r="M51" s="118"/>
      <c r="P51">
        <v>50</v>
      </c>
    </row>
    <row r="52" spans="1:16" ht="60.75">
      <c r="A52" s="357"/>
      <c r="B52" s="346" t="s">
        <v>299</v>
      </c>
      <c r="C52" s="51" t="s">
        <v>300</v>
      </c>
      <c r="D52" s="73">
        <v>2014</v>
      </c>
      <c r="E52" s="85" t="s">
        <v>301</v>
      </c>
      <c r="F52" s="58" t="s">
        <v>291</v>
      </c>
      <c r="G52" s="118" t="s">
        <v>96</v>
      </c>
      <c r="H52" s="72" t="s">
        <v>55</v>
      </c>
      <c r="I52" s="49" t="s">
        <v>302</v>
      </c>
      <c r="J52" s="118" t="s">
        <v>96</v>
      </c>
      <c r="K52" s="118" t="s">
        <v>96</v>
      </c>
      <c r="L52" s="121"/>
      <c r="M52" s="121"/>
      <c r="P52">
        <v>51</v>
      </c>
    </row>
    <row r="53" spans="1:16" ht="333">
      <c r="A53" s="357"/>
      <c r="B53" s="59" t="s">
        <v>303</v>
      </c>
      <c r="C53" s="362" t="s">
        <v>304</v>
      </c>
      <c r="D53" s="60">
        <v>2023</v>
      </c>
      <c r="E53" s="84" t="s">
        <v>198</v>
      </c>
      <c r="F53" s="59" t="s">
        <v>305</v>
      </c>
      <c r="G53" s="351" t="s">
        <v>306</v>
      </c>
      <c r="H53" s="75" t="s">
        <v>221</v>
      </c>
      <c r="I53" s="120" t="s">
        <v>307</v>
      </c>
      <c r="J53" s="43" t="s">
        <v>308</v>
      </c>
      <c r="K53" s="43" t="s">
        <v>309</v>
      </c>
      <c r="L53" s="34"/>
      <c r="M53" s="34"/>
      <c r="P53">
        <v>52</v>
      </c>
    </row>
    <row r="54" spans="1:16" ht="91.5">
      <c r="A54" s="357"/>
      <c r="B54" s="347" t="s">
        <v>310</v>
      </c>
      <c r="C54" s="53" t="s">
        <v>311</v>
      </c>
      <c r="D54" s="62">
        <v>2022</v>
      </c>
      <c r="E54" s="86" t="s">
        <v>64</v>
      </c>
      <c r="F54" s="57" t="s">
        <v>312</v>
      </c>
      <c r="G54" s="118" t="s">
        <v>96</v>
      </c>
      <c r="H54" s="72" t="s">
        <v>55</v>
      </c>
      <c r="I54" s="43" t="s">
        <v>313</v>
      </c>
      <c r="J54" s="118" t="s">
        <v>96</v>
      </c>
      <c r="K54" s="118" t="s">
        <v>96</v>
      </c>
      <c r="L54" s="35"/>
      <c r="M54" s="35"/>
      <c r="P54">
        <v>53</v>
      </c>
    </row>
    <row r="55" spans="1:16" ht="144">
      <c r="A55" s="357"/>
      <c r="B55" s="59" t="s">
        <v>314</v>
      </c>
      <c r="C55" s="54" t="s">
        <v>315</v>
      </c>
      <c r="D55" s="71" t="s">
        <v>316</v>
      </c>
      <c r="E55" s="84" t="s">
        <v>64</v>
      </c>
      <c r="F55" s="59" t="s">
        <v>317</v>
      </c>
      <c r="G55" s="350" t="s">
        <v>318</v>
      </c>
      <c r="H55" s="75" t="s">
        <v>221</v>
      </c>
      <c r="I55" s="120" t="s">
        <v>319</v>
      </c>
      <c r="J55" s="121" t="s">
        <v>320</v>
      </c>
      <c r="K55" s="121" t="s">
        <v>321</v>
      </c>
      <c r="L55" s="34"/>
      <c r="M55" s="34"/>
      <c r="P55">
        <v>54</v>
      </c>
    </row>
    <row r="56" spans="1:16" ht="86.25">
      <c r="A56" s="357"/>
      <c r="B56" s="57" t="s">
        <v>322</v>
      </c>
      <c r="C56" s="363" t="s">
        <v>323</v>
      </c>
      <c r="D56" s="62">
        <v>2025</v>
      </c>
      <c r="E56" s="86" t="s">
        <v>324</v>
      </c>
      <c r="F56" s="57" t="s">
        <v>325</v>
      </c>
      <c r="G56" s="34"/>
      <c r="H56" s="72" t="s">
        <v>55</v>
      </c>
      <c r="I56" s="74" t="s">
        <v>326</v>
      </c>
      <c r="J56" s="34"/>
      <c r="K56" s="34"/>
      <c r="L56" s="35"/>
      <c r="M56" s="35"/>
      <c r="P56">
        <v>55</v>
      </c>
    </row>
    <row r="57" spans="1:16" ht="30.75">
      <c r="A57" s="357"/>
      <c r="B57" s="61" t="s">
        <v>327</v>
      </c>
      <c r="C57" s="46" t="s">
        <v>328</v>
      </c>
      <c r="D57" s="70">
        <v>2008</v>
      </c>
      <c r="E57" s="87" t="s">
        <v>18</v>
      </c>
      <c r="F57" s="59" t="s">
        <v>329</v>
      </c>
      <c r="G57" s="48"/>
      <c r="H57" s="72" t="s">
        <v>55</v>
      </c>
      <c r="I57" s="225" t="s">
        <v>330</v>
      </c>
      <c r="J57" s="35"/>
      <c r="K57" s="35"/>
      <c r="L57" s="118"/>
      <c r="M57" s="118"/>
      <c r="P57">
        <v>56</v>
      </c>
    </row>
    <row r="58" spans="1:16" ht="30.75">
      <c r="A58" s="357"/>
      <c r="B58" s="346" t="s">
        <v>331</v>
      </c>
      <c r="C58" s="364" t="s">
        <v>332</v>
      </c>
      <c r="D58" s="64">
        <v>2020</v>
      </c>
      <c r="E58" s="88" t="s">
        <v>198</v>
      </c>
      <c r="F58" s="57" t="s">
        <v>333</v>
      </c>
      <c r="G58" s="34"/>
      <c r="H58" s="72" t="s">
        <v>55</v>
      </c>
      <c r="I58" s="310" t="s">
        <v>334</v>
      </c>
      <c r="J58" s="34"/>
      <c r="K58" s="34"/>
      <c r="L58" s="35"/>
      <c r="M58" s="35"/>
      <c r="P58">
        <v>57</v>
      </c>
    </row>
    <row r="59" spans="1:16" ht="183">
      <c r="A59" s="357"/>
      <c r="B59" s="65" t="s">
        <v>335</v>
      </c>
      <c r="C59" s="66" t="s">
        <v>336</v>
      </c>
      <c r="D59" s="67">
        <v>2022</v>
      </c>
      <c r="E59" s="87" t="s">
        <v>143</v>
      </c>
      <c r="F59" s="352" t="s">
        <v>337</v>
      </c>
      <c r="G59" s="40" t="s">
        <v>338</v>
      </c>
      <c r="H59" s="75" t="s">
        <v>21</v>
      </c>
      <c r="I59" s="50" t="s">
        <v>339</v>
      </c>
      <c r="J59" s="40" t="s">
        <v>340</v>
      </c>
      <c r="K59" t="s">
        <v>341</v>
      </c>
      <c r="L59" s="74"/>
      <c r="M59" s="74"/>
      <c r="P59">
        <v>58</v>
      </c>
    </row>
    <row r="60" spans="1:16" ht="45.75">
      <c r="A60" s="357"/>
      <c r="B60" s="346" t="s">
        <v>342</v>
      </c>
      <c r="C60" s="364" t="s">
        <v>343</v>
      </c>
      <c r="D60" s="365">
        <v>2025</v>
      </c>
      <c r="E60" s="89" t="s">
        <v>94</v>
      </c>
      <c r="F60" s="57" t="s">
        <v>344</v>
      </c>
      <c r="G60" s="118" t="s">
        <v>96</v>
      </c>
      <c r="H60" s="72" t="s">
        <v>55</v>
      </c>
      <c r="I60" s="49" t="s">
        <v>302</v>
      </c>
      <c r="J60" s="118" t="s">
        <v>96</v>
      </c>
      <c r="K60" s="118" t="s">
        <v>96</v>
      </c>
      <c r="L60" s="35"/>
      <c r="M60" s="35"/>
      <c r="P60">
        <v>59</v>
      </c>
    </row>
    <row r="61" spans="1:16" ht="275.25">
      <c r="A61" s="357"/>
      <c r="B61" s="61" t="s">
        <v>345</v>
      </c>
      <c r="C61" s="69" t="s">
        <v>346</v>
      </c>
      <c r="D61" s="69">
        <v>2024</v>
      </c>
      <c r="E61" s="90" t="s">
        <v>64</v>
      </c>
      <c r="F61" s="68" t="s">
        <v>347</v>
      </c>
      <c r="G61" s="219" t="s">
        <v>348</v>
      </c>
      <c r="H61" s="75" t="s">
        <v>21</v>
      </c>
      <c r="I61" s="349" t="s">
        <v>349</v>
      </c>
      <c r="J61" s="50" t="s">
        <v>350</v>
      </c>
      <c r="K61" s="50" t="s">
        <v>351</v>
      </c>
      <c r="L61" s="34"/>
      <c r="M61" s="34"/>
      <c r="P61">
        <v>60</v>
      </c>
    </row>
    <row r="62" spans="1:16" ht="28.5">
      <c r="A62" s="353" t="s">
        <v>352</v>
      </c>
      <c r="B62" s="35" t="s">
        <v>353</v>
      </c>
      <c r="C62" s="98" t="s">
        <v>354</v>
      </c>
      <c r="D62" s="104">
        <v>2007</v>
      </c>
      <c r="E62" s="172" t="s">
        <v>18</v>
      </c>
      <c r="F62" s="47" t="s">
        <v>355</v>
      </c>
      <c r="G62" s="35"/>
      <c r="H62" s="72" t="s">
        <v>55</v>
      </c>
      <c r="I62" s="177"/>
      <c r="J62" s="35"/>
      <c r="K62" s="35"/>
      <c r="L62" s="35"/>
      <c r="M62" s="35"/>
      <c r="P62">
        <v>61</v>
      </c>
    </row>
    <row r="63" spans="1:16" ht="45.75">
      <c r="A63" s="353"/>
      <c r="B63" s="57" t="s">
        <v>356</v>
      </c>
      <c r="C63" s="173" t="s">
        <v>357</v>
      </c>
      <c r="D63" s="365">
        <v>2024</v>
      </c>
      <c r="E63" s="33" t="s">
        <v>64</v>
      </c>
      <c r="F63" s="45" t="s">
        <v>358</v>
      </c>
      <c r="G63" s="80" t="s">
        <v>359</v>
      </c>
      <c r="H63" s="75" t="s">
        <v>21</v>
      </c>
      <c r="I63" s="176" t="s">
        <v>360</v>
      </c>
      <c r="J63" s="34" t="s">
        <v>361</v>
      </c>
      <c r="K63" s="34" t="s">
        <v>362</v>
      </c>
      <c r="L63" s="34"/>
      <c r="M63" s="34"/>
      <c r="P63">
        <v>62</v>
      </c>
    </row>
    <row r="64" spans="1:16" ht="57.75">
      <c r="A64" s="353"/>
      <c r="B64" s="35" t="s">
        <v>363</v>
      </c>
      <c r="C64" s="175" t="s">
        <v>364</v>
      </c>
      <c r="D64" s="98" t="s">
        <v>365</v>
      </c>
      <c r="E64" s="172" t="s">
        <v>143</v>
      </c>
      <c r="F64" s="47" t="s">
        <v>366</v>
      </c>
      <c r="G64" s="179" t="s">
        <v>367</v>
      </c>
      <c r="H64" s="75" t="s">
        <v>368</v>
      </c>
      <c r="I64" s="177"/>
      <c r="J64" s="35"/>
      <c r="K64" s="35"/>
      <c r="L64" s="35"/>
      <c r="M64" s="35"/>
      <c r="P64">
        <v>63</v>
      </c>
    </row>
    <row r="65" spans="1:16" ht="30.75">
      <c r="A65" s="353"/>
      <c r="C65" s="174" t="s">
        <v>369</v>
      </c>
      <c r="D65" s="79">
        <v>45413</v>
      </c>
      <c r="F65" s="27"/>
      <c r="G65" s="34"/>
      <c r="H65" s="72" t="s">
        <v>55</v>
      </c>
      <c r="I65" s="176" t="s">
        <v>370</v>
      </c>
      <c r="J65" s="34"/>
      <c r="K65" s="34"/>
      <c r="L65" s="34"/>
      <c r="M65" s="34"/>
      <c r="P65">
        <v>64</v>
      </c>
    </row>
    <row r="66" spans="1:16" ht="28.5">
      <c r="A66" s="353"/>
      <c r="B66" s="35"/>
      <c r="C66" s="98" t="s">
        <v>371</v>
      </c>
      <c r="D66" s="178">
        <v>45778</v>
      </c>
      <c r="E66" s="83"/>
      <c r="F66" s="26"/>
      <c r="G66" s="35"/>
      <c r="H66" s="72" t="s">
        <v>55</v>
      </c>
      <c r="I66" s="177" t="s">
        <v>370</v>
      </c>
      <c r="J66" s="35"/>
      <c r="K66" s="35"/>
      <c r="L66" s="35"/>
      <c r="M66" s="35"/>
      <c r="P66">
        <v>65</v>
      </c>
    </row>
    <row r="67" spans="1:16" ht="30.75">
      <c r="A67" s="353"/>
      <c r="B67" s="41" t="s">
        <v>372</v>
      </c>
      <c r="C67" s="174" t="s">
        <v>373</v>
      </c>
      <c r="D67" s="44">
        <v>45458</v>
      </c>
      <c r="E67" s="33" t="s">
        <v>374</v>
      </c>
      <c r="F67" s="45" t="s">
        <v>375</v>
      </c>
      <c r="G67" s="34"/>
      <c r="H67" s="72" t="s">
        <v>55</v>
      </c>
      <c r="I67" s="176" t="s">
        <v>370</v>
      </c>
      <c r="J67" s="34"/>
      <c r="K67" s="34"/>
      <c r="L67" s="34"/>
      <c r="M67" s="34"/>
      <c r="P67">
        <v>66</v>
      </c>
    </row>
    <row r="68" spans="1:16" ht="43.5">
      <c r="A68" s="353"/>
      <c r="B68" s="35"/>
      <c r="C68" s="98" t="s">
        <v>376</v>
      </c>
      <c r="D68" s="108">
        <v>40765</v>
      </c>
      <c r="E68" s="172" t="s">
        <v>377</v>
      </c>
      <c r="F68" s="26"/>
      <c r="G68" s="35"/>
      <c r="H68" s="72" t="s">
        <v>55</v>
      </c>
      <c r="I68" s="177" t="s">
        <v>370</v>
      </c>
      <c r="J68" s="35"/>
      <c r="K68" s="35"/>
      <c r="L68" s="35"/>
      <c r="M68" s="35"/>
      <c r="P68">
        <v>67</v>
      </c>
    </row>
    <row r="69" spans="1:16" ht="16.5">
      <c r="A69" s="353"/>
      <c r="E69" s="33" t="s">
        <v>378</v>
      </c>
      <c r="F69" s="27"/>
      <c r="G69" s="34"/>
      <c r="H69" s="72" t="s">
        <v>55</v>
      </c>
      <c r="I69" s="176" t="s">
        <v>370</v>
      </c>
      <c r="J69" s="34"/>
      <c r="K69" s="34"/>
      <c r="L69" s="34"/>
      <c r="M69" s="34"/>
      <c r="P69">
        <v>68</v>
      </c>
    </row>
    <row r="70" spans="1:16" ht="16.5">
      <c r="A70" s="353"/>
      <c r="B70" s="35"/>
      <c r="C70" s="35"/>
      <c r="D70" s="35"/>
      <c r="E70" s="83"/>
      <c r="F70" s="26"/>
      <c r="G70" s="35"/>
      <c r="H70" s="72" t="s">
        <v>55</v>
      </c>
      <c r="I70" s="177" t="s">
        <v>370</v>
      </c>
      <c r="J70" s="35"/>
      <c r="K70" s="35"/>
      <c r="L70" s="35"/>
      <c r="M70" s="35"/>
      <c r="P70">
        <v>69</v>
      </c>
    </row>
    <row r="71" spans="1:16" ht="16.5">
      <c r="A71" s="353"/>
      <c r="F71" s="27"/>
      <c r="G71" s="34"/>
      <c r="H71" s="72" t="s">
        <v>55</v>
      </c>
      <c r="I71" s="176" t="s">
        <v>370</v>
      </c>
      <c r="J71" s="34"/>
      <c r="K71" s="34"/>
      <c r="L71" s="35"/>
      <c r="M71" s="42"/>
      <c r="P71">
        <v>70</v>
      </c>
    </row>
    <row r="72" spans="1:16" ht="16.5">
      <c r="A72" s="353"/>
      <c r="B72" s="35"/>
      <c r="C72" s="35"/>
      <c r="D72" s="35"/>
      <c r="E72" s="83"/>
      <c r="F72" s="26"/>
      <c r="G72" s="35"/>
      <c r="H72" s="72" t="s">
        <v>55</v>
      </c>
      <c r="I72" s="177" t="s">
        <v>370</v>
      </c>
      <c r="J72" s="35"/>
      <c r="K72" s="35"/>
      <c r="L72" s="130"/>
      <c r="M72" s="130"/>
      <c r="P72">
        <v>71</v>
      </c>
    </row>
    <row r="73" spans="1:16" ht="43.5">
      <c r="A73" s="353"/>
      <c r="B73" s="55" t="s">
        <v>379</v>
      </c>
      <c r="C73" s="43" t="s">
        <v>380</v>
      </c>
      <c r="D73" s="77">
        <v>2026</v>
      </c>
      <c r="E73" s="77" t="s">
        <v>239</v>
      </c>
      <c r="F73" s="78" t="s">
        <v>381</v>
      </c>
      <c r="G73" s="49" t="s">
        <v>382</v>
      </c>
      <c r="H73" s="75" t="s">
        <v>221</v>
      </c>
      <c r="I73" s="49" t="s">
        <v>383</v>
      </c>
      <c r="J73" s="42" t="s">
        <v>384</v>
      </c>
      <c r="K73" s="35" t="s">
        <v>385</v>
      </c>
      <c r="L73" s="123"/>
      <c r="M73" s="123"/>
      <c r="P73">
        <v>72</v>
      </c>
    </row>
    <row r="74" spans="1:16" ht="86.25">
      <c r="A74" s="353" t="s">
        <v>386</v>
      </c>
      <c r="B74" s="131" t="s">
        <v>387</v>
      </c>
      <c r="C74" s="158" t="s">
        <v>388</v>
      </c>
      <c r="D74" s="97">
        <v>2025</v>
      </c>
      <c r="E74" s="97" t="s">
        <v>135</v>
      </c>
      <c r="F74" s="127" t="s">
        <v>389</v>
      </c>
      <c r="G74" s="106" t="s">
        <v>390</v>
      </c>
      <c r="H74" s="105" t="s">
        <v>221</v>
      </c>
      <c r="I74" s="106" t="s">
        <v>391</v>
      </c>
      <c r="J74" s="130" t="s">
        <v>392</v>
      </c>
      <c r="K74" s="130" t="s">
        <v>393</v>
      </c>
      <c r="L74" s="130"/>
      <c r="M74" s="130"/>
      <c r="P74">
        <v>73</v>
      </c>
    </row>
    <row r="75" spans="1:16" ht="72">
      <c r="A75" s="353"/>
      <c r="B75" s="128" t="s">
        <v>394</v>
      </c>
      <c r="C75" s="139" t="s">
        <v>395</v>
      </c>
      <c r="D75" s="77">
        <v>2024</v>
      </c>
      <c r="E75" s="77" t="s">
        <v>135</v>
      </c>
      <c r="F75" s="112" t="s">
        <v>396</v>
      </c>
      <c r="G75" s="95" t="s">
        <v>397</v>
      </c>
      <c r="H75" s="105" t="s">
        <v>221</v>
      </c>
      <c r="I75" s="95" t="s">
        <v>398</v>
      </c>
      <c r="J75" s="123" t="s">
        <v>399</v>
      </c>
      <c r="K75" s="123" t="s">
        <v>400</v>
      </c>
      <c r="L75" s="123"/>
      <c r="M75" s="123"/>
      <c r="P75">
        <v>74</v>
      </c>
    </row>
    <row r="76" spans="1:16" ht="86.25">
      <c r="A76" s="353"/>
      <c r="B76" s="131" t="s">
        <v>401</v>
      </c>
      <c r="C76" s="158" t="s">
        <v>402</v>
      </c>
      <c r="D76" s="97">
        <v>2023</v>
      </c>
      <c r="E76" s="97" t="s">
        <v>135</v>
      </c>
      <c r="F76" s="127" t="s">
        <v>403</v>
      </c>
      <c r="G76" s="106" t="s">
        <v>404</v>
      </c>
      <c r="H76" s="105" t="s">
        <v>183</v>
      </c>
      <c r="I76" s="106" t="s">
        <v>405</v>
      </c>
      <c r="J76" s="130" t="s">
        <v>406</v>
      </c>
      <c r="K76" s="130" t="s">
        <v>407</v>
      </c>
      <c r="L76" s="130"/>
      <c r="M76" s="130"/>
      <c r="P76">
        <v>75</v>
      </c>
    </row>
    <row r="77" spans="1:16" ht="57.75">
      <c r="A77" s="353"/>
      <c r="B77" s="128" t="s">
        <v>408</v>
      </c>
      <c r="C77" s="139" t="s">
        <v>409</v>
      </c>
      <c r="D77" s="77">
        <v>2021</v>
      </c>
      <c r="E77" s="77" t="s">
        <v>239</v>
      </c>
      <c r="F77" s="112" t="s">
        <v>410</v>
      </c>
      <c r="G77" s="95" t="s">
        <v>411</v>
      </c>
      <c r="H77" s="105" t="s">
        <v>221</v>
      </c>
      <c r="I77" s="95" t="s">
        <v>412</v>
      </c>
      <c r="J77" s="123" t="s">
        <v>413</v>
      </c>
      <c r="K77" s="123" t="s">
        <v>414</v>
      </c>
      <c r="L77" s="123"/>
      <c r="M77" s="123"/>
      <c r="N77" s="2"/>
      <c r="P77">
        <v>76</v>
      </c>
    </row>
    <row r="78" spans="1:16" ht="57.75">
      <c r="A78" s="353"/>
      <c r="B78" s="131" t="s">
        <v>415</v>
      </c>
      <c r="C78" s="158" t="s">
        <v>416</v>
      </c>
      <c r="D78" s="97">
        <v>2026</v>
      </c>
      <c r="E78" s="97" t="s">
        <v>135</v>
      </c>
      <c r="F78" s="127" t="s">
        <v>417</v>
      </c>
      <c r="G78" s="106" t="s">
        <v>418</v>
      </c>
      <c r="H78" s="105" t="s">
        <v>221</v>
      </c>
      <c r="I78" s="106" t="s">
        <v>419</v>
      </c>
      <c r="J78" s="130"/>
      <c r="K78" s="130"/>
      <c r="L78" s="130"/>
      <c r="M78" s="130"/>
      <c r="P78">
        <v>77</v>
      </c>
    </row>
    <row r="79" spans="1:16" ht="60.75" customHeight="1">
      <c r="A79" s="353"/>
      <c r="B79" s="128" t="s">
        <v>420</v>
      </c>
      <c r="C79" s="139" t="s">
        <v>421</v>
      </c>
      <c r="D79" s="77">
        <v>2026</v>
      </c>
      <c r="E79" s="77" t="s">
        <v>135</v>
      </c>
      <c r="F79" s="112" t="s">
        <v>422</v>
      </c>
      <c r="G79" s="95" t="s">
        <v>423</v>
      </c>
      <c r="H79" s="104" t="s">
        <v>424</v>
      </c>
      <c r="I79" s="95"/>
      <c r="J79" s="123"/>
      <c r="K79" s="123"/>
      <c r="L79" s="123"/>
      <c r="M79" s="123"/>
      <c r="P79">
        <v>78</v>
      </c>
    </row>
    <row r="80" spans="1:16" ht="60.75" customHeight="1">
      <c r="A80" s="353"/>
      <c r="B80" s="131" t="s">
        <v>425</v>
      </c>
      <c r="C80" s="158" t="s">
        <v>426</v>
      </c>
      <c r="D80" s="97">
        <v>2026</v>
      </c>
      <c r="E80" s="97" t="s">
        <v>135</v>
      </c>
      <c r="F80" s="127" t="s">
        <v>427</v>
      </c>
      <c r="G80" s="106" t="s">
        <v>428</v>
      </c>
      <c r="H80" s="105" t="s">
        <v>221</v>
      </c>
      <c r="I80" s="106" t="s">
        <v>429</v>
      </c>
      <c r="J80" s="130"/>
      <c r="K80" s="130"/>
      <c r="L80" s="130"/>
      <c r="M80" s="130"/>
      <c r="P80">
        <v>79</v>
      </c>
    </row>
    <row r="81" spans="1:16" ht="43.5">
      <c r="A81" s="353"/>
      <c r="B81" s="128" t="s">
        <v>430</v>
      </c>
      <c r="C81" s="139" t="s">
        <v>431</v>
      </c>
      <c r="D81" s="77">
        <v>2026</v>
      </c>
      <c r="E81" s="77" t="s">
        <v>135</v>
      </c>
      <c r="F81" s="112" t="s">
        <v>432</v>
      </c>
      <c r="G81" s="95" t="s">
        <v>433</v>
      </c>
      <c r="H81" s="105" t="s">
        <v>21</v>
      </c>
      <c r="I81" s="95" t="s">
        <v>434</v>
      </c>
      <c r="J81" s="123"/>
      <c r="K81" s="123"/>
      <c r="L81" s="123"/>
      <c r="M81" s="123"/>
      <c r="P81">
        <v>80</v>
      </c>
    </row>
    <row r="82" spans="1:16" ht="57.75">
      <c r="A82" s="353"/>
      <c r="B82" s="139" t="s">
        <v>435</v>
      </c>
      <c r="C82" s="77" t="s">
        <v>436</v>
      </c>
      <c r="D82" s="77">
        <v>2021</v>
      </c>
      <c r="E82" s="77" t="s">
        <v>135</v>
      </c>
      <c r="F82" s="112" t="s">
        <v>437</v>
      </c>
      <c r="G82" s="159" t="s">
        <v>438</v>
      </c>
      <c r="H82" s="104" t="s">
        <v>424</v>
      </c>
      <c r="I82" s="160" t="s">
        <v>439</v>
      </c>
      <c r="J82" s="130"/>
      <c r="K82" s="130"/>
      <c r="L82" s="124"/>
      <c r="M82" s="124"/>
      <c r="P82">
        <v>81</v>
      </c>
    </row>
    <row r="83" spans="1:16" ht="43.5">
      <c r="A83" s="353"/>
      <c r="B83" s="123" t="s">
        <v>440</v>
      </c>
      <c r="C83" s="131" t="s">
        <v>441</v>
      </c>
      <c r="D83" s="123">
        <v>2015</v>
      </c>
      <c r="E83" s="123" t="s">
        <v>18</v>
      </c>
      <c r="F83" s="127" t="s">
        <v>442</v>
      </c>
      <c r="G83" s="123" t="s">
        <v>443</v>
      </c>
      <c r="H83" s="105" t="s">
        <v>221</v>
      </c>
      <c r="I83" s="131" t="s">
        <v>444</v>
      </c>
      <c r="J83" s="123" t="s">
        <v>445</v>
      </c>
      <c r="K83" s="123" t="s">
        <v>446</v>
      </c>
      <c r="L83" s="168"/>
      <c r="M83" s="167"/>
      <c r="P83">
        <v>82</v>
      </c>
    </row>
    <row r="84" spans="1:16" ht="15" customHeight="1">
      <c r="A84" s="353"/>
      <c r="B84" s="157"/>
      <c r="C84" s="157"/>
      <c r="D84" s="157"/>
      <c r="E84" s="157"/>
      <c r="F84" s="161"/>
      <c r="G84" s="124"/>
      <c r="H84" s="105"/>
      <c r="I84" s="124"/>
      <c r="J84" s="124"/>
      <c r="K84" s="124"/>
      <c r="L84" s="136"/>
      <c r="M84" s="256"/>
      <c r="P84">
        <v>83</v>
      </c>
    </row>
    <row r="85" spans="1:16" ht="45.75">
      <c r="A85" s="116"/>
      <c r="B85" s="162" t="s">
        <v>447</v>
      </c>
      <c r="C85" s="139" t="s">
        <v>448</v>
      </c>
      <c r="D85" s="155">
        <v>2021</v>
      </c>
      <c r="E85" s="77" t="s">
        <v>135</v>
      </c>
      <c r="F85" s="163" t="s">
        <v>449</v>
      </c>
      <c r="G85" s="77" t="s">
        <v>450</v>
      </c>
      <c r="H85" s="105" t="s">
        <v>21</v>
      </c>
      <c r="I85" s="106" t="s">
        <v>451</v>
      </c>
      <c r="J85" s="167" t="s">
        <v>452</v>
      </c>
      <c r="K85" s="168" t="s">
        <v>453</v>
      </c>
      <c r="L85" s="165"/>
      <c r="M85" s="165"/>
      <c r="P85">
        <v>84</v>
      </c>
    </row>
    <row r="86" spans="1:16" ht="15.75">
      <c r="A86" s="353" t="s">
        <v>454</v>
      </c>
      <c r="B86" s="127" t="s">
        <v>455</v>
      </c>
      <c r="C86" s="123" t="s">
        <v>456</v>
      </c>
      <c r="D86" s="123">
        <v>2024</v>
      </c>
      <c r="E86" s="123" t="s">
        <v>135</v>
      </c>
      <c r="F86" s="166" t="s">
        <v>457</v>
      </c>
      <c r="G86" s="123" t="s">
        <v>458</v>
      </c>
      <c r="H86" s="75" t="s">
        <v>153</v>
      </c>
      <c r="I86" s="97" t="s">
        <v>459</v>
      </c>
      <c r="J86" s="97" t="s">
        <v>460</v>
      </c>
      <c r="K86" s="136" t="s">
        <v>461</v>
      </c>
      <c r="L86" s="97"/>
      <c r="M86" s="97"/>
      <c r="P86">
        <v>85</v>
      </c>
    </row>
    <row r="87" spans="1:16" ht="43.5">
      <c r="A87" s="353"/>
      <c r="B87" s="77" t="s">
        <v>462</v>
      </c>
      <c r="C87" s="139" t="s">
        <v>463</v>
      </c>
      <c r="D87" s="77">
        <v>2026</v>
      </c>
      <c r="E87" s="77" t="s">
        <v>135</v>
      </c>
      <c r="F87" s="112" t="s">
        <v>464</v>
      </c>
      <c r="G87" s="130" t="s">
        <v>465</v>
      </c>
      <c r="H87" s="105" t="s">
        <v>153</v>
      </c>
      <c r="I87" s="164" t="s">
        <v>466</v>
      </c>
      <c r="J87" s="165" t="s">
        <v>467</v>
      </c>
      <c r="K87" s="165" t="s">
        <v>468</v>
      </c>
      <c r="L87" s="165"/>
      <c r="M87" s="165"/>
      <c r="P87">
        <v>86</v>
      </c>
    </row>
    <row r="88" spans="1:16" ht="43.5">
      <c r="A88" s="353"/>
      <c r="B88" s="123" t="s">
        <v>469</v>
      </c>
      <c r="C88" s="158" t="s">
        <v>470</v>
      </c>
      <c r="D88" s="97">
        <v>2023</v>
      </c>
      <c r="E88" s="97" t="s">
        <v>135</v>
      </c>
      <c r="F88" s="127" t="s">
        <v>471</v>
      </c>
      <c r="G88" s="97" t="s">
        <v>472</v>
      </c>
      <c r="H88" s="105" t="s">
        <v>153</v>
      </c>
      <c r="I88" s="97" t="s">
        <v>473</v>
      </c>
      <c r="J88" s="97" t="s">
        <v>474</v>
      </c>
      <c r="K88" s="97" t="s">
        <v>475</v>
      </c>
      <c r="L88" s="35"/>
      <c r="M88" s="35"/>
      <c r="P88">
        <v>87</v>
      </c>
    </row>
    <row r="89" spans="1:16" ht="45.75">
      <c r="A89" s="353"/>
      <c r="B89" s="77" t="s">
        <v>476</v>
      </c>
      <c r="C89" s="139" t="s">
        <v>477</v>
      </c>
      <c r="D89" s="77">
        <v>2026</v>
      </c>
      <c r="E89" s="77" t="s">
        <v>150</v>
      </c>
      <c r="F89" s="112" t="s">
        <v>478</v>
      </c>
      <c r="G89" s="130" t="s">
        <v>479</v>
      </c>
      <c r="H89" s="105" t="s">
        <v>153</v>
      </c>
      <c r="I89" s="164" t="s">
        <v>480</v>
      </c>
      <c r="J89" s="165" t="s">
        <v>481</v>
      </c>
      <c r="K89" s="165" t="s">
        <v>482</v>
      </c>
      <c r="L89" s="34"/>
      <c r="M89" s="34"/>
      <c r="P89">
        <v>88</v>
      </c>
    </row>
    <row r="90" spans="1:16" ht="16.5">
      <c r="A90" s="353"/>
      <c r="B90" s="35" t="s">
        <v>483</v>
      </c>
      <c r="C90" s="35"/>
      <c r="D90" s="35"/>
      <c r="E90" s="83"/>
      <c r="F90" s="35"/>
      <c r="G90" s="35"/>
      <c r="H90" s="72" t="s">
        <v>55</v>
      </c>
      <c r="I90" s="35"/>
      <c r="J90" s="35"/>
      <c r="K90" s="35"/>
      <c r="L90" s="35"/>
      <c r="M90" s="35"/>
      <c r="P90">
        <v>89</v>
      </c>
    </row>
    <row r="91" spans="1:16" ht="16.5">
      <c r="A91" s="353"/>
      <c r="B91" t="s">
        <v>483</v>
      </c>
      <c r="F91" s="34"/>
      <c r="G91" s="34"/>
      <c r="H91" s="72" t="s">
        <v>55</v>
      </c>
      <c r="I91" s="34"/>
      <c r="J91" s="34"/>
      <c r="K91" s="34"/>
      <c r="L91" s="34"/>
      <c r="M91" s="34"/>
      <c r="P91">
        <v>90</v>
      </c>
    </row>
    <row r="92" spans="1:16" ht="16.5">
      <c r="A92" s="353"/>
      <c r="B92" s="35" t="s">
        <v>483</v>
      </c>
      <c r="C92" s="35"/>
      <c r="D92" s="35"/>
      <c r="E92" s="83"/>
      <c r="F92" s="35"/>
      <c r="G92" s="35"/>
      <c r="H92" s="72" t="s">
        <v>55</v>
      </c>
      <c r="I92" s="35"/>
      <c r="J92" s="35"/>
      <c r="K92" s="35"/>
      <c r="L92" s="35"/>
      <c r="M92" s="35"/>
      <c r="P92">
        <v>91</v>
      </c>
    </row>
    <row r="93" spans="1:16" ht="16.5">
      <c r="A93" s="353"/>
      <c r="B93" t="s">
        <v>483</v>
      </c>
      <c r="F93" s="34"/>
      <c r="G93" s="34"/>
      <c r="H93" s="72" t="s">
        <v>55</v>
      </c>
      <c r="I93" s="34"/>
      <c r="J93" s="34"/>
      <c r="K93" s="34"/>
      <c r="L93" s="34"/>
      <c r="M93" s="34"/>
      <c r="P93">
        <v>92</v>
      </c>
    </row>
    <row r="94" spans="1:16" ht="16.5">
      <c r="A94" s="353"/>
      <c r="B94" s="35" t="s">
        <v>483</v>
      </c>
      <c r="C94" s="35"/>
      <c r="D94" s="35"/>
      <c r="E94" s="83"/>
      <c r="F94" s="35"/>
      <c r="G94" s="35"/>
      <c r="H94" s="72" t="s">
        <v>55</v>
      </c>
      <c r="I94" s="35"/>
      <c r="J94" s="35"/>
      <c r="K94" s="35"/>
      <c r="L94" s="35"/>
      <c r="M94" s="35"/>
      <c r="P94">
        <v>93</v>
      </c>
    </row>
    <row r="95" spans="1:16" ht="16.5">
      <c r="A95" s="353"/>
      <c r="B95" t="s">
        <v>483</v>
      </c>
      <c r="F95" s="34"/>
      <c r="G95" s="34"/>
      <c r="H95" s="72" t="s">
        <v>55</v>
      </c>
      <c r="I95" s="34"/>
      <c r="J95" s="34"/>
      <c r="K95" s="34"/>
      <c r="L95" s="34"/>
      <c r="M95" s="34"/>
      <c r="P95">
        <v>94</v>
      </c>
    </row>
    <row r="96" spans="1:16" ht="16.5">
      <c r="A96" s="353"/>
      <c r="B96" s="35" t="s">
        <v>483</v>
      </c>
      <c r="C96" s="35"/>
      <c r="D96" s="35"/>
      <c r="E96" s="83"/>
      <c r="F96" s="35"/>
      <c r="G96" s="35"/>
      <c r="H96" s="72" t="s">
        <v>55</v>
      </c>
      <c r="I96" s="35"/>
      <c r="J96" s="35"/>
      <c r="K96" s="35"/>
      <c r="L96" s="258"/>
      <c r="M96" s="152"/>
      <c r="P96">
        <v>95</v>
      </c>
    </row>
    <row r="97" spans="1:16" ht="16.5">
      <c r="A97" s="358"/>
      <c r="B97" t="s">
        <v>483</v>
      </c>
      <c r="F97" s="34"/>
      <c r="G97" s="34"/>
      <c r="H97" s="72" t="s">
        <v>282</v>
      </c>
      <c r="I97" s="34"/>
      <c r="J97" s="34"/>
      <c r="K97" s="34"/>
      <c r="L97" s="110"/>
      <c r="M97" s="110"/>
      <c r="P97">
        <v>96</v>
      </c>
    </row>
    <row r="98" spans="1:16" ht="115.5">
      <c r="A98" s="359" t="s">
        <v>484</v>
      </c>
      <c r="B98" s="151" t="s">
        <v>485</v>
      </c>
      <c r="C98" s="152" t="s">
        <v>486</v>
      </c>
      <c r="D98" s="136">
        <v>2026</v>
      </c>
      <c r="E98" s="136" t="s">
        <v>150</v>
      </c>
      <c r="F98" s="127" t="s">
        <v>487</v>
      </c>
      <c r="G98" s="135" t="s">
        <v>488</v>
      </c>
      <c r="H98" s="153" t="s">
        <v>153</v>
      </c>
      <c r="I98" s="154" t="s">
        <v>489</v>
      </c>
      <c r="J98" s="152" t="s">
        <v>490</v>
      </c>
      <c r="K98" s="106" t="s">
        <v>491</v>
      </c>
      <c r="L98" s="258"/>
      <c r="M98" s="152"/>
      <c r="P98">
        <v>97</v>
      </c>
    </row>
    <row r="99" spans="1:16" ht="57.75">
      <c r="A99" s="353"/>
      <c r="B99" s="128" t="s">
        <v>485</v>
      </c>
      <c r="C99" s="139" t="s">
        <v>492</v>
      </c>
      <c r="D99" s="77">
        <v>2025</v>
      </c>
      <c r="E99" s="77" t="s">
        <v>150</v>
      </c>
      <c r="F99" s="112" t="s">
        <v>487</v>
      </c>
      <c r="G99" s="150" t="s">
        <v>493</v>
      </c>
      <c r="H99" s="105" t="s">
        <v>153</v>
      </c>
      <c r="I99" s="110" t="s">
        <v>494</v>
      </c>
      <c r="J99" s="110" t="s">
        <v>495</v>
      </c>
      <c r="K99" s="110" t="s">
        <v>496</v>
      </c>
      <c r="L99" s="34"/>
      <c r="M99" s="34"/>
      <c r="P99">
        <v>98</v>
      </c>
    </row>
    <row r="100" spans="1:16" ht="76.5">
      <c r="A100" s="353"/>
      <c r="B100" s="151" t="s">
        <v>497</v>
      </c>
      <c r="C100" s="152" t="s">
        <v>498</v>
      </c>
      <c r="D100" s="104">
        <v>2008</v>
      </c>
      <c r="E100" s="136" t="s">
        <v>18</v>
      </c>
      <c r="F100" s="127" t="s">
        <v>499</v>
      </c>
      <c r="G100" s="121" t="s">
        <v>500</v>
      </c>
      <c r="H100" s="105" t="s">
        <v>153</v>
      </c>
      <c r="I100" s="154" t="s">
        <v>501</v>
      </c>
      <c r="J100" s="152" t="s">
        <v>502</v>
      </c>
      <c r="K100" s="106" t="s">
        <v>503</v>
      </c>
      <c r="L100" s="35"/>
      <c r="M100" s="35"/>
      <c r="P100">
        <v>99</v>
      </c>
    </row>
    <row r="101" spans="1:16" ht="91.5">
      <c r="A101" s="353"/>
      <c r="B101" s="128" t="s">
        <v>504</v>
      </c>
      <c r="C101" s="77" t="s">
        <v>505</v>
      </c>
      <c r="D101" s="77">
        <v>2020</v>
      </c>
      <c r="E101" s="77" t="s">
        <v>150</v>
      </c>
      <c r="F101" s="112" t="s">
        <v>506</v>
      </c>
      <c r="G101" s="156" t="s">
        <v>507</v>
      </c>
      <c r="H101" s="105" t="s">
        <v>153</v>
      </c>
      <c r="I101" s="110" t="s">
        <v>508</v>
      </c>
      <c r="J101" s="34"/>
      <c r="K101" s="34"/>
      <c r="L101" s="34"/>
      <c r="M101" s="34"/>
      <c r="P101">
        <v>100</v>
      </c>
    </row>
    <row r="102" spans="1:16" ht="16.5">
      <c r="A102" s="353"/>
      <c r="B102" s="35" t="s">
        <v>483</v>
      </c>
      <c r="C102" s="35"/>
      <c r="D102" s="35"/>
      <c r="E102" s="83"/>
      <c r="F102" s="35"/>
      <c r="G102" s="35"/>
      <c r="H102" s="72" t="s">
        <v>282</v>
      </c>
      <c r="I102" s="35"/>
      <c r="J102" s="35"/>
      <c r="K102" s="35"/>
      <c r="L102" s="35"/>
      <c r="M102" s="35"/>
      <c r="P102">
        <v>101</v>
      </c>
    </row>
    <row r="103" spans="1:16" ht="16.5">
      <c r="A103" s="353"/>
      <c r="B103" t="s">
        <v>483</v>
      </c>
      <c r="F103" s="34"/>
      <c r="G103" s="34"/>
      <c r="H103" s="72" t="s">
        <v>282</v>
      </c>
      <c r="I103" s="34"/>
      <c r="J103" s="34"/>
      <c r="K103" s="34"/>
      <c r="L103" s="34"/>
      <c r="M103" s="34"/>
      <c r="P103">
        <v>102</v>
      </c>
    </row>
    <row r="104" spans="1:16" ht="16.5">
      <c r="A104" s="353"/>
      <c r="B104" s="35" t="s">
        <v>483</v>
      </c>
      <c r="C104" s="35"/>
      <c r="D104" s="35"/>
      <c r="E104" s="83"/>
      <c r="F104" s="35"/>
      <c r="G104" s="35"/>
      <c r="H104" s="72" t="s">
        <v>282</v>
      </c>
      <c r="I104" s="35"/>
      <c r="J104" s="35"/>
      <c r="K104" s="35"/>
      <c r="L104" s="35"/>
      <c r="M104" s="35"/>
      <c r="P104">
        <v>103</v>
      </c>
    </row>
    <row r="105" spans="1:16" ht="16.5">
      <c r="A105" s="353"/>
      <c r="B105" t="s">
        <v>483</v>
      </c>
      <c r="F105" s="34"/>
      <c r="G105" s="34"/>
      <c r="H105" s="72" t="s">
        <v>282</v>
      </c>
      <c r="I105" s="34"/>
      <c r="J105" s="34"/>
      <c r="K105" s="34"/>
      <c r="L105" s="34"/>
      <c r="M105" s="34"/>
      <c r="P105">
        <v>104</v>
      </c>
    </row>
    <row r="106" spans="1:16" ht="16.5">
      <c r="A106" s="353"/>
      <c r="B106" s="35" t="s">
        <v>483</v>
      </c>
      <c r="C106" s="35"/>
      <c r="D106" s="35"/>
      <c r="E106" s="83"/>
      <c r="F106" s="35"/>
      <c r="G106" s="35"/>
      <c r="H106" s="72" t="s">
        <v>282</v>
      </c>
      <c r="I106" s="35"/>
      <c r="J106" s="35"/>
      <c r="K106" s="35"/>
      <c r="L106" s="35"/>
      <c r="M106" s="35"/>
      <c r="P106">
        <v>105</v>
      </c>
    </row>
    <row r="107" spans="1:16" ht="16.5">
      <c r="A107" s="353"/>
      <c r="B107" t="s">
        <v>483</v>
      </c>
      <c r="F107" s="34"/>
      <c r="G107" s="34"/>
      <c r="H107" s="72" t="s">
        <v>282</v>
      </c>
      <c r="I107" s="34"/>
      <c r="J107" s="34"/>
      <c r="K107" s="34"/>
      <c r="L107" s="34"/>
      <c r="M107" s="34"/>
      <c r="P107">
        <v>106</v>
      </c>
    </row>
    <row r="108" spans="1:16" ht="16.5">
      <c r="A108" s="353"/>
      <c r="B108" s="35" t="s">
        <v>483</v>
      </c>
      <c r="C108" s="35"/>
      <c r="D108" s="35"/>
      <c r="E108" s="83"/>
      <c r="F108" s="26"/>
      <c r="G108" s="35"/>
      <c r="H108" s="72" t="s">
        <v>282</v>
      </c>
      <c r="I108" s="35"/>
      <c r="J108" s="35"/>
      <c r="K108" s="35"/>
      <c r="L108" s="217"/>
      <c r="M108" s="229"/>
      <c r="P108">
        <v>107</v>
      </c>
    </row>
    <row r="109" spans="1:16" ht="16.5">
      <c r="A109" s="353"/>
      <c r="B109" s="41" t="s">
        <v>483</v>
      </c>
      <c r="C109" s="40"/>
      <c r="D109" s="44"/>
      <c r="F109" s="45"/>
      <c r="G109" s="34"/>
      <c r="H109" s="72" t="s">
        <v>282</v>
      </c>
      <c r="I109" s="74"/>
      <c r="J109" s="34"/>
      <c r="K109" s="34"/>
      <c r="L109" s="218"/>
      <c r="M109" s="218"/>
      <c r="P109">
        <v>108</v>
      </c>
    </row>
    <row r="110" spans="1:16" ht="115.5">
      <c r="A110" s="353" t="s">
        <v>509</v>
      </c>
      <c r="B110" s="47" t="s">
        <v>510</v>
      </c>
      <c r="C110" s="227" t="s">
        <v>511</v>
      </c>
      <c r="D110" s="76" t="s">
        <v>512</v>
      </c>
      <c r="E110" s="83" t="s">
        <v>150</v>
      </c>
      <c r="F110" s="230" t="s">
        <v>513</v>
      </c>
      <c r="G110" s="98" t="s">
        <v>514</v>
      </c>
      <c r="H110" s="72" t="s">
        <v>21</v>
      </c>
      <c r="I110" s="227" t="s">
        <v>515</v>
      </c>
      <c r="J110" s="229" t="s">
        <v>516</v>
      </c>
      <c r="K110" s="217" t="s">
        <v>517</v>
      </c>
      <c r="L110" s="219"/>
      <c r="M110" s="98"/>
      <c r="P110">
        <v>109</v>
      </c>
    </row>
    <row r="111" spans="1:16" ht="16.5">
      <c r="A111" s="353"/>
      <c r="B111" s="41" t="s">
        <v>518</v>
      </c>
      <c r="C111" t="s">
        <v>519</v>
      </c>
      <c r="D111" s="44">
        <v>45886</v>
      </c>
      <c r="E111" s="33" t="s">
        <v>150</v>
      </c>
      <c r="F111" s="223" t="s">
        <v>520</v>
      </c>
      <c r="G111" s="228" t="s">
        <v>521</v>
      </c>
      <c r="H111" s="72" t="s">
        <v>21</v>
      </c>
      <c r="I111" s="228" t="s">
        <v>522</v>
      </c>
      <c r="J111" s="218"/>
      <c r="K111" s="218" t="s">
        <v>523</v>
      </c>
      <c r="L111" s="220"/>
      <c r="M111" s="228"/>
      <c r="P111">
        <v>110</v>
      </c>
    </row>
    <row r="112" spans="1:16" ht="57.75">
      <c r="A112" s="353"/>
      <c r="B112" s="47" t="s">
        <v>524</v>
      </c>
      <c r="C112" s="35" t="s">
        <v>525</v>
      </c>
      <c r="D112" s="35" t="s">
        <v>526</v>
      </c>
      <c r="E112" s="83" t="s">
        <v>150</v>
      </c>
      <c r="F112" s="222" t="s">
        <v>527</v>
      </c>
      <c r="G112" s="227" t="s">
        <v>528</v>
      </c>
      <c r="H112" s="72" t="s">
        <v>370</v>
      </c>
      <c r="I112" s="217"/>
      <c r="J112" s="98" t="s">
        <v>529</v>
      </c>
      <c r="K112" s="219" t="s">
        <v>530</v>
      </c>
      <c r="L112" s="259"/>
      <c r="P112">
        <v>111</v>
      </c>
    </row>
    <row r="113" spans="1:16" ht="101.25">
      <c r="A113" s="353"/>
      <c r="B113" s="41" t="s">
        <v>531</v>
      </c>
      <c r="C113" t="s">
        <v>532</v>
      </c>
      <c r="D113" t="s">
        <v>533</v>
      </c>
      <c r="E113" s="33" t="s">
        <v>150</v>
      </c>
      <c r="F113" s="223" t="s">
        <v>534</v>
      </c>
      <c r="G113" s="226" t="s">
        <v>535</v>
      </c>
      <c r="H113" s="72" t="s">
        <v>21</v>
      </c>
      <c r="I113" s="226" t="s">
        <v>536</v>
      </c>
      <c r="J113" s="228" t="s">
        <v>537</v>
      </c>
      <c r="K113" s="220" t="s">
        <v>538</v>
      </c>
      <c r="L113" s="156"/>
      <c r="M113" s="224"/>
      <c r="P113">
        <v>112</v>
      </c>
    </row>
    <row r="114" spans="1:16" ht="16.5">
      <c r="A114" s="353"/>
      <c r="B114" s="41" t="s">
        <v>539</v>
      </c>
      <c r="C114" s="35" t="s">
        <v>540</v>
      </c>
      <c r="D114" s="76">
        <v>45988</v>
      </c>
      <c r="E114" s="83" t="s">
        <v>150</v>
      </c>
      <c r="F114" s="222" t="s">
        <v>541</v>
      </c>
      <c r="G114" t="s">
        <v>542</v>
      </c>
      <c r="H114" s="72" t="s">
        <v>21</v>
      </c>
      <c r="I114" s="227" t="s">
        <v>543</v>
      </c>
      <c r="J114" s="221" t="s">
        <v>544</v>
      </c>
      <c r="K114" s="225" t="s">
        <v>545</v>
      </c>
      <c r="L114" s="35"/>
      <c r="M114" s="35"/>
      <c r="P114">
        <v>113</v>
      </c>
    </row>
    <row r="115" spans="1:16" ht="152.25">
      <c r="A115" s="353"/>
      <c r="B115" s="206" t="s">
        <v>546</v>
      </c>
      <c r="C115" t="s">
        <v>547</v>
      </c>
      <c r="D115" s="44">
        <v>46006</v>
      </c>
      <c r="E115" s="33" t="s">
        <v>150</v>
      </c>
      <c r="F115" s="45" t="s">
        <v>548</v>
      </c>
      <c r="G115" s="156" t="s">
        <v>549</v>
      </c>
      <c r="H115" s="72" t="s">
        <v>21</v>
      </c>
      <c r="I115" s="224" t="s">
        <v>550</v>
      </c>
      <c r="J115" s="224" t="s">
        <v>551</v>
      </c>
      <c r="K115" s="156" t="s">
        <v>552</v>
      </c>
      <c r="L115" s="260"/>
      <c r="P115">
        <v>114</v>
      </c>
    </row>
    <row r="116" spans="1:16" ht="16.5">
      <c r="A116" s="353"/>
      <c r="B116" s="47" t="s">
        <v>539</v>
      </c>
      <c r="C116" s="35" t="s">
        <v>540</v>
      </c>
      <c r="D116" s="35"/>
      <c r="E116" s="83"/>
      <c r="F116" s="26"/>
      <c r="G116" s="35"/>
      <c r="H116" s="72" t="s">
        <v>282</v>
      </c>
      <c r="I116" s="35" t="s">
        <v>553</v>
      </c>
      <c r="J116" s="35"/>
      <c r="K116" s="35"/>
      <c r="L116" s="35"/>
      <c r="M116" s="35"/>
      <c r="P116">
        <v>115</v>
      </c>
    </row>
    <row r="117" spans="1:16" ht="16.5">
      <c r="A117" s="353"/>
      <c r="B117" s="41" t="s">
        <v>554</v>
      </c>
      <c r="C117" t="s">
        <v>555</v>
      </c>
      <c r="D117" t="s">
        <v>556</v>
      </c>
      <c r="E117" s="33" t="s">
        <v>150</v>
      </c>
      <c r="F117" s="45" t="s">
        <v>557</v>
      </c>
      <c r="G117" s="231" t="s">
        <v>558</v>
      </c>
      <c r="H117" s="72" t="s">
        <v>21</v>
      </c>
      <c r="I117" s="224" t="s">
        <v>559</v>
      </c>
      <c r="J117" t="s">
        <v>560</v>
      </c>
      <c r="K117" s="224" t="s">
        <v>561</v>
      </c>
      <c r="L117" s="34"/>
      <c r="M117" s="34"/>
      <c r="P117">
        <v>116</v>
      </c>
    </row>
    <row r="118" spans="1:16" ht="15.75">
      <c r="A118" s="353"/>
      <c r="B118" s="47" t="s">
        <v>562</v>
      </c>
      <c r="C118" s="225" t="s">
        <v>563</v>
      </c>
      <c r="D118" s="35" t="s">
        <v>564</v>
      </c>
      <c r="E118" s="83" t="s">
        <v>150</v>
      </c>
      <c r="F118" s="41" t="s">
        <v>565</v>
      </c>
      <c r="G118" s="35"/>
      <c r="H118" s="72"/>
      <c r="I118" s="35"/>
      <c r="J118" s="35"/>
      <c r="K118" s="35"/>
      <c r="L118" s="35"/>
      <c r="M118" s="35"/>
      <c r="P118">
        <v>117</v>
      </c>
    </row>
    <row r="119" spans="1:16" ht="16.5">
      <c r="A119" s="353"/>
      <c r="B119" t="s">
        <v>483</v>
      </c>
      <c r="F119" s="26"/>
      <c r="G119" s="34"/>
      <c r="H119" s="72" t="s">
        <v>282</v>
      </c>
      <c r="I119" s="34"/>
      <c r="J119" s="34"/>
      <c r="K119" s="34"/>
      <c r="L119" s="34"/>
      <c r="M119" s="34"/>
      <c r="P119">
        <v>118</v>
      </c>
    </row>
    <row r="120" spans="1:16" ht="28.5">
      <c r="A120" s="353"/>
      <c r="B120" s="47" t="s">
        <v>566</v>
      </c>
      <c r="C120" s="42" t="s">
        <v>567</v>
      </c>
      <c r="D120" s="76">
        <v>45924</v>
      </c>
      <c r="E120" s="83" t="s">
        <v>135</v>
      </c>
      <c r="F120" s="47" t="s">
        <v>568</v>
      </c>
      <c r="G120" s="35"/>
      <c r="H120" s="75" t="s">
        <v>282</v>
      </c>
      <c r="I120" s="35" t="s">
        <v>569</v>
      </c>
      <c r="J120" s="35"/>
      <c r="K120" s="35"/>
      <c r="L120" s="35"/>
      <c r="M120" s="35"/>
      <c r="P120">
        <v>119</v>
      </c>
    </row>
    <row r="121" spans="1:16" ht="45.75">
      <c r="A121" s="353"/>
      <c r="B121" t="s">
        <v>570</v>
      </c>
      <c r="C121" s="40" t="s">
        <v>571</v>
      </c>
      <c r="F121" s="27"/>
      <c r="G121" s="34"/>
      <c r="H121" s="75" t="s">
        <v>21</v>
      </c>
      <c r="I121" s="34"/>
      <c r="J121" s="34"/>
      <c r="K121" s="34"/>
      <c r="L121" s="34"/>
      <c r="M121" s="34"/>
      <c r="P121">
        <v>120</v>
      </c>
    </row>
    <row r="122" spans="1:16" ht="16.5">
      <c r="A122" s="353" t="s">
        <v>572</v>
      </c>
      <c r="B122" s="35" t="s">
        <v>483</v>
      </c>
      <c r="C122" s="35"/>
      <c r="D122" s="35"/>
      <c r="E122" s="83"/>
      <c r="F122" s="35"/>
      <c r="G122" s="35"/>
      <c r="H122" s="72" t="s">
        <v>282</v>
      </c>
      <c r="I122" s="35" t="s">
        <v>370</v>
      </c>
      <c r="J122" s="35"/>
      <c r="K122" s="35"/>
      <c r="L122" s="33"/>
      <c r="M122" s="33"/>
      <c r="N122" s="33"/>
      <c r="P122">
        <v>121</v>
      </c>
    </row>
    <row r="123" spans="1:16" ht="16.5">
      <c r="A123" s="353"/>
      <c r="B123" t="s">
        <v>483</v>
      </c>
      <c r="F123" s="34"/>
      <c r="G123" s="34"/>
      <c r="H123" s="72" t="s">
        <v>282</v>
      </c>
      <c r="I123" s="34" t="s">
        <v>370</v>
      </c>
      <c r="J123" s="34"/>
      <c r="K123" s="34"/>
      <c r="L123" s="33"/>
      <c r="M123" s="33"/>
      <c r="N123" s="33"/>
      <c r="P123">
        <v>122</v>
      </c>
    </row>
    <row r="124" spans="1:16" ht="16.5">
      <c r="A124" s="353"/>
      <c r="B124" s="35" t="s">
        <v>483</v>
      </c>
      <c r="C124" s="35"/>
      <c r="D124" s="35"/>
      <c r="E124" s="83"/>
      <c r="F124" s="35"/>
      <c r="G124" s="35"/>
      <c r="H124" s="72" t="s">
        <v>282</v>
      </c>
      <c r="I124" s="35" t="s">
        <v>370</v>
      </c>
      <c r="J124" s="35"/>
      <c r="K124" s="35"/>
      <c r="L124" s="33"/>
      <c r="M124" s="33"/>
      <c r="N124" s="33"/>
      <c r="P124">
        <v>123</v>
      </c>
    </row>
    <row r="125" spans="1:16" ht="16.5">
      <c r="A125" s="353"/>
      <c r="B125" t="s">
        <v>483</v>
      </c>
      <c r="F125" s="34"/>
      <c r="G125" s="34"/>
      <c r="H125" s="72" t="s">
        <v>282</v>
      </c>
      <c r="I125" s="34" t="s">
        <v>370</v>
      </c>
      <c r="J125" s="34"/>
      <c r="K125" s="34"/>
      <c r="L125" s="33"/>
      <c r="M125" s="33"/>
      <c r="N125" s="33"/>
      <c r="P125">
        <v>124</v>
      </c>
    </row>
    <row r="126" spans="1:16" ht="16.5">
      <c r="A126" s="353"/>
      <c r="B126" s="35" t="s">
        <v>483</v>
      </c>
      <c r="C126" s="35"/>
      <c r="D126" s="35"/>
      <c r="E126" s="83"/>
      <c r="F126" s="35"/>
      <c r="G126" s="35"/>
      <c r="H126" s="72" t="s">
        <v>282</v>
      </c>
      <c r="I126" s="35" t="s">
        <v>370</v>
      </c>
      <c r="J126" s="35"/>
      <c r="K126" s="35"/>
      <c r="L126" s="33"/>
      <c r="M126" s="33"/>
      <c r="N126" s="33"/>
      <c r="P126">
        <v>125</v>
      </c>
    </row>
    <row r="127" spans="1:16" ht="16.5">
      <c r="A127" s="353"/>
      <c r="B127" t="s">
        <v>483</v>
      </c>
      <c r="F127" s="34"/>
      <c r="G127" s="34"/>
      <c r="H127" s="72" t="s">
        <v>282</v>
      </c>
      <c r="I127" s="34" t="s">
        <v>370</v>
      </c>
      <c r="J127" s="34"/>
      <c r="K127" s="34"/>
      <c r="L127" s="33"/>
      <c r="M127" s="33"/>
      <c r="N127" s="33"/>
      <c r="P127">
        <v>126</v>
      </c>
    </row>
    <row r="128" spans="1:16" ht="15.75">
      <c r="A128" s="353"/>
      <c r="B128" s="35" t="s">
        <v>573</v>
      </c>
      <c r="C128" s="35" t="s">
        <v>574</v>
      </c>
      <c r="D128" s="300" t="s">
        <v>575</v>
      </c>
      <c r="E128" s="83" t="s">
        <v>64</v>
      </c>
      <c r="F128" s="47" t="s">
        <v>576</v>
      </c>
      <c r="G128" s="35" t="s">
        <v>577</v>
      </c>
      <c r="H128" s="75" t="s">
        <v>21</v>
      </c>
      <c r="I128" s="35" t="s">
        <v>578</v>
      </c>
      <c r="J128" s="35" t="s">
        <v>579</v>
      </c>
      <c r="K128" s="35" t="s">
        <v>580</v>
      </c>
      <c r="L128" s="33" t="s">
        <v>581</v>
      </c>
      <c r="M128" s="33" t="s">
        <v>582</v>
      </c>
      <c r="N128" s="33" t="s">
        <v>583</v>
      </c>
      <c r="O128" t="s">
        <v>584</v>
      </c>
      <c r="P128">
        <v>127</v>
      </c>
    </row>
    <row r="129" spans="1:16" ht="30.75">
      <c r="A129" s="353"/>
      <c r="B129" t="s">
        <v>585</v>
      </c>
      <c r="C129" s="40" t="s">
        <v>586</v>
      </c>
      <c r="D129" s="107">
        <v>37967</v>
      </c>
      <c r="F129" s="34"/>
      <c r="G129" s="34"/>
      <c r="H129" s="72" t="s">
        <v>282</v>
      </c>
      <c r="I129" s="34" t="s">
        <v>587</v>
      </c>
      <c r="J129" s="34"/>
      <c r="K129" s="34"/>
      <c r="L129" s="33"/>
      <c r="M129" s="33"/>
      <c r="N129" s="33"/>
      <c r="P129">
        <v>128</v>
      </c>
    </row>
    <row r="130" spans="1:16" ht="43.5">
      <c r="A130" s="353"/>
      <c r="B130" s="35" t="s">
        <v>483</v>
      </c>
      <c r="C130" s="42" t="s">
        <v>588</v>
      </c>
      <c r="D130" s="35"/>
      <c r="E130" s="83"/>
      <c r="F130" s="35"/>
      <c r="G130" s="35"/>
      <c r="H130" s="72" t="s">
        <v>282</v>
      </c>
      <c r="I130" s="35" t="s">
        <v>587</v>
      </c>
      <c r="J130" s="35"/>
      <c r="K130" s="35"/>
      <c r="L130" s="33"/>
      <c r="M130" s="33"/>
      <c r="N130" s="33"/>
      <c r="P130">
        <v>129</v>
      </c>
    </row>
    <row r="131" spans="1:16" ht="30.75">
      <c r="A131" s="353"/>
      <c r="B131" s="41" t="s">
        <v>589</v>
      </c>
      <c r="C131" s="40" t="s">
        <v>590</v>
      </c>
      <c r="D131" s="44">
        <v>45088</v>
      </c>
      <c r="E131" s="33" t="s">
        <v>135</v>
      </c>
      <c r="F131" s="45" t="s">
        <v>591</v>
      </c>
      <c r="G131" s="34"/>
      <c r="H131" s="75" t="s">
        <v>153</v>
      </c>
      <c r="I131" s="34"/>
      <c r="J131" s="34"/>
      <c r="K131" s="34"/>
      <c r="L131" s="33"/>
      <c r="M131" s="33"/>
      <c r="N131" s="33" t="s">
        <v>592</v>
      </c>
      <c r="O131" t="s">
        <v>593</v>
      </c>
      <c r="P131">
        <v>130</v>
      </c>
    </row>
    <row r="132" spans="1:16" ht="32.25">
      <c r="A132" s="353"/>
      <c r="B132" s="35" t="s">
        <v>594</v>
      </c>
      <c r="C132" s="72" t="s">
        <v>595</v>
      </c>
      <c r="D132" s="35" t="s">
        <v>596</v>
      </c>
      <c r="E132" s="83" t="s">
        <v>64</v>
      </c>
      <c r="F132" s="35"/>
      <c r="G132" s="35"/>
      <c r="H132" s="72" t="s">
        <v>282</v>
      </c>
      <c r="I132" s="35" t="s">
        <v>597</v>
      </c>
      <c r="J132" s="35"/>
      <c r="K132" s="35"/>
      <c r="L132" s="33"/>
      <c r="M132" s="33"/>
      <c r="N132" s="33"/>
      <c r="P132">
        <v>131</v>
      </c>
    </row>
    <row r="133" spans="1:16" ht="15.75">
      <c r="A133" s="353"/>
      <c r="B133" t="s">
        <v>598</v>
      </c>
      <c r="C133" s="40" t="s">
        <v>599</v>
      </c>
      <c r="D133" s="302">
        <v>45866</v>
      </c>
      <c r="E133" s="33" t="s">
        <v>600</v>
      </c>
      <c r="F133" s="45" t="s">
        <v>601</v>
      </c>
      <c r="G133" s="34" t="s">
        <v>602</v>
      </c>
      <c r="H133" s="75" t="s">
        <v>153</v>
      </c>
      <c r="I133" s="34" t="s">
        <v>603</v>
      </c>
      <c r="J133" s="34" t="s">
        <v>604</v>
      </c>
      <c r="K133" s="34" t="s">
        <v>605</v>
      </c>
      <c r="L133" s="33" t="s">
        <v>606</v>
      </c>
      <c r="M133" s="33" t="s">
        <v>607</v>
      </c>
      <c r="N133" s="33" t="s">
        <v>608</v>
      </c>
      <c r="O133" s="24" t="s">
        <v>609</v>
      </c>
      <c r="P133">
        <v>132</v>
      </c>
    </row>
    <row r="134" spans="1:16" ht="43.5">
      <c r="A134" s="353" t="s">
        <v>572</v>
      </c>
      <c r="B134" s="35" t="s">
        <v>610</v>
      </c>
      <c r="C134" s="42" t="s">
        <v>611</v>
      </c>
      <c r="D134" s="92">
        <v>44287</v>
      </c>
      <c r="E134" s="83" t="s">
        <v>64</v>
      </c>
      <c r="F134" s="47" t="s">
        <v>612</v>
      </c>
      <c r="G134" s="35"/>
      <c r="H134" s="75" t="s">
        <v>153</v>
      </c>
      <c r="I134" s="35"/>
      <c r="J134" s="35"/>
      <c r="K134" s="35"/>
      <c r="L134" s="33"/>
      <c r="M134" s="33"/>
      <c r="N134" s="33" t="s">
        <v>613</v>
      </c>
      <c r="O134" t="s">
        <v>614</v>
      </c>
      <c r="P134">
        <v>133</v>
      </c>
    </row>
    <row r="135" spans="1:16" ht="30.75">
      <c r="A135" s="353"/>
      <c r="B135" s="41" t="s">
        <v>615</v>
      </c>
      <c r="C135" s="40" t="s">
        <v>616</v>
      </c>
      <c r="D135" s="44">
        <v>45800</v>
      </c>
      <c r="E135" s="33" t="s">
        <v>135</v>
      </c>
      <c r="F135" s="45" t="s">
        <v>617</v>
      </c>
      <c r="G135" s="34"/>
      <c r="H135" s="75" t="s">
        <v>153</v>
      </c>
      <c r="I135" s="34"/>
      <c r="J135" s="34"/>
      <c r="K135" s="34"/>
      <c r="L135" s="33"/>
      <c r="M135" s="33"/>
      <c r="N135" s="33" t="s">
        <v>618</v>
      </c>
      <c r="O135" t="s">
        <v>593</v>
      </c>
      <c r="P135">
        <v>134</v>
      </c>
    </row>
    <row r="136" spans="1:16" ht="16.5">
      <c r="A136" s="353"/>
      <c r="B136" s="35" t="s">
        <v>619</v>
      </c>
      <c r="C136" s="35" t="s">
        <v>620</v>
      </c>
      <c r="D136" s="107">
        <v>40148</v>
      </c>
      <c r="E136" s="83" t="s">
        <v>621</v>
      </c>
      <c r="F136" s="47" t="s">
        <v>622</v>
      </c>
      <c r="G136" s="35"/>
      <c r="H136" s="72" t="s">
        <v>282</v>
      </c>
      <c r="I136" s="35" t="s">
        <v>587</v>
      </c>
      <c r="J136" s="35"/>
      <c r="K136" s="35"/>
      <c r="L136" s="33"/>
      <c r="M136" s="33"/>
      <c r="N136" s="33"/>
      <c r="P136">
        <v>135</v>
      </c>
    </row>
    <row r="137" spans="1:16" ht="16.5">
      <c r="A137" s="353"/>
      <c r="B137" t="s">
        <v>483</v>
      </c>
      <c r="F137" s="34"/>
      <c r="G137" s="34"/>
      <c r="H137" s="72" t="s">
        <v>282</v>
      </c>
      <c r="I137" s="34"/>
      <c r="J137" s="34"/>
      <c r="K137" s="34"/>
      <c r="L137" s="33"/>
      <c r="M137" s="33"/>
      <c r="N137" s="33"/>
      <c r="P137">
        <v>136</v>
      </c>
    </row>
    <row r="138" spans="1:16">
      <c r="A138" s="353"/>
      <c r="B138" s="35"/>
      <c r="C138" s="35"/>
      <c r="D138" s="35"/>
      <c r="E138" s="83"/>
      <c r="F138" s="26"/>
      <c r="G138" s="35"/>
      <c r="H138" s="35"/>
      <c r="I138" s="35"/>
      <c r="J138" s="35"/>
      <c r="K138" s="35"/>
      <c r="L138" s="35"/>
      <c r="M138" s="35"/>
      <c r="P138">
        <v>137</v>
      </c>
    </row>
    <row r="139" spans="1:16">
      <c r="A139" s="353"/>
      <c r="F139" s="27"/>
      <c r="G139" s="34"/>
      <c r="H139" s="34"/>
      <c r="I139" s="34"/>
      <c r="J139" s="34"/>
      <c r="K139" s="34"/>
      <c r="P139">
        <v>138</v>
      </c>
    </row>
    <row r="140" spans="1:16">
      <c r="A140" s="353"/>
      <c r="B140" s="35"/>
      <c r="C140" s="35"/>
      <c r="D140" s="35"/>
      <c r="E140" s="83"/>
      <c r="F140" s="26"/>
      <c r="G140" s="35"/>
      <c r="H140" s="35"/>
      <c r="I140" s="35"/>
      <c r="J140" s="35"/>
      <c r="K140" s="35"/>
      <c r="P140">
        <v>139</v>
      </c>
    </row>
    <row r="141" spans="1:16">
      <c r="A141" s="353"/>
      <c r="D141" s="34"/>
      <c r="E141" s="91"/>
      <c r="F141" s="27"/>
      <c r="G141" s="28"/>
      <c r="P141">
        <v>140</v>
      </c>
    </row>
    <row r="142" spans="1:16">
      <c r="A142" s="353"/>
      <c r="P142">
        <v>141</v>
      </c>
    </row>
    <row r="143" spans="1:16">
      <c r="A143" s="353"/>
      <c r="P143">
        <v>142</v>
      </c>
    </row>
    <row r="144" spans="1:16">
      <c r="A144" s="353"/>
      <c r="P144">
        <v>143</v>
      </c>
    </row>
    <row r="145" spans="1:16">
      <c r="A145" s="353"/>
      <c r="P145">
        <v>144</v>
      </c>
    </row>
    <row r="152" spans="1:16">
      <c r="B152" s="2" t="str">
        <f>IF(C152="","","PID-"&amp;TEXT(ROW()-2,"0000"))</f>
        <v/>
      </c>
      <c r="D152" s="2"/>
      <c r="F152" s="2"/>
      <c r="G152" s="2"/>
    </row>
    <row r="153" spans="1:16">
      <c r="B153" s="2" t="str">
        <f>IF(C153="","","PID-"&amp;TEXT(ROW()-2,"0000"))</f>
        <v/>
      </c>
      <c r="D153" s="2"/>
      <c r="F153" s="2"/>
      <c r="G153" s="2"/>
    </row>
    <row r="154" spans="1:16">
      <c r="B154" s="2" t="str">
        <f>IF(C154="","","PID-"&amp;TEXT(ROW()-2,"0000"))</f>
        <v/>
      </c>
      <c r="D154" s="2"/>
      <c r="F154" s="2"/>
      <c r="G154" s="2"/>
    </row>
    <row r="155" spans="1:16">
      <c r="B155" s="2" t="str">
        <f>IF(C155="","","PID-"&amp;TEXT(ROW()-2,"0000"))</f>
        <v/>
      </c>
      <c r="D155" s="2"/>
      <c r="F155" s="2"/>
      <c r="G155" s="2"/>
    </row>
    <row r="156" spans="1:16">
      <c r="B156" s="2" t="str">
        <f>IF(C156="","","PID-"&amp;TEXT(ROW()-2,"0000"))</f>
        <v/>
      </c>
      <c r="D156" s="2"/>
      <c r="F156" s="2"/>
      <c r="G156" s="2"/>
    </row>
    <row r="157" spans="1:16">
      <c r="B157" s="2" t="str">
        <f>IF(C157="","","PID-"&amp;TEXT(ROW()-2,"0000"))</f>
        <v/>
      </c>
      <c r="D157" s="2"/>
      <c r="F157" s="2"/>
      <c r="G157" s="2"/>
    </row>
    <row r="158" spans="1:16">
      <c r="B158" s="2" t="str">
        <f>IF(C158="","","PID-"&amp;TEXT(ROW()-2,"0000"))</f>
        <v/>
      </c>
      <c r="C158" s="25"/>
      <c r="D158" s="2"/>
      <c r="F158" s="2"/>
      <c r="G158" s="2"/>
    </row>
    <row r="159" spans="1:16">
      <c r="B159" s="2" t="str">
        <f>IF(C159="","","PID-"&amp;TEXT(ROW()-2,"0000"))</f>
        <v/>
      </c>
      <c r="C159" s="25"/>
      <c r="D159" s="2"/>
      <c r="E159" s="17"/>
      <c r="F159" s="2"/>
      <c r="G159" s="2"/>
    </row>
    <row r="160" spans="1:16">
      <c r="B160" s="2" t="str">
        <f>IF(C160="","","PID-"&amp;TEXT(ROW()-2,"0000"))</f>
        <v/>
      </c>
      <c r="C160" s="25"/>
      <c r="D160" s="2"/>
      <c r="E160" s="17"/>
      <c r="F160" s="2"/>
      <c r="G160" s="2"/>
    </row>
    <row r="161" spans="2:7">
      <c r="B161" s="2" t="str">
        <f>IF(C161="","","PID-"&amp;TEXT(ROW()-2,"0000"))</f>
        <v/>
      </c>
      <c r="C161" s="25"/>
      <c r="D161" s="2"/>
      <c r="E161" s="17"/>
      <c r="F161" s="2"/>
      <c r="G161" s="2"/>
    </row>
    <row r="162" spans="2:7">
      <c r="B162" s="2" t="str">
        <f>IF(C162="","","PID-"&amp;TEXT(ROW()-2,"0000"))</f>
        <v/>
      </c>
      <c r="C162" s="25"/>
      <c r="D162" s="2"/>
      <c r="E162" s="17"/>
      <c r="F162" s="2"/>
      <c r="G162" s="2"/>
    </row>
    <row r="163" spans="2:7">
      <c r="B163" s="2" t="str">
        <f>IF(C163="","","PID-"&amp;TEXT(ROW()-2,"0000"))</f>
        <v/>
      </c>
      <c r="C163" s="25"/>
      <c r="D163" s="2"/>
      <c r="E163" s="17"/>
      <c r="F163" s="2"/>
      <c r="G163" s="2"/>
    </row>
    <row r="164" spans="2:7">
      <c r="B164" s="2" t="str">
        <f>IF(C164="","","PID-"&amp;TEXT(ROW()-2,"0000"))</f>
        <v/>
      </c>
      <c r="C164" s="25"/>
      <c r="D164" s="2"/>
      <c r="E164" s="17"/>
      <c r="F164" s="2"/>
      <c r="G164" s="2"/>
    </row>
    <row r="165" spans="2:7">
      <c r="B165" s="2" t="str">
        <f>IF(C165="","","PID-"&amp;TEXT(ROW()-2,"0000"))</f>
        <v/>
      </c>
      <c r="C165" s="25"/>
      <c r="D165" s="2"/>
      <c r="E165" s="17"/>
      <c r="F165" s="2"/>
      <c r="G165" s="2"/>
    </row>
    <row r="166" spans="2:7">
      <c r="B166" s="2" t="str">
        <f>IF(C166="","","PID-"&amp;TEXT(ROW()-2,"0000"))</f>
        <v/>
      </c>
      <c r="C166" s="25"/>
      <c r="D166" s="2"/>
      <c r="E166" s="17"/>
      <c r="F166" s="2"/>
      <c r="G166" s="2"/>
    </row>
    <row r="167" spans="2:7">
      <c r="B167" s="2" t="str">
        <f>IF(C167="","","PID-"&amp;TEXT(ROW()-2,"0000"))</f>
        <v/>
      </c>
      <c r="C167" s="25"/>
      <c r="D167" s="2"/>
      <c r="E167" s="17"/>
      <c r="F167" s="2"/>
      <c r="G167" s="2"/>
    </row>
    <row r="168" spans="2:7">
      <c r="B168" s="2" t="str">
        <f>IF(C168="","","PID-"&amp;TEXT(ROW()-2,"0000"))</f>
        <v/>
      </c>
      <c r="C168" s="25"/>
      <c r="D168" s="2"/>
      <c r="E168" s="17"/>
      <c r="F168" s="2"/>
      <c r="G168" s="2"/>
    </row>
    <row r="169" spans="2:7">
      <c r="B169" s="2" t="str">
        <f>IF(C169="","","PID-"&amp;TEXT(ROW()-2,"0000"))</f>
        <v/>
      </c>
      <c r="C169" s="25"/>
      <c r="D169" s="2"/>
      <c r="E169" s="17"/>
      <c r="F169" s="2"/>
      <c r="G169" s="2"/>
    </row>
    <row r="170" spans="2:7">
      <c r="B170" s="2" t="str">
        <f>IF(C170="","","PID-"&amp;TEXT(ROW()-2,"0000"))</f>
        <v/>
      </c>
      <c r="C170" s="25"/>
      <c r="D170" s="2"/>
      <c r="E170" s="17"/>
      <c r="F170" s="2"/>
      <c r="G170" s="2"/>
    </row>
    <row r="171" spans="2:7">
      <c r="B171" s="2" t="str">
        <f>IF(C171="","","PID-"&amp;TEXT(ROW()-2,"0000"))</f>
        <v/>
      </c>
      <c r="C171" s="25"/>
      <c r="D171" s="2"/>
      <c r="E171" s="17"/>
      <c r="F171" s="2"/>
      <c r="G171" s="2"/>
    </row>
    <row r="172" spans="2:7">
      <c r="B172" s="2" t="str">
        <f>IF(C172="","","PID-"&amp;TEXT(ROW()-2,"0000"))</f>
        <v/>
      </c>
      <c r="C172" s="25"/>
      <c r="D172" s="2"/>
      <c r="E172" s="17"/>
      <c r="F172" s="2"/>
      <c r="G172" s="2"/>
    </row>
    <row r="173" spans="2:7">
      <c r="B173" s="2" t="str">
        <f>IF(C173="","","PID-"&amp;TEXT(ROW()-2,"0000"))</f>
        <v/>
      </c>
      <c r="C173" s="25"/>
      <c r="D173" s="2"/>
      <c r="E173" s="17"/>
      <c r="F173" s="2"/>
      <c r="G173" s="2"/>
    </row>
    <row r="174" spans="2:7">
      <c r="B174" s="2" t="str">
        <f>IF(C174="","","PID-"&amp;TEXT(ROW()-2,"0000"))</f>
        <v/>
      </c>
      <c r="C174" s="25"/>
      <c r="D174" s="2"/>
      <c r="E174" s="17"/>
      <c r="F174" s="2"/>
      <c r="G174" s="2"/>
    </row>
    <row r="175" spans="2:7">
      <c r="B175" s="2" t="str">
        <f>IF(C175="","","PID-"&amp;TEXT(ROW()-2,"0000"))</f>
        <v/>
      </c>
      <c r="C175" s="25"/>
      <c r="D175" s="2"/>
      <c r="E175" s="17"/>
      <c r="F175" s="2"/>
      <c r="G175" s="2"/>
    </row>
    <row r="176" spans="2:7">
      <c r="B176" s="2" t="str">
        <f>IF(C176="","","PID-"&amp;TEXT(ROW()-2,"0000"))</f>
        <v/>
      </c>
      <c r="C176" s="25"/>
      <c r="D176" s="2"/>
      <c r="E176" s="17"/>
      <c r="F176" s="2"/>
      <c r="G176" s="2"/>
    </row>
    <row r="177" spans="2:7">
      <c r="B177" s="2" t="str">
        <f>IF(C177="","","PID-"&amp;TEXT(ROW()-2,"0000"))</f>
        <v/>
      </c>
      <c r="C177" s="25"/>
      <c r="D177" s="2"/>
      <c r="E177" s="17"/>
      <c r="F177" s="2"/>
      <c r="G177" s="2"/>
    </row>
    <row r="178" spans="2:7">
      <c r="B178" s="2" t="str">
        <f>IF(C178="","","PID-"&amp;TEXT(ROW()-2,"0000"))</f>
        <v/>
      </c>
      <c r="C178" s="25"/>
      <c r="D178" s="2"/>
      <c r="E178" s="17"/>
      <c r="F178" s="2"/>
      <c r="G178" s="2"/>
    </row>
    <row r="179" spans="2:7">
      <c r="B179" s="2" t="str">
        <f>IF(C179="","","PID-"&amp;TEXT(ROW()-2,"0000"))</f>
        <v/>
      </c>
      <c r="C179" s="25"/>
      <c r="D179" s="2"/>
      <c r="E179" s="17"/>
      <c r="F179" s="2"/>
      <c r="G179" s="2"/>
    </row>
    <row r="180" spans="2:7">
      <c r="B180" s="2" t="str">
        <f>IF(C180="","","PID-"&amp;TEXT(ROW()-2,"0000"))</f>
        <v/>
      </c>
      <c r="C180" s="25"/>
      <c r="D180" s="2"/>
      <c r="E180" s="17"/>
      <c r="F180" s="2"/>
      <c r="G180" s="2"/>
    </row>
    <row r="181" spans="2:7">
      <c r="B181" s="2" t="str">
        <f>IF(C181="","","PID-"&amp;TEXT(ROW()-2,"0000"))</f>
        <v/>
      </c>
      <c r="C181" s="25"/>
      <c r="D181" s="2"/>
      <c r="E181" s="17"/>
      <c r="F181" s="2"/>
      <c r="G181" s="2"/>
    </row>
    <row r="182" spans="2:7">
      <c r="B182" s="2" t="str">
        <f>IF(C182="","","PID-"&amp;TEXT(ROW()-2,"0000"))</f>
        <v/>
      </c>
      <c r="C182" s="25"/>
      <c r="D182" s="2"/>
      <c r="E182" s="17"/>
      <c r="F182" s="2"/>
      <c r="G182" s="2"/>
    </row>
    <row r="183" spans="2:7">
      <c r="B183" s="2" t="str">
        <f>IF(C183="","","PID-"&amp;TEXT(ROW()-2,"0000"))</f>
        <v/>
      </c>
      <c r="C183" s="25"/>
      <c r="D183" s="2"/>
      <c r="E183" s="17"/>
      <c r="F183" s="2"/>
      <c r="G183" s="2"/>
    </row>
    <row r="184" spans="2:7">
      <c r="B184" s="2" t="str">
        <f>IF(C184="","","PID-"&amp;TEXT(ROW()-2,"0000"))</f>
        <v/>
      </c>
      <c r="C184" s="25"/>
      <c r="D184" s="2"/>
      <c r="E184" s="17"/>
      <c r="F184" s="2"/>
      <c r="G184" s="2"/>
    </row>
    <row r="185" spans="2:7">
      <c r="B185" s="2" t="str">
        <f>IF(C185="","","PID-"&amp;TEXT(ROW()-2,"0000"))</f>
        <v/>
      </c>
      <c r="C185" s="25"/>
      <c r="D185" s="2"/>
      <c r="E185" s="17"/>
      <c r="F185" s="2"/>
      <c r="G185" s="2"/>
    </row>
    <row r="186" spans="2:7">
      <c r="B186" s="2" t="str">
        <f>IF(C186="","","PID-"&amp;TEXT(ROW()-2,"0000"))</f>
        <v/>
      </c>
      <c r="C186" s="25"/>
      <c r="D186" s="2"/>
      <c r="E186" s="17"/>
      <c r="F186" s="2"/>
      <c r="G186" s="2"/>
    </row>
    <row r="187" spans="2:7">
      <c r="B187" s="2" t="str">
        <f>IF(C187="","","PID-"&amp;TEXT(ROW()-2,"0000"))</f>
        <v/>
      </c>
      <c r="C187" s="25"/>
      <c r="D187" s="2"/>
      <c r="E187" s="17"/>
      <c r="F187" s="2"/>
      <c r="G187" s="2"/>
    </row>
    <row r="188" spans="2:7">
      <c r="B188" s="2" t="str">
        <f>IF(C188="","","PID-"&amp;TEXT(ROW()-2,"0000"))</f>
        <v/>
      </c>
      <c r="C188" s="25"/>
      <c r="D188" s="2"/>
      <c r="E188" s="17"/>
      <c r="F188" s="2"/>
      <c r="G188" s="2"/>
    </row>
    <row r="189" spans="2:7">
      <c r="B189" s="2" t="str">
        <f>IF(C189="","","PID-"&amp;TEXT(ROW()-2,"0000"))</f>
        <v/>
      </c>
      <c r="C189" s="25"/>
      <c r="D189" s="2"/>
      <c r="E189" s="17"/>
      <c r="F189" s="2"/>
      <c r="G189" s="2"/>
    </row>
    <row r="190" spans="2:7">
      <c r="B190" s="2" t="str">
        <f>IF(C190="","","PID-"&amp;TEXT(ROW()-2,"0000"))</f>
        <v/>
      </c>
      <c r="C190" s="25"/>
      <c r="D190" s="2"/>
      <c r="E190" s="17"/>
      <c r="F190" s="2"/>
      <c r="G190" s="2"/>
    </row>
    <row r="191" spans="2:7">
      <c r="B191" s="2" t="str">
        <f>IF(C191="","","PID-"&amp;TEXT(ROW()-2,"0000"))</f>
        <v/>
      </c>
      <c r="C191" s="25"/>
      <c r="D191" s="2"/>
      <c r="E191" s="17"/>
      <c r="F191" s="2"/>
      <c r="G191" s="2"/>
    </row>
    <row r="192" spans="2:7">
      <c r="B192" s="2" t="str">
        <f>IF(C192="","","PID-"&amp;TEXT(ROW()-2,"0000"))</f>
        <v/>
      </c>
      <c r="C192" s="25"/>
      <c r="D192" s="2"/>
      <c r="E192" s="17"/>
      <c r="F192" s="2"/>
      <c r="G192" s="2"/>
    </row>
    <row r="193" spans="2:7">
      <c r="B193" s="2" t="str">
        <f>IF(C193="","","PID-"&amp;TEXT(ROW()-2,"0000"))</f>
        <v/>
      </c>
      <c r="C193" s="25"/>
      <c r="D193" s="2"/>
      <c r="E193" s="17"/>
      <c r="F193" s="2"/>
      <c r="G193" s="2"/>
    </row>
    <row r="194" spans="2:7">
      <c r="B194" s="2" t="str">
        <f>IF(C194="","","PID-"&amp;TEXT(ROW()-2,"0000"))</f>
        <v/>
      </c>
      <c r="C194" s="25"/>
      <c r="D194" s="2"/>
      <c r="E194" s="17"/>
      <c r="F194" s="2"/>
      <c r="G194" s="2"/>
    </row>
    <row r="195" spans="2:7">
      <c r="B195" s="2" t="str">
        <f>IF(C195="","","PID-"&amp;TEXT(ROW()-2,"0000"))</f>
        <v/>
      </c>
      <c r="C195" s="25"/>
      <c r="D195" s="2"/>
      <c r="E195" s="17"/>
      <c r="F195" s="2"/>
      <c r="G195" s="2"/>
    </row>
    <row r="196" spans="2:7">
      <c r="B196" s="2" t="str">
        <f>IF(C196="","","PID-"&amp;TEXT(ROW()-2,"0000"))</f>
        <v/>
      </c>
      <c r="C196" s="25"/>
      <c r="D196" s="2"/>
      <c r="E196" s="17"/>
      <c r="F196" s="2"/>
      <c r="G196" s="2"/>
    </row>
    <row r="197" spans="2:7">
      <c r="B197" s="2" t="str">
        <f>IF(C197="","","PID-"&amp;TEXT(ROW()-2,"0000"))</f>
        <v/>
      </c>
      <c r="C197" s="25"/>
      <c r="D197" s="2"/>
      <c r="E197" s="17"/>
      <c r="F197" s="2"/>
      <c r="G197" s="2"/>
    </row>
    <row r="198" spans="2:7">
      <c r="B198" s="2" t="str">
        <f>IF(C198="","","PID-"&amp;TEXT(ROW()-2,"0000"))</f>
        <v/>
      </c>
      <c r="C198" s="25"/>
      <c r="D198" s="2"/>
      <c r="E198" s="17"/>
      <c r="F198" s="2"/>
      <c r="G198" s="2"/>
    </row>
    <row r="199" spans="2:7">
      <c r="B199" s="2" t="str">
        <f>IF(C199="","","PID-"&amp;TEXT(ROW()-2,"0000"))</f>
        <v/>
      </c>
      <c r="C199" s="25"/>
      <c r="D199" s="2"/>
      <c r="E199" s="17"/>
      <c r="F199" s="2"/>
      <c r="G199" s="2"/>
    </row>
    <row r="200" spans="2:7">
      <c r="B200" s="2" t="str">
        <f>IF(C200="","","PID-"&amp;TEXT(ROW()-2,"0000"))</f>
        <v/>
      </c>
      <c r="C200" s="25"/>
      <c r="D200" s="2"/>
      <c r="E200" s="17"/>
      <c r="F200" s="2"/>
      <c r="G200" s="2"/>
    </row>
    <row r="201" spans="2:7">
      <c r="B201" s="2" t="str">
        <f>IF(C201="","","PID-"&amp;TEXT(ROW()-2,"0000"))</f>
        <v/>
      </c>
      <c r="C201" s="25"/>
      <c r="D201" s="2"/>
      <c r="E201" s="17"/>
      <c r="F201" s="2"/>
      <c r="G201" s="2"/>
    </row>
    <row r="202" spans="2:7">
      <c r="B202" s="2" t="str">
        <f>IF(C202="","","PID-"&amp;TEXT(ROW()-2,"0000"))</f>
        <v/>
      </c>
      <c r="C202" s="25"/>
      <c r="D202" s="2"/>
      <c r="E202" s="17"/>
      <c r="F202" s="2"/>
      <c r="G202" s="2"/>
    </row>
    <row r="203" spans="2:7">
      <c r="B203" s="2" t="str">
        <f>IF(C203="","","PID-"&amp;TEXT(ROW()-2,"0000"))</f>
        <v/>
      </c>
      <c r="C203" s="25"/>
      <c r="D203" s="2"/>
      <c r="E203" s="17"/>
      <c r="F203" s="2"/>
      <c r="G203" s="2"/>
    </row>
    <row r="204" spans="2:7">
      <c r="B204" s="2" t="str">
        <f>IF(C204="","","PID-"&amp;TEXT(ROW()-2,"0000"))</f>
        <v/>
      </c>
      <c r="C204" s="25"/>
      <c r="D204" s="2"/>
      <c r="E204" s="17"/>
      <c r="F204" s="2"/>
      <c r="G204" s="2"/>
    </row>
    <row r="205" spans="2:7">
      <c r="B205" s="2" t="str">
        <f>IF(C205="","","PID-"&amp;TEXT(ROW()-2,"0000"))</f>
        <v/>
      </c>
      <c r="C205" s="25"/>
      <c r="D205" s="2"/>
      <c r="E205" s="17"/>
      <c r="F205" s="2"/>
      <c r="G205" s="2"/>
    </row>
    <row r="206" spans="2:7">
      <c r="B206" s="2" t="str">
        <f>IF(C206="","","PID-"&amp;TEXT(ROW()-2,"0000"))</f>
        <v/>
      </c>
      <c r="C206" s="25"/>
      <c r="D206" s="2"/>
      <c r="E206" s="17"/>
      <c r="F206" s="2"/>
      <c r="G206" s="2"/>
    </row>
    <row r="207" spans="2:7">
      <c r="B207" s="2" t="str">
        <f>IF(C207="","","PID-"&amp;TEXT(ROW()-2,"0000"))</f>
        <v/>
      </c>
      <c r="C207" s="25"/>
      <c r="D207" s="2"/>
      <c r="E207" s="17"/>
      <c r="F207" s="2"/>
      <c r="G207" s="2"/>
    </row>
    <row r="208" spans="2:7">
      <c r="B208" s="2" t="str">
        <f>IF(C208="","","PID-"&amp;TEXT(ROW()-2,"0000"))</f>
        <v/>
      </c>
      <c r="C208" s="25"/>
      <c r="D208" s="2"/>
      <c r="E208" s="17"/>
      <c r="F208" s="2"/>
      <c r="G208" s="2"/>
    </row>
    <row r="209" spans="2:7">
      <c r="B209" s="2" t="str">
        <f>IF(C209="","","PID-"&amp;TEXT(ROW()-2,"0000"))</f>
        <v/>
      </c>
      <c r="C209" s="25"/>
      <c r="D209" s="2"/>
      <c r="E209" s="17"/>
      <c r="F209" s="2"/>
      <c r="G209" s="2"/>
    </row>
    <row r="210" spans="2:7">
      <c r="B210" s="2" t="str">
        <f>IF(C210="","","PID-"&amp;TEXT(ROW()-2,"0000"))</f>
        <v/>
      </c>
      <c r="C210" s="25"/>
      <c r="D210" s="2"/>
      <c r="E210" s="17"/>
      <c r="F210" s="2"/>
      <c r="G210" s="2"/>
    </row>
    <row r="211" spans="2:7">
      <c r="B211" s="2" t="str">
        <f>IF(C211="","","PID-"&amp;TEXT(ROW()-2,"0000"))</f>
        <v/>
      </c>
      <c r="C211" s="25"/>
      <c r="D211" s="2"/>
      <c r="E211" s="17"/>
      <c r="F211" s="2"/>
      <c r="G211" s="2"/>
    </row>
    <row r="212" spans="2:7">
      <c r="B212" s="2" t="str">
        <f>IF(C212="","","PID-"&amp;TEXT(ROW()-2,"0000"))</f>
        <v/>
      </c>
      <c r="C212" s="25"/>
      <c r="D212" s="2"/>
      <c r="E212" s="17"/>
      <c r="F212" s="2"/>
      <c r="G212" s="2"/>
    </row>
    <row r="213" spans="2:7">
      <c r="B213" s="2" t="str">
        <f>IF(C213="","","PID-"&amp;TEXT(ROW()-2,"0000"))</f>
        <v/>
      </c>
      <c r="C213" s="25"/>
      <c r="D213" s="2"/>
      <c r="E213" s="17"/>
      <c r="F213" s="2"/>
      <c r="G213" s="2"/>
    </row>
    <row r="214" spans="2:7">
      <c r="B214" s="2" t="str">
        <f>IF(C214="","","PID-"&amp;TEXT(ROW()-2,"0000"))</f>
        <v/>
      </c>
      <c r="C214" s="25"/>
      <c r="D214" s="2"/>
      <c r="E214" s="17"/>
      <c r="F214" s="2"/>
      <c r="G214" s="2"/>
    </row>
    <row r="215" spans="2:7">
      <c r="B215" s="2" t="str">
        <f>IF(C215="","","PID-"&amp;TEXT(ROW()-2,"0000"))</f>
        <v/>
      </c>
      <c r="C215" s="25"/>
      <c r="D215" s="2"/>
      <c r="E215" s="17"/>
      <c r="F215" s="2"/>
      <c r="G215" s="2"/>
    </row>
    <row r="216" spans="2:7">
      <c r="B216" s="2" t="str">
        <f>IF(C216="","","PID-"&amp;TEXT(ROW()-2,"0000"))</f>
        <v/>
      </c>
      <c r="C216" s="25"/>
      <c r="D216" s="2"/>
      <c r="E216" s="17"/>
      <c r="F216" s="2"/>
      <c r="G216" s="2"/>
    </row>
    <row r="217" spans="2:7">
      <c r="B217" s="2" t="str">
        <f>IF(C217="","","PID-"&amp;TEXT(ROW()-2,"0000"))</f>
        <v/>
      </c>
      <c r="C217" s="25"/>
      <c r="D217" s="2"/>
      <c r="E217" s="17"/>
      <c r="F217" s="2"/>
      <c r="G217" s="2"/>
    </row>
    <row r="218" spans="2:7">
      <c r="B218" s="2" t="str">
        <f>IF(C218="","","PID-"&amp;TEXT(ROW()-2,"0000"))</f>
        <v/>
      </c>
      <c r="C218" s="25"/>
      <c r="D218" s="2"/>
      <c r="E218" s="17"/>
      <c r="F218" s="2"/>
      <c r="G218" s="2"/>
    </row>
    <row r="219" spans="2:7">
      <c r="B219" s="2" t="str">
        <f>IF(C219="","","PID-"&amp;TEXT(ROW()-2,"0000"))</f>
        <v/>
      </c>
      <c r="C219" s="25"/>
      <c r="D219" s="2"/>
      <c r="E219" s="17"/>
      <c r="F219" s="2"/>
      <c r="G219" s="2"/>
    </row>
    <row r="220" spans="2:7">
      <c r="B220" s="2" t="str">
        <f>IF(C220="","","PID-"&amp;TEXT(ROW()-2,"0000"))</f>
        <v/>
      </c>
      <c r="C220" s="25"/>
      <c r="D220" s="2"/>
      <c r="E220" s="17"/>
      <c r="F220" s="2"/>
      <c r="G220" s="2"/>
    </row>
    <row r="221" spans="2:7">
      <c r="B221" s="2" t="str">
        <f>IF(C221="","","PID-"&amp;TEXT(ROW()-2,"0000"))</f>
        <v/>
      </c>
      <c r="C221" s="25"/>
      <c r="D221" s="2"/>
      <c r="E221" s="17"/>
      <c r="F221" s="2"/>
      <c r="G221" s="2"/>
    </row>
    <row r="222" spans="2:7">
      <c r="B222" s="2" t="str">
        <f>IF(C222="","","PID-"&amp;TEXT(ROW()-2,"0000"))</f>
        <v/>
      </c>
      <c r="C222" s="25"/>
      <c r="D222" s="2"/>
      <c r="E222" s="17"/>
      <c r="F222" s="2"/>
      <c r="G222" s="2"/>
    </row>
    <row r="223" spans="2:7">
      <c r="B223" s="2" t="str">
        <f>IF(C223="","","PID-"&amp;TEXT(ROW()-2,"0000"))</f>
        <v/>
      </c>
      <c r="C223" s="25"/>
      <c r="D223" s="2"/>
      <c r="E223" s="17"/>
      <c r="F223" s="2"/>
      <c r="G223" s="2"/>
    </row>
    <row r="224" spans="2:7">
      <c r="B224" s="2" t="str">
        <f>IF(C224="","","PID-"&amp;TEXT(ROW()-2,"0000"))</f>
        <v/>
      </c>
      <c r="C224" s="25"/>
      <c r="D224" s="2"/>
      <c r="E224" s="17"/>
      <c r="F224" s="2"/>
      <c r="G224" s="2"/>
    </row>
    <row r="225" spans="2:7">
      <c r="B225" s="2" t="str">
        <f>IF(C225="","","PID-"&amp;TEXT(ROW()-2,"0000"))</f>
        <v/>
      </c>
      <c r="C225" s="25"/>
      <c r="D225" s="2"/>
      <c r="E225" s="17"/>
      <c r="F225" s="2"/>
      <c r="G225" s="2"/>
    </row>
    <row r="226" spans="2:7">
      <c r="B226" s="2" t="str">
        <f>IF(C226="","","PID-"&amp;TEXT(ROW()-2,"0000"))</f>
        <v/>
      </c>
      <c r="C226" s="25"/>
      <c r="D226" s="2"/>
      <c r="E226" s="17"/>
      <c r="F226" s="2"/>
      <c r="G226" s="2"/>
    </row>
    <row r="227" spans="2:7">
      <c r="B227" s="2" t="str">
        <f>IF(C227="","","PID-"&amp;TEXT(ROW()-2,"0000"))</f>
        <v/>
      </c>
      <c r="C227" s="25"/>
      <c r="D227" s="2"/>
      <c r="E227" s="17"/>
      <c r="F227" s="2"/>
      <c r="G227" s="2"/>
    </row>
    <row r="228" spans="2:7">
      <c r="B228" s="2" t="str">
        <f>IF(C228="","","PID-"&amp;TEXT(ROW()-2,"0000"))</f>
        <v/>
      </c>
      <c r="C228" s="25"/>
      <c r="D228" s="2"/>
      <c r="E228" s="17"/>
      <c r="F228" s="2"/>
      <c r="G228" s="2"/>
    </row>
    <row r="229" spans="2:7">
      <c r="B229" s="2" t="str">
        <f>IF(C229="","","PID-"&amp;TEXT(ROW()-2,"0000"))</f>
        <v/>
      </c>
      <c r="C229" s="25"/>
      <c r="D229" s="2"/>
      <c r="E229" s="17"/>
      <c r="F229" s="2"/>
      <c r="G229" s="2"/>
    </row>
    <row r="230" spans="2:7">
      <c r="B230" s="2" t="str">
        <f>IF(C230="","","PID-"&amp;TEXT(ROW()-2,"0000"))</f>
        <v/>
      </c>
      <c r="C230" s="25"/>
      <c r="D230" s="2"/>
      <c r="E230" s="17"/>
      <c r="F230" s="2"/>
      <c r="G230" s="2"/>
    </row>
    <row r="231" spans="2:7">
      <c r="B231" s="2" t="str">
        <f>IF(C231="","","PID-"&amp;TEXT(ROW()-2,"0000"))</f>
        <v/>
      </c>
      <c r="C231" s="25"/>
      <c r="D231" s="2"/>
      <c r="E231" s="17"/>
      <c r="F231" s="2"/>
      <c r="G231" s="2"/>
    </row>
    <row r="232" spans="2:7">
      <c r="B232" s="2" t="str">
        <f>IF(C232="","","PID-"&amp;TEXT(ROW()-2,"0000"))</f>
        <v/>
      </c>
      <c r="C232" s="25"/>
      <c r="D232" s="2"/>
      <c r="E232" s="17"/>
      <c r="F232" s="2"/>
      <c r="G232" s="2"/>
    </row>
    <row r="233" spans="2:7">
      <c r="B233" s="2" t="str">
        <f>IF(C233="","","PID-"&amp;TEXT(ROW()-2,"0000"))</f>
        <v/>
      </c>
      <c r="C233" s="25"/>
      <c r="D233" s="2"/>
      <c r="E233" s="17"/>
      <c r="F233" s="2"/>
      <c r="G233" s="2"/>
    </row>
    <row r="234" spans="2:7">
      <c r="B234" s="2" t="str">
        <f>IF(C234="","","PID-"&amp;TEXT(ROW()-2,"0000"))</f>
        <v/>
      </c>
      <c r="C234" s="25"/>
      <c r="D234" s="2"/>
      <c r="E234" s="17"/>
      <c r="F234" s="2"/>
      <c r="G234" s="2"/>
    </row>
    <row r="235" spans="2:7">
      <c r="B235" s="2" t="str">
        <f>IF(C235="","","PID-"&amp;TEXT(ROW()-2,"0000"))</f>
        <v/>
      </c>
      <c r="C235" s="25"/>
      <c r="D235" s="2"/>
      <c r="E235" s="17"/>
      <c r="F235" s="2"/>
      <c r="G235" s="2"/>
    </row>
    <row r="236" spans="2:7">
      <c r="B236" s="2" t="str">
        <f>IF(C236="","","PID-"&amp;TEXT(ROW()-2,"0000"))</f>
        <v/>
      </c>
      <c r="C236" s="25"/>
      <c r="D236" s="2"/>
      <c r="E236" s="17"/>
      <c r="F236" s="2"/>
      <c r="G236" s="2"/>
    </row>
    <row r="237" spans="2:7">
      <c r="B237" s="2" t="str">
        <f>IF(C237="","","PID-"&amp;TEXT(ROW()-2,"0000"))</f>
        <v/>
      </c>
      <c r="C237" s="25"/>
      <c r="D237" s="2"/>
      <c r="E237" s="17"/>
      <c r="F237" s="2"/>
      <c r="G237" s="2"/>
    </row>
    <row r="238" spans="2:7">
      <c r="B238" s="2" t="str">
        <f>IF(C238="","","PID-"&amp;TEXT(ROW()-2,"0000"))</f>
        <v/>
      </c>
      <c r="C238" s="25"/>
      <c r="D238" s="2"/>
      <c r="E238" s="17"/>
      <c r="F238" s="2"/>
      <c r="G238" s="2"/>
    </row>
    <row r="239" spans="2:7">
      <c r="B239" s="2" t="str">
        <f>IF(C239="","","PID-"&amp;TEXT(ROW()-2,"0000"))</f>
        <v/>
      </c>
      <c r="C239" s="25"/>
      <c r="D239" s="2"/>
      <c r="E239" s="17"/>
      <c r="F239" s="2"/>
      <c r="G239" s="2"/>
    </row>
    <row r="240" spans="2:7">
      <c r="B240" s="2" t="str">
        <f>IF(C240="","","PID-"&amp;TEXT(ROW()-2,"0000"))</f>
        <v/>
      </c>
      <c r="C240" s="25"/>
      <c r="D240" s="2"/>
      <c r="E240" s="17"/>
      <c r="F240" s="2"/>
      <c r="G240" s="2"/>
    </row>
    <row r="241" spans="2:7">
      <c r="B241" s="2" t="str">
        <f>IF(C241="","","PID-"&amp;TEXT(ROW()-2,"0000"))</f>
        <v/>
      </c>
      <c r="C241" s="25"/>
      <c r="D241" s="2"/>
      <c r="E241" s="17"/>
      <c r="F241" s="2"/>
      <c r="G241" s="2"/>
    </row>
    <row r="242" spans="2:7">
      <c r="B242" s="2" t="str">
        <f>IF(C242="","","PID-"&amp;TEXT(ROW()-2,"0000"))</f>
        <v/>
      </c>
      <c r="C242" s="25"/>
      <c r="D242" s="2"/>
      <c r="E242" s="17"/>
      <c r="F242" s="2"/>
      <c r="G242" s="2"/>
    </row>
    <row r="243" spans="2:7">
      <c r="B243" s="2" t="str">
        <f>IF(C243="","","PID-"&amp;TEXT(ROW()-2,"0000"))</f>
        <v/>
      </c>
      <c r="C243" s="25"/>
      <c r="D243" s="2"/>
      <c r="E243" s="17"/>
      <c r="F243" s="2"/>
      <c r="G243" s="2"/>
    </row>
    <row r="244" spans="2:7">
      <c r="B244" s="2" t="str">
        <f>IF(C244="","","PID-"&amp;TEXT(ROW()-2,"0000"))</f>
        <v/>
      </c>
      <c r="C244" s="25"/>
      <c r="D244" s="2"/>
      <c r="E244" s="17"/>
      <c r="F244" s="2"/>
      <c r="G244" s="2"/>
    </row>
    <row r="245" spans="2:7">
      <c r="B245" s="2" t="str">
        <f>IF(C245="","","PID-"&amp;TEXT(ROW()-2,"0000"))</f>
        <v/>
      </c>
      <c r="C245" s="25"/>
      <c r="D245" s="2"/>
      <c r="E245" s="17"/>
      <c r="F245" s="2"/>
      <c r="G245" s="2"/>
    </row>
    <row r="246" spans="2:7">
      <c r="B246" s="2" t="str">
        <f>IF(C246="","","PID-"&amp;TEXT(ROW()-2,"0000"))</f>
        <v/>
      </c>
      <c r="C246" s="25"/>
      <c r="D246" s="2"/>
      <c r="E246" s="17"/>
      <c r="F246" s="2"/>
      <c r="G246" s="2"/>
    </row>
    <row r="247" spans="2:7">
      <c r="B247" s="2" t="str">
        <f>IF(C247="","","PID-"&amp;TEXT(ROW()-2,"0000"))</f>
        <v/>
      </c>
      <c r="C247" s="25"/>
      <c r="D247" s="2"/>
      <c r="E247" s="17"/>
      <c r="F247" s="2"/>
      <c r="G247" s="2"/>
    </row>
    <row r="248" spans="2:7">
      <c r="B248" s="2" t="str">
        <f>IF(C248="","","PID-"&amp;TEXT(ROW()-2,"0000"))</f>
        <v/>
      </c>
      <c r="C248" s="25"/>
      <c r="D248" s="2"/>
      <c r="E248" s="17"/>
      <c r="F248" s="2"/>
      <c r="G248" s="2"/>
    </row>
    <row r="249" spans="2:7">
      <c r="B249" s="2" t="str">
        <f>IF(C249="","","PID-"&amp;TEXT(ROW()-2,"0000"))</f>
        <v/>
      </c>
      <c r="C249" s="25"/>
      <c r="D249" s="2"/>
      <c r="E249" s="17"/>
      <c r="F249" s="2"/>
      <c r="G249" s="2"/>
    </row>
    <row r="250" spans="2:7">
      <c r="B250" s="2" t="str">
        <f>IF(C250="","","PID-"&amp;TEXT(ROW()-2,"0000"))</f>
        <v/>
      </c>
      <c r="C250" s="25"/>
      <c r="D250" s="2"/>
      <c r="E250" s="17"/>
      <c r="F250" s="2"/>
      <c r="G250" s="2"/>
    </row>
    <row r="251" spans="2:7">
      <c r="B251" s="2" t="str">
        <f>IF(C251="","","PID-"&amp;TEXT(ROW()-2,"0000"))</f>
        <v/>
      </c>
      <c r="C251" s="25"/>
      <c r="D251" s="2"/>
      <c r="E251" s="17"/>
      <c r="F251" s="2"/>
      <c r="G251" s="2"/>
    </row>
    <row r="252" spans="2:7">
      <c r="B252" s="2" t="str">
        <f>IF(C252="","","PID-"&amp;TEXT(ROW()-2,"0000"))</f>
        <v/>
      </c>
      <c r="C252" s="25"/>
      <c r="D252" s="2"/>
      <c r="E252" s="17"/>
      <c r="F252" s="2"/>
      <c r="G252" s="2"/>
    </row>
    <row r="253" spans="2:7">
      <c r="B253" s="2" t="str">
        <f>IF(C253="","","PID-"&amp;TEXT(ROW()-2,"0000"))</f>
        <v/>
      </c>
      <c r="C253" s="25"/>
      <c r="D253" s="2"/>
      <c r="E253" s="17"/>
      <c r="F253" s="2"/>
      <c r="G253" s="2"/>
    </row>
    <row r="254" spans="2:7">
      <c r="B254" s="2" t="str">
        <f>IF(C254="","","PID-"&amp;TEXT(ROW()-2,"0000"))</f>
        <v/>
      </c>
      <c r="C254" s="25"/>
      <c r="D254" s="2"/>
      <c r="E254" s="17"/>
      <c r="F254" s="2"/>
      <c r="G254" s="2"/>
    </row>
    <row r="255" spans="2:7">
      <c r="B255" s="2" t="str">
        <f>IF(C255="","","PID-"&amp;TEXT(ROW()-2,"0000"))</f>
        <v/>
      </c>
      <c r="C255" s="25"/>
      <c r="D255" s="2"/>
      <c r="E255" s="17"/>
      <c r="F255" s="2"/>
      <c r="G255" s="2"/>
    </row>
    <row r="256" spans="2:7">
      <c r="B256" s="2" t="str">
        <f>IF(C256="","","PID-"&amp;TEXT(ROW()-2,"0000"))</f>
        <v/>
      </c>
      <c r="C256" s="25"/>
      <c r="D256" s="2"/>
      <c r="E256" s="17"/>
      <c r="F256" s="2"/>
      <c r="G256" s="2"/>
    </row>
    <row r="257" spans="2:7">
      <c r="B257" s="2" t="str">
        <f>IF(C257="","","PID-"&amp;TEXT(ROW()-2,"0000"))</f>
        <v/>
      </c>
      <c r="C257" s="25"/>
      <c r="D257" s="2"/>
      <c r="E257" s="17"/>
      <c r="F257" s="2"/>
      <c r="G257" s="2"/>
    </row>
    <row r="258" spans="2:7">
      <c r="B258" s="2" t="str">
        <f>IF(C258="","","PID-"&amp;TEXT(ROW()-2,"0000"))</f>
        <v/>
      </c>
      <c r="C258" s="25"/>
      <c r="D258" s="2"/>
      <c r="E258" s="17"/>
      <c r="F258" s="2"/>
      <c r="G258" s="2"/>
    </row>
    <row r="259" spans="2:7">
      <c r="B259" s="2" t="str">
        <f>IF(C259="","","PID-"&amp;TEXT(ROW()-2,"0000"))</f>
        <v/>
      </c>
      <c r="C259" s="25"/>
      <c r="D259" s="2"/>
      <c r="E259" s="17"/>
      <c r="F259" s="2"/>
      <c r="G259" s="2"/>
    </row>
    <row r="260" spans="2:7">
      <c r="B260" s="2" t="str">
        <f>IF(C260="","","PID-"&amp;TEXT(ROW()-2,"0000"))</f>
        <v/>
      </c>
      <c r="C260" s="25"/>
      <c r="D260" s="2"/>
      <c r="E260" s="17"/>
      <c r="F260" s="2"/>
      <c r="G260" s="2"/>
    </row>
    <row r="261" spans="2:7">
      <c r="B261" s="2" t="str">
        <f>IF(C261="","","PID-"&amp;TEXT(ROW()-2,"0000"))</f>
        <v/>
      </c>
      <c r="C261" s="25"/>
      <c r="D261" s="2"/>
      <c r="E261" s="17"/>
      <c r="F261" s="2"/>
      <c r="G261" s="2"/>
    </row>
    <row r="262" spans="2:7">
      <c r="B262" s="2" t="str">
        <f>IF(C262="","","PID-"&amp;TEXT(ROW()-2,"0000"))</f>
        <v/>
      </c>
      <c r="C262" s="25"/>
      <c r="D262" s="2"/>
      <c r="E262" s="17"/>
      <c r="F262" s="2"/>
      <c r="G262" s="2"/>
    </row>
    <row r="263" spans="2:7">
      <c r="B263" s="2" t="str">
        <f>IF(C263="","","PID-"&amp;TEXT(ROW()-2,"0000"))</f>
        <v/>
      </c>
      <c r="C263" s="25"/>
      <c r="D263" s="2"/>
      <c r="E263" s="17"/>
      <c r="F263" s="2"/>
      <c r="G263" s="2"/>
    </row>
    <row r="264" spans="2:7">
      <c r="B264" s="2" t="str">
        <f>IF(C264="","","PID-"&amp;TEXT(ROW()-2,"0000"))</f>
        <v/>
      </c>
      <c r="C264" s="25"/>
      <c r="D264" s="2"/>
      <c r="E264" s="17"/>
      <c r="F264" s="2"/>
      <c r="G264" s="2"/>
    </row>
    <row r="265" spans="2:7">
      <c r="B265" s="2" t="str">
        <f>IF(C265="","","PID-"&amp;TEXT(ROW()-2,"0000"))</f>
        <v/>
      </c>
      <c r="C265" s="25"/>
      <c r="D265" s="2"/>
      <c r="E265" s="17"/>
      <c r="F265" s="2"/>
      <c r="G265" s="2"/>
    </row>
    <row r="266" spans="2:7">
      <c r="B266" s="2" t="str">
        <f>IF(C266="","","PID-"&amp;TEXT(ROW()-2,"0000"))</f>
        <v/>
      </c>
      <c r="C266" s="25"/>
      <c r="D266" s="2"/>
      <c r="E266" s="17"/>
      <c r="F266" s="2"/>
      <c r="G266" s="2"/>
    </row>
    <row r="267" spans="2:7">
      <c r="B267" s="2" t="str">
        <f>IF(C267="","","PID-"&amp;TEXT(ROW()-2,"0000"))</f>
        <v/>
      </c>
      <c r="C267" s="25"/>
      <c r="D267" s="2"/>
      <c r="E267" s="17"/>
      <c r="F267" s="2"/>
      <c r="G267" s="2"/>
    </row>
    <row r="268" spans="2:7">
      <c r="B268" s="2" t="str">
        <f>IF(C268="","","PID-"&amp;TEXT(ROW()-2,"0000"))</f>
        <v/>
      </c>
      <c r="C268" s="25"/>
      <c r="D268" s="2"/>
      <c r="E268" s="17"/>
      <c r="F268" s="2"/>
      <c r="G268" s="2"/>
    </row>
    <row r="269" spans="2:7">
      <c r="B269" s="2" t="str">
        <f>IF(C269="","","PID-"&amp;TEXT(ROW()-2,"0000"))</f>
        <v/>
      </c>
      <c r="C269" s="25"/>
      <c r="D269" s="2"/>
      <c r="E269" s="17"/>
      <c r="F269" s="2"/>
      <c r="G269" s="2"/>
    </row>
    <row r="270" spans="2:7">
      <c r="B270" s="2" t="str">
        <f>IF(C270="","","PID-"&amp;TEXT(ROW()-2,"0000"))</f>
        <v/>
      </c>
      <c r="C270" s="25"/>
      <c r="D270" s="2"/>
      <c r="E270" s="17"/>
      <c r="F270" s="2"/>
      <c r="G270" s="2"/>
    </row>
    <row r="271" spans="2:7">
      <c r="B271" s="2" t="str">
        <f>IF(C271="","","PID-"&amp;TEXT(ROW()-2,"0000"))</f>
        <v/>
      </c>
      <c r="C271" s="25"/>
      <c r="D271" s="2"/>
      <c r="E271" s="17"/>
      <c r="F271" s="2"/>
      <c r="G271" s="2"/>
    </row>
    <row r="272" spans="2:7">
      <c r="B272" s="2" t="str">
        <f>IF(C272="","","PID-"&amp;TEXT(ROW()-2,"0000"))</f>
        <v/>
      </c>
      <c r="C272" s="25"/>
      <c r="D272" s="2"/>
      <c r="E272" s="17"/>
      <c r="F272" s="2"/>
      <c r="G272" s="2"/>
    </row>
    <row r="273" spans="2:7">
      <c r="B273" s="2" t="str">
        <f>IF(C273="","","PID-"&amp;TEXT(ROW()-2,"0000"))</f>
        <v/>
      </c>
      <c r="C273" s="25"/>
      <c r="D273" s="2"/>
      <c r="E273" s="17"/>
      <c r="F273" s="2"/>
      <c r="G273" s="2"/>
    </row>
    <row r="274" spans="2:7">
      <c r="B274" s="2" t="str">
        <f>IF(C274="","","PID-"&amp;TEXT(ROW()-2,"0000"))</f>
        <v/>
      </c>
      <c r="C274" s="25"/>
      <c r="D274" s="2"/>
      <c r="E274" s="17"/>
      <c r="F274" s="2"/>
      <c r="G274" s="2"/>
    </row>
    <row r="275" spans="2:7">
      <c r="B275" s="2" t="str">
        <f>IF(C275="","","PID-"&amp;TEXT(ROW()-2,"0000"))</f>
        <v/>
      </c>
      <c r="C275" s="25"/>
      <c r="D275" s="2"/>
      <c r="E275" s="17"/>
      <c r="F275" s="2"/>
      <c r="G275" s="2"/>
    </row>
    <row r="276" spans="2:7">
      <c r="B276" s="2" t="str">
        <f>IF(C276="","","PID-"&amp;TEXT(ROW()-2,"0000"))</f>
        <v/>
      </c>
      <c r="C276" s="25"/>
      <c r="D276" s="2"/>
      <c r="E276" s="17"/>
      <c r="F276" s="2"/>
      <c r="G276" s="2"/>
    </row>
    <row r="277" spans="2:7">
      <c r="B277" s="2" t="str">
        <f>IF(C277="","","PID-"&amp;TEXT(ROW()-2,"0000"))</f>
        <v/>
      </c>
      <c r="C277" s="25"/>
      <c r="D277" s="2"/>
      <c r="E277" s="17"/>
      <c r="F277" s="2"/>
      <c r="G277" s="2"/>
    </row>
    <row r="278" spans="2:7">
      <c r="B278" s="2" t="str">
        <f>IF(C278="","","PID-"&amp;TEXT(ROW()-2,"0000"))</f>
        <v/>
      </c>
      <c r="C278" s="25"/>
      <c r="D278" s="2"/>
      <c r="E278" s="17"/>
      <c r="F278" s="2"/>
      <c r="G278" s="2"/>
    </row>
    <row r="279" spans="2:7">
      <c r="B279" s="2" t="str">
        <f>IF(C279="","","PID-"&amp;TEXT(ROW()-2,"0000"))</f>
        <v/>
      </c>
      <c r="C279" s="25"/>
      <c r="D279" s="2"/>
      <c r="E279" s="17"/>
      <c r="F279" s="2"/>
      <c r="G279" s="2"/>
    </row>
    <row r="280" spans="2:7">
      <c r="B280" s="2" t="str">
        <f>IF(C280="","","PID-"&amp;TEXT(ROW()-2,"0000"))</f>
        <v/>
      </c>
      <c r="C280" s="25"/>
      <c r="D280" s="2"/>
      <c r="E280" s="17"/>
      <c r="F280" s="2"/>
      <c r="G280" s="2"/>
    </row>
    <row r="281" spans="2:7">
      <c r="B281" s="2" t="str">
        <f>IF(C281="","","PID-"&amp;TEXT(ROW()-2,"0000"))</f>
        <v/>
      </c>
      <c r="C281" s="25"/>
      <c r="D281" s="2"/>
      <c r="E281" s="17"/>
      <c r="F281" s="2"/>
      <c r="G281" s="2"/>
    </row>
    <row r="282" spans="2:7">
      <c r="B282" s="2" t="str">
        <f>IF(C282="","","PID-"&amp;TEXT(ROW()-2,"0000"))</f>
        <v/>
      </c>
      <c r="C282" s="25"/>
      <c r="D282" s="2"/>
      <c r="E282" s="17"/>
      <c r="F282" s="2"/>
      <c r="G282" s="2"/>
    </row>
    <row r="283" spans="2:7">
      <c r="B283" s="2" t="str">
        <f>IF(C283="","","PID-"&amp;TEXT(ROW()-2,"0000"))</f>
        <v/>
      </c>
      <c r="C283" s="25"/>
      <c r="D283" s="2"/>
      <c r="E283" s="17"/>
      <c r="F283" s="2"/>
      <c r="G283" s="2"/>
    </row>
    <row r="284" spans="2:7">
      <c r="B284" s="2" t="str">
        <f>IF(C284="","","PID-"&amp;TEXT(ROW()-2,"0000"))</f>
        <v/>
      </c>
      <c r="C284" s="25"/>
      <c r="D284" s="2"/>
      <c r="E284" s="17"/>
      <c r="F284" s="2"/>
      <c r="G284" s="2"/>
    </row>
    <row r="285" spans="2:7">
      <c r="B285" s="2" t="str">
        <f>IF(C285="","","PID-"&amp;TEXT(ROW()-2,"0000"))</f>
        <v/>
      </c>
      <c r="C285" s="25"/>
      <c r="D285" s="2"/>
      <c r="E285" s="17"/>
      <c r="F285" s="2"/>
      <c r="G285" s="2"/>
    </row>
    <row r="286" spans="2:7">
      <c r="B286" s="2" t="str">
        <f>IF(C286="","","PID-"&amp;TEXT(ROW()-2,"0000"))</f>
        <v/>
      </c>
      <c r="C286" s="25"/>
      <c r="D286" s="2"/>
      <c r="E286" s="17"/>
      <c r="F286" s="2"/>
      <c r="G286" s="2"/>
    </row>
    <row r="287" spans="2:7">
      <c r="B287" s="2" t="str">
        <f>IF(C287="","","PID-"&amp;TEXT(ROW()-2,"0000"))</f>
        <v/>
      </c>
      <c r="C287" s="25"/>
      <c r="D287" s="2"/>
      <c r="E287" s="17"/>
      <c r="F287" s="2"/>
      <c r="G287" s="2"/>
    </row>
    <row r="288" spans="2:7">
      <c r="B288" s="2" t="str">
        <f>IF(C288="","","PID-"&amp;TEXT(ROW()-2,"0000"))</f>
        <v/>
      </c>
      <c r="C288" s="25"/>
      <c r="D288" s="2"/>
      <c r="E288" s="17"/>
      <c r="F288" s="2"/>
      <c r="G288" s="2"/>
    </row>
    <row r="289" spans="2:7">
      <c r="B289" s="2" t="str">
        <f>IF(C289="","","PID-"&amp;TEXT(ROW()-2,"0000"))</f>
        <v/>
      </c>
      <c r="C289" s="25"/>
      <c r="D289" s="2"/>
      <c r="E289" s="17"/>
      <c r="F289" s="2"/>
      <c r="G289" s="2"/>
    </row>
    <row r="290" spans="2:7">
      <c r="B290" s="2" t="str">
        <f>IF(C290="","","PID-"&amp;TEXT(ROW()-2,"0000"))</f>
        <v/>
      </c>
      <c r="C290" s="25"/>
      <c r="D290" s="2"/>
      <c r="E290" s="17"/>
      <c r="F290" s="2"/>
      <c r="G290" s="2"/>
    </row>
    <row r="291" spans="2:7">
      <c r="B291" s="2" t="str">
        <f>IF(C291="","","PID-"&amp;TEXT(ROW()-2,"0000"))</f>
        <v/>
      </c>
      <c r="C291" s="25"/>
      <c r="D291" s="2"/>
      <c r="E291" s="17"/>
      <c r="F291" s="2"/>
      <c r="G291" s="2"/>
    </row>
    <row r="292" spans="2:7">
      <c r="B292" s="2" t="str">
        <f>IF(C292="","","PID-"&amp;TEXT(ROW()-2,"0000"))</f>
        <v/>
      </c>
      <c r="C292" s="25"/>
      <c r="D292" s="2"/>
      <c r="E292" s="17"/>
      <c r="F292" s="2"/>
      <c r="G292" s="2"/>
    </row>
    <row r="293" spans="2:7">
      <c r="B293" s="2" t="str">
        <f>IF(C293="","","PID-"&amp;TEXT(ROW()-2,"0000"))</f>
        <v/>
      </c>
      <c r="C293" s="25"/>
      <c r="D293" s="2"/>
      <c r="E293" s="17"/>
      <c r="F293" s="2"/>
      <c r="G293" s="2"/>
    </row>
    <row r="294" spans="2:7">
      <c r="B294" s="2" t="str">
        <f>IF(C294="","","PID-"&amp;TEXT(ROW()-2,"0000"))</f>
        <v/>
      </c>
      <c r="C294" s="25"/>
      <c r="D294" s="2"/>
      <c r="E294" s="17"/>
      <c r="F294" s="2"/>
      <c r="G294" s="2"/>
    </row>
    <row r="295" spans="2:7">
      <c r="B295" s="2" t="str">
        <f>IF(C295="","","PID-"&amp;TEXT(ROW()-2,"0000"))</f>
        <v/>
      </c>
      <c r="C295" s="25"/>
      <c r="D295" s="2"/>
      <c r="E295" s="17"/>
      <c r="F295" s="2"/>
      <c r="G295" s="2"/>
    </row>
    <row r="296" spans="2:7">
      <c r="B296" s="2" t="str">
        <f>IF(C296="","","PID-"&amp;TEXT(ROW()-2,"0000"))</f>
        <v/>
      </c>
      <c r="C296" s="25"/>
      <c r="D296" s="2"/>
      <c r="E296" s="17"/>
      <c r="F296" s="2"/>
      <c r="G296" s="2"/>
    </row>
    <row r="297" spans="2:7">
      <c r="B297" s="2" t="str">
        <f>IF(C297="","","PID-"&amp;TEXT(ROW()-2,"0000"))</f>
        <v/>
      </c>
      <c r="C297" s="25"/>
      <c r="D297" s="2"/>
      <c r="E297" s="17"/>
      <c r="F297" s="2"/>
      <c r="G297" s="2"/>
    </row>
    <row r="298" spans="2:7">
      <c r="B298" s="2" t="str">
        <f>IF(C298="","","PID-"&amp;TEXT(ROW()-2,"0000"))</f>
        <v/>
      </c>
      <c r="C298" s="25"/>
      <c r="D298" s="2"/>
      <c r="E298" s="17"/>
      <c r="F298" s="2"/>
      <c r="G298" s="2"/>
    </row>
    <row r="299" spans="2:7">
      <c r="B299" s="2" t="str">
        <f>IF(C299="","","PID-"&amp;TEXT(ROW()-2,"0000"))</f>
        <v/>
      </c>
      <c r="C299" s="25"/>
      <c r="D299" s="2"/>
      <c r="E299" s="17"/>
      <c r="F299" s="2"/>
      <c r="G299" s="2"/>
    </row>
    <row r="300" spans="2:7">
      <c r="B300" s="2" t="str">
        <f>IF(C300="","","PID-"&amp;TEXT(ROW()-2,"0000"))</f>
        <v/>
      </c>
      <c r="C300" s="25"/>
      <c r="D300" s="2"/>
      <c r="E300" s="17"/>
      <c r="F300" s="2"/>
      <c r="G300" s="2"/>
    </row>
    <row r="301" spans="2:7">
      <c r="B301" s="2" t="str">
        <f>IF(C301="","","PID-"&amp;TEXT(ROW()-2,"0000"))</f>
        <v/>
      </c>
      <c r="C301" s="25"/>
      <c r="D301" s="2"/>
      <c r="E301" s="17"/>
      <c r="F301" s="2"/>
      <c r="G301" s="2"/>
    </row>
    <row r="302" spans="2:7">
      <c r="B302" s="2" t="str">
        <f>IF(C302="","","PID-"&amp;TEXT(ROW()-2,"0000"))</f>
        <v/>
      </c>
      <c r="C302" s="25"/>
      <c r="D302" s="2"/>
      <c r="E302" s="17"/>
      <c r="F302" s="2"/>
      <c r="G302" s="2"/>
    </row>
    <row r="303" spans="2:7">
      <c r="B303" s="2" t="str">
        <f>IF(C303="","","PID-"&amp;TEXT(ROW()-2,"0000"))</f>
        <v/>
      </c>
      <c r="C303" s="25"/>
      <c r="D303" s="2"/>
      <c r="E303" s="17"/>
      <c r="F303" s="2"/>
      <c r="G303" s="2"/>
    </row>
    <row r="304" spans="2:7">
      <c r="B304" s="2" t="str">
        <f>IF(C304="","","PID-"&amp;TEXT(ROW()-2,"0000"))</f>
        <v/>
      </c>
      <c r="C304" s="25"/>
      <c r="D304" s="2"/>
      <c r="E304" s="17"/>
      <c r="F304" s="2"/>
      <c r="G304" s="2"/>
    </row>
    <row r="305" spans="2:7">
      <c r="B305" s="2" t="str">
        <f>IF(C305="","","PID-"&amp;TEXT(ROW()-2,"0000"))</f>
        <v/>
      </c>
      <c r="C305" s="25"/>
      <c r="D305" s="2"/>
      <c r="E305" s="17"/>
      <c r="F305" s="2"/>
      <c r="G305" s="2"/>
    </row>
    <row r="306" spans="2:7">
      <c r="B306" s="2" t="str">
        <f>IF(C306="","","PID-"&amp;TEXT(ROW()-2,"0000"))</f>
        <v/>
      </c>
      <c r="C306" s="25"/>
      <c r="D306" s="2"/>
      <c r="E306" s="17"/>
      <c r="F306" s="2"/>
      <c r="G306" s="2"/>
    </row>
    <row r="307" spans="2:7">
      <c r="B307" s="2" t="str">
        <f>IF(C307="","","PID-"&amp;TEXT(ROW()-2,"0000"))</f>
        <v/>
      </c>
      <c r="C307" s="25"/>
      <c r="D307" s="2"/>
      <c r="E307" s="17"/>
      <c r="F307" s="2"/>
      <c r="G307" s="2"/>
    </row>
    <row r="308" spans="2:7">
      <c r="B308" s="2" t="str">
        <f>IF(C308="","","PID-"&amp;TEXT(ROW()-2,"0000"))</f>
        <v/>
      </c>
      <c r="C308" s="25"/>
      <c r="D308" s="2"/>
      <c r="E308" s="17"/>
      <c r="F308" s="2"/>
      <c r="G308" s="2"/>
    </row>
    <row r="309" spans="2:7">
      <c r="B309" s="2" t="str">
        <f>IF(C309="","","PID-"&amp;TEXT(ROW()-2,"0000"))</f>
        <v/>
      </c>
      <c r="C309" s="25"/>
      <c r="D309" s="2"/>
      <c r="E309" s="17"/>
      <c r="F309" s="2"/>
      <c r="G309" s="2"/>
    </row>
    <row r="310" spans="2:7">
      <c r="B310" s="2" t="str">
        <f>IF(C310="","","PID-"&amp;TEXT(ROW()-2,"0000"))</f>
        <v/>
      </c>
      <c r="C310" s="25"/>
      <c r="D310" s="2"/>
      <c r="E310" s="17"/>
      <c r="F310" s="2"/>
      <c r="G310" s="2"/>
    </row>
    <row r="311" spans="2:7">
      <c r="B311" s="2" t="str">
        <f>IF(C311="","","PID-"&amp;TEXT(ROW()-2,"0000"))</f>
        <v/>
      </c>
      <c r="C311" s="25"/>
      <c r="D311" s="2"/>
      <c r="E311" s="17"/>
      <c r="F311" s="2"/>
      <c r="G311" s="2"/>
    </row>
    <row r="312" spans="2:7">
      <c r="B312" s="2" t="str">
        <f>IF(C312="","","PID-"&amp;TEXT(ROW()-2,"0000"))</f>
        <v/>
      </c>
      <c r="C312" s="25"/>
      <c r="D312" s="2"/>
      <c r="E312" s="17"/>
      <c r="F312" s="2"/>
      <c r="G312" s="2"/>
    </row>
    <row r="313" spans="2:7">
      <c r="B313" s="2" t="str">
        <f>IF(C313="","","PID-"&amp;TEXT(ROW()-2,"0000"))</f>
        <v/>
      </c>
      <c r="C313" s="25"/>
      <c r="D313" s="2"/>
      <c r="E313" s="17"/>
      <c r="F313" s="2"/>
      <c r="G313" s="2"/>
    </row>
    <row r="314" spans="2:7">
      <c r="B314" s="2" t="str">
        <f>IF(C314="","","PID-"&amp;TEXT(ROW()-2,"0000"))</f>
        <v/>
      </c>
      <c r="C314" s="25"/>
      <c r="D314" s="2"/>
      <c r="E314" s="17"/>
      <c r="F314" s="2"/>
      <c r="G314" s="2"/>
    </row>
    <row r="315" spans="2:7">
      <c r="B315" s="2" t="str">
        <f>IF(C315="","","PID-"&amp;TEXT(ROW()-2,"0000"))</f>
        <v/>
      </c>
      <c r="C315" s="25"/>
      <c r="D315" s="2"/>
      <c r="E315" s="17"/>
      <c r="F315" s="2"/>
      <c r="G315" s="2"/>
    </row>
    <row r="316" spans="2:7">
      <c r="B316" s="2" t="str">
        <f>IF(C316="","","PID-"&amp;TEXT(ROW()-2,"0000"))</f>
        <v/>
      </c>
      <c r="C316" s="25"/>
      <c r="D316" s="2"/>
      <c r="E316" s="17"/>
      <c r="F316" s="2"/>
      <c r="G316" s="2"/>
    </row>
    <row r="317" spans="2:7">
      <c r="B317" s="2" t="str">
        <f>IF(C317="","","PID-"&amp;TEXT(ROW()-2,"0000"))</f>
        <v/>
      </c>
      <c r="C317" s="25"/>
      <c r="D317" s="2"/>
      <c r="E317" s="17"/>
      <c r="F317" s="2"/>
      <c r="G317" s="2"/>
    </row>
    <row r="318" spans="2:7">
      <c r="B318" s="2" t="str">
        <f>IF(C318="","","PID-"&amp;TEXT(ROW()-2,"0000"))</f>
        <v/>
      </c>
      <c r="C318" s="25"/>
      <c r="D318" s="2"/>
      <c r="E318" s="17"/>
      <c r="F318" s="2"/>
      <c r="G318" s="2"/>
    </row>
    <row r="319" spans="2:7">
      <c r="B319" s="2" t="str">
        <f>IF(C319="","","PID-"&amp;TEXT(ROW()-2,"0000"))</f>
        <v/>
      </c>
      <c r="C319" s="25"/>
      <c r="D319" s="2"/>
      <c r="E319" s="17"/>
      <c r="F319" s="2"/>
      <c r="G319" s="2"/>
    </row>
  </sheetData>
  <mergeCells count="12">
    <mergeCell ref="A134:A145"/>
    <mergeCell ref="A2:A13"/>
    <mergeCell ref="A14:A25"/>
    <mergeCell ref="A26:A37"/>
    <mergeCell ref="A110:A121"/>
    <mergeCell ref="A122:A133"/>
    <mergeCell ref="A38:A49"/>
    <mergeCell ref="A50:A61"/>
    <mergeCell ref="A62:A73"/>
    <mergeCell ref="A74:A84"/>
    <mergeCell ref="A86:A97"/>
    <mergeCell ref="A98:A109"/>
  </mergeCells>
  <conditionalFormatting sqref="D152:E319 E2 E4 E29 E37 E39 E47 E63 E65 E67 E69 E71 E87 E89 E91 E93 E95 E97 E99 E101 E103 E105 E107 E109 E111 E113 E115 E117 E119 E121 E139 D26 E49 E75 E77 E79 E81:E82 E41 E85 E73 BC33 E33 I26 I31">
    <cfRule type="expression" dxfId="149" priority="26">
      <formula>AND($C2&lt;&gt;"",D2="")</formula>
    </cfRule>
  </conditionalFormatting>
  <conditionalFormatting sqref="E43">
    <cfRule type="expression" dxfId="148" priority="12">
      <formula>AND($C43&lt;&gt;"",E43="")</formula>
    </cfRule>
  </conditionalFormatting>
  <conditionalFormatting sqref="E45">
    <cfRule type="expression" dxfId="147" priority="11">
      <formula>AND($C45&lt;&gt;"",E45="")</formula>
    </cfRule>
  </conditionalFormatting>
  <conditionalFormatting sqref="BD33">
    <cfRule type="expression" dxfId="146" priority="9">
      <formula>AND($C35&lt;&gt;"",BD33="")</formula>
    </cfRule>
  </conditionalFormatting>
  <conditionalFormatting sqref="C152:C319">
    <cfRule type="expression" dxfId="145" priority="513">
      <formula>AND(C152&lt;&gt;"",COUNTIF($C$2:$C$319,C152)&gt;1)</formula>
    </cfRule>
    <cfRule type="expression" dxfId="144" priority="514">
      <formula>AND($C152&lt;&gt;"",C152="")</formula>
    </cfRule>
  </conditionalFormatting>
  <conditionalFormatting sqref="F141 F152:F319">
    <cfRule type="expression" dxfId="143" priority="515">
      <formula>AND(F141&lt;&gt;"",COUNTIF($F$2:$F$319,F141)&gt;1)</formula>
    </cfRule>
    <cfRule type="expression" dxfId="142" priority="516">
      <formula>AND(C141&lt;&gt;"",F141="")</formula>
    </cfRule>
  </conditionalFormatting>
  <conditionalFormatting sqref="E123 E125 E127 E129 E131 E133 E135 E137">
    <cfRule type="expression" dxfId="141" priority="6">
      <formula>AND($C123&lt;&gt;"",E123="")</formula>
    </cfRule>
  </conditionalFormatting>
  <conditionalFormatting sqref="E50">
    <cfRule type="expression" dxfId="140" priority="5">
      <formula>AND($C50&lt;&gt;"",E50="")</formula>
    </cfRule>
  </conditionalFormatting>
  <conditionalFormatting sqref="E18 E20 E22">
    <cfRule type="expression" dxfId="139" priority="4">
      <formula>AND($C18&lt;&gt;"",E18="")</formula>
    </cfRule>
  </conditionalFormatting>
  <conditionalFormatting sqref="I14">
    <cfRule type="expression" dxfId="138" priority="3">
      <formula>AND($C14&lt;&gt;"",I14="")</formula>
    </cfRule>
  </conditionalFormatting>
  <conditionalFormatting sqref="I21">
    <cfRule type="expression" dxfId="137" priority="2">
      <formula>AND($C21&lt;&gt;"",I21="")</formula>
    </cfRule>
  </conditionalFormatting>
  <conditionalFormatting sqref="E16">
    <cfRule type="expression" dxfId="136" priority="1">
      <formula>AND($C16&lt;&gt;"",E16="")</formula>
    </cfRule>
  </conditionalFormatting>
  <dataValidations count="1">
    <dataValidation type="whole" allowBlank="1" errorTitle="Invalid year" error="Enter a year between 2014 and 2030." promptTitle="Publication Year" prompt="Enter the publication year (numeric)." sqref="D152:D319" xr:uid="{00000000-0002-0000-0000-00000B000000}">
      <formula1>2014</formula1>
      <formula2>2030</formula2>
    </dataValidation>
  </dataValidations>
  <hyperlinks>
    <hyperlink ref="B49" r:id="rId1" xr:uid="{A8FA0C73-BC78-40DC-9900-BC04C9C4470C}"/>
    <hyperlink ref="F49" r:id="rId2" xr:uid="{D2892E05-3DA1-4908-A0CD-8267D4427D3C}"/>
    <hyperlink ref="F73" r:id="rId3" xr:uid="{39F5E145-0BD9-47C9-8F91-41ABA4A40DBF}"/>
    <hyperlink ref="F26" r:id="rId4" xr:uid="{565DCA35-3881-46AD-A19B-D54534F6BCBD}"/>
    <hyperlink ref="F74" r:id="rId5" xr:uid="{A1107F14-4662-4295-81AE-9043DFBDF4E8}"/>
    <hyperlink ref="B37" r:id="rId6" xr:uid="{941A55A2-3E66-413E-B687-3DC0074B65C3}"/>
    <hyperlink ref="F37" r:id="rId7" xr:uid="{EEE70CAE-C088-431E-97FF-D9FF156C2E33}"/>
    <hyperlink ref="F75" r:id="rId8" xr:uid="{DBF7855D-CE02-4EB1-B91C-585EFB102DCB}"/>
    <hyperlink ref="F76" r:id="rId9" xr:uid="{540D5F5B-1F71-4013-BB66-6A80E8266CA4}"/>
    <hyperlink ref="F77" r:id="rId10" xr:uid="{837D5B92-F11C-4590-9BF6-6E42A28A3062}"/>
    <hyperlink ref="F78" r:id="rId11" xr:uid="{FC0B057D-89DB-4B62-9B30-EE95A287B0D4}"/>
    <hyperlink ref="D62" r:id="rId12" display="10.1016/j.neubiorev.2007.05.010" xr:uid="{1939164E-AB44-4EE3-B183-981EE98AC3EC}"/>
    <hyperlink ref="F62" r:id="rId13" xr:uid="{4A946CE9-91DD-454B-ADBD-24683F30039D}"/>
    <hyperlink ref="F63" r:id="rId14" xr:uid="{D87E6CF4-09C8-4CC7-A0BE-A16DC0EAA604}"/>
    <hyperlink ref="F79" r:id="rId15" xr:uid="{90721001-96BB-4B3B-AEBB-250A6FA5CD29}"/>
    <hyperlink ref="B38" r:id="rId16" xr:uid="{EA9375FA-CD5F-4304-BAFA-9BDA354055BC}"/>
    <hyperlink ref="F38" r:id="rId17" xr:uid="{E90A6CF9-44F3-4065-8ABA-D4478E4D134F}"/>
    <hyperlink ref="F64" r:id="rId18" xr:uid="{F2D57972-36F7-4879-93F0-EE0B52AD225F}"/>
    <hyperlink ref="F80" r:id="rId19" xr:uid="{FBC0F0F5-A031-4F68-B39D-64CF146E71C5}"/>
    <hyperlink ref="F81" r:id="rId20" xr:uid="{DAA01479-6EDD-4B90-B4FD-B9DEF5801DEF}"/>
    <hyperlink ref="B67" r:id="rId21" xr:uid="{04AD3BAB-947B-458D-A9D8-B1AF7CBDDAAB}"/>
    <hyperlink ref="F67" r:id="rId22" xr:uid="{455B344F-B4E9-463C-B897-BC69B25435B3}"/>
    <hyperlink ref="B39" r:id="rId23" xr:uid="{03987824-6A01-46CD-8396-4A843DF7E34F}"/>
    <hyperlink ref="F39" r:id="rId24" xr:uid="{EC218DCB-0948-430C-B11B-9C98A8748BD4}"/>
    <hyperlink ref="F40" r:id="rId25" xr:uid="{E58FF41A-88AE-4F39-A3B8-33E6F849E488}"/>
    <hyperlink ref="F82" r:id="rId26" xr:uid="{4CBE092A-D3B9-418F-9171-EB2B49030C7C}"/>
    <hyperlink ref="F41" r:id="rId27" xr:uid="{FF9FF4F2-7C2F-4D65-B697-85DFC45E3651}"/>
    <hyperlink ref="F2" r:id="rId28" xr:uid="{E5F01673-F40E-47D6-88FE-0A88CDD2018F}"/>
    <hyperlink ref="B3" r:id="rId29" xr:uid="{3CA2CD60-0D69-4FBC-ADAE-5DB376DBB171}"/>
    <hyperlink ref="F3" r:id="rId30" xr:uid="{CBFE55FE-C746-44EA-A08E-D043596E6928}"/>
    <hyperlink ref="B4" r:id="rId31" xr:uid="{E192B3D8-C69D-446B-9E90-C89E51289D65}"/>
    <hyperlink ref="F4" r:id="rId32" xr:uid="{0D081839-8003-4221-8863-B6CD33A8E169}"/>
    <hyperlink ref="B5" r:id="rId33" xr:uid="{20963370-21F4-476B-9154-E6E5AB878CBE}"/>
    <hyperlink ref="F5" r:id="rId34" xr:uid="{ABAD8948-2083-4602-AEAA-8349E41C915A}"/>
    <hyperlink ref="F29" r:id="rId35" xr:uid="{F06C906A-F22F-4E0B-80F4-0142C789B006}"/>
    <hyperlink ref="F31" r:id="rId36" xr:uid="{0971FDFC-0739-4F5B-9C44-561D98FB8EE0}"/>
    <hyperlink ref="F28" r:id="rId37" xr:uid="{FA1ECC3A-3A93-4DDF-A247-D497E3536D55}"/>
    <hyperlink ref="B42" r:id="rId38" xr:uid="{B00FE0AB-2A4A-471C-9E15-E31DAD227D73}"/>
    <hyperlink ref="F42" r:id="rId39" xr:uid="{4CC8ADF2-50A0-4037-8652-25170AC032CD}"/>
    <hyperlink ref="F43" r:id="rId40" xr:uid="{D01A0FDC-9B1F-4447-8D13-3E532429726D}"/>
    <hyperlink ref="B44" r:id="rId41" xr:uid="{7B13FAB1-0E3C-436A-9279-EA931E150AF0}"/>
    <hyperlink ref="F44" r:id="rId42" xr:uid="{413F902B-87C1-40FD-9295-0B89318F2DAE}"/>
    <hyperlink ref="B45" r:id="rId43" xr:uid="{51F8AA96-AEDB-4CE4-96CE-B3CA25E67A67}"/>
    <hyperlink ref="F45" r:id="rId44" xr:uid="{ED860480-4AF5-4856-84A7-E8641E0A7238}"/>
    <hyperlink ref="F83" r:id="rId45" xr:uid="{F7503DC3-3852-4E99-9DD8-95C0BECA1FBB}"/>
    <hyperlink ref="B109" r:id="rId46" xr:uid="{96B351ED-6601-44EB-8960-8DDA9179D4F6}"/>
    <hyperlink ref="B120" r:id="rId47" xr:uid="{A9CAC040-4388-4EF8-9E0E-AFB52F8646A7}"/>
    <hyperlink ref="F120" r:id="rId48" xr:uid="{19C6E959-1DB1-4ECD-8796-00D7E91650AA}"/>
    <hyperlink ref="B85" r:id="rId49" xr:uid="{22886E0C-E71B-403C-9FA0-762902AAB15D}"/>
    <hyperlink ref="F85" r:id="rId50" xr:uid="{90FE7A25-688B-4B12-8986-DE4B4FCC894C}"/>
    <hyperlink ref="B86" r:id="rId51" xr:uid="{2833E5A0-5CB1-4ECB-B531-487060AB9610}"/>
    <hyperlink ref="F86" r:id="rId52" xr:uid="{C694B2E2-4EE9-4187-8A6F-E472429405F4}"/>
    <hyperlink ref="F87" r:id="rId53" xr:uid="{98FA26D0-20E6-4B01-BAA6-DEAC7182C524}"/>
    <hyperlink ref="F88" r:id="rId54" xr:uid="{B4644A2B-1AA1-4CC6-BC42-4705013132BD}"/>
    <hyperlink ref="F89" r:id="rId55" xr:uid="{6163D3B0-4506-4A2A-8047-6227FD32F314}"/>
    <hyperlink ref="B46" r:id="rId56" xr:uid="{65EC59C9-C24A-42BC-95B8-2427B8B7FCA6}"/>
    <hyperlink ref="B47" r:id="rId57" xr:uid="{0FD37E43-3652-43B9-B7DF-F863C9DF00D9}"/>
    <hyperlink ref="F47" r:id="rId58" xr:uid="{9D5E439D-E043-4FA5-9803-E07ECC97EFD1}"/>
    <hyperlink ref="B48" r:id="rId59" xr:uid="{0B58DAF2-C60D-4515-89A3-DFB614C67C11}"/>
    <hyperlink ref="F48" r:id="rId60" xr:uid="{516017FA-93B1-41C4-A938-B3943BF0F236}"/>
    <hyperlink ref="B32" r:id="rId61" display="https://doi.org/10.1007/s11042-022-12577-w" xr:uid="{766287A1-E746-4417-90FD-F145661970F7}"/>
    <hyperlink ref="F32" r:id="rId62" xr:uid="{CFF18E4A-CE9D-4EE6-88D0-38C6130DE341}"/>
    <hyperlink ref="F33" r:id="rId63" xr:uid="{DF5A0D2D-3BC9-4AEB-B110-1A95FA04C909}"/>
    <hyperlink ref="F34" r:id="rId64" xr:uid="{5F3E9FA0-E097-466E-8F30-37345F1B9961}"/>
    <hyperlink ref="F36" r:id="rId65" xr:uid="{EE42EF82-498E-4A5F-B3E1-E3847824FE3E}"/>
    <hyperlink ref="F98" r:id="rId66" xr:uid="{3AE0404E-A3A1-4815-8305-335D2921C818}"/>
    <hyperlink ref="B98" r:id="rId67" xr:uid="{91FC695C-78C9-4F4A-8349-F954613A8EC0}"/>
    <hyperlink ref="B99" r:id="rId68" xr:uid="{DAED2E50-4105-4E3B-A1A9-45502A9B585C}"/>
    <hyperlink ref="F99" r:id="rId69" xr:uid="{D01B4B5B-84A6-4D72-933E-5A91D91C6678}"/>
    <hyperlink ref="F100" r:id="rId70" xr:uid="{32D787E3-232E-43DF-BF40-99602B8AA0F8}"/>
    <hyperlink ref="F101" r:id="rId71" xr:uid="{E11A12E5-8C7F-4EDC-B78A-4FC2EB899F6B}"/>
    <hyperlink ref="B110" r:id="rId72" xr:uid="{8AC33030-A92D-47E8-90C2-27CF6C915BD8}"/>
    <hyperlink ref="F110" r:id="rId73" xr:uid="{692DB323-E1C3-4E80-B5BA-3C0EB160CD15}"/>
    <hyperlink ref="B111" r:id="rId74" xr:uid="{DB60AB75-94A2-4D33-ABA9-7446DF4A7857}"/>
    <hyperlink ref="F111" r:id="rId75" location="Sec12" xr:uid="{8C3F88C9-7EE3-4EA8-B2E8-F3CF0A1E9BAE}"/>
    <hyperlink ref="B112" r:id="rId76" xr:uid="{08422664-C80F-4309-AD7B-3D0566C7D743}"/>
    <hyperlink ref="F112" r:id="rId77" location="Abs1" xr:uid="{7FEE8788-D6A1-43D3-AAD6-3F3F090E904D}"/>
    <hyperlink ref="B6" r:id="rId78" display="https://journals.sagepub.com/doi/10.1177/0145482X19842491" xr:uid="{714F1CE6-B0E0-4CFE-A0DD-770A89CDCC63}"/>
    <hyperlink ref="B7" r:id="rId79" display="https://pdfs.semanticscholar.org/9dc6/62fe1c66d32fd96ad040285a9ec3af56c912.pdf/1000" xr:uid="{BE88FAE7-A427-4772-B9D1-16EDBADB6400}"/>
    <hyperlink ref="B8" r:id="rId80" display="https://ojs.aaai.org/index.php/AAAI/article/view/25233?utm_source=chatgpt.com" xr:uid="{298BD4BB-FA78-4B3C-8CD1-8E09E86BAD87}"/>
    <hyperlink ref="B9" r:id="rId81" display="https://ieeexplore.ieee.org/document/6611022" xr:uid="{EFFBCE40-8E6E-4009-A109-9A47B43E20FA}"/>
    <hyperlink ref="B10" r:id="rId82" display="https://ecasp.ece.iit.edu/publications/2012-present/2021-10.pdf" xr:uid="{64AAB3C6-98ED-47F6-8CDE-41FA8AF6E7E1}"/>
    <hyperlink ref="B11" r:id="rId83" display="https://arxiv.org/abs/2108.09174" xr:uid="{B6C82840-15AC-4DF1-9520-D31F86D2BD20}"/>
    <hyperlink ref="B12" r:id="rId84" display="https://arxiv.org/abs/2201.03036" xr:uid="{15C94043-00A6-4F01-B09F-10A89BA68270}"/>
    <hyperlink ref="B13" r:id="rId85" display="https://arxiv.org/abs/2201.04453like " xr:uid="{6D40C60E-A7AA-4706-BCB0-017221723C50}"/>
    <hyperlink ref="F6" r:id="rId86" xr:uid="{B73DEA60-9AF3-4EE9-924F-3008E5826DAD}"/>
    <hyperlink ref="F7" r:id="rId87" xr:uid="{6ED5E1C6-71E0-4DA0-BF54-25214B66BE68}"/>
    <hyperlink ref="F8" r:id="rId88" xr:uid="{DF3E7F6C-8EB0-45D8-9BF5-729057D84F7E}"/>
    <hyperlink ref="F9" r:id="rId89" xr:uid="{ED0CE6B2-A994-46A4-B33A-19B28B936085}"/>
    <hyperlink ref="F10" r:id="rId90" xr:uid="{10EB1D4D-16FD-4A6E-9AEE-548F41CA1392}"/>
    <hyperlink ref="F11" r:id="rId91" xr:uid="{D6869E22-6D02-47E7-8AB2-D7CA3759F01B}"/>
    <hyperlink ref="B113" r:id="rId92" xr:uid="{1EEC7E94-5EC9-4308-96DB-CC5850B83BC4}"/>
    <hyperlink ref="F13" r:id="rId93" xr:uid="{F531196B-71C0-445F-A1C2-C59163E4A6AB}"/>
    <hyperlink ref="F113" r:id="rId94" location="Abs1" xr:uid="{90F2A209-C8FA-4723-9E49-BCB769762550}"/>
    <hyperlink ref="F12" r:id="rId95" xr:uid="{5981A9C8-3557-4C40-9306-73092756B821}"/>
    <hyperlink ref="F114" r:id="rId96" location="Abs1" xr:uid="{2ED13B87-F8E3-49EF-8BC9-F4F9B424F08C}"/>
    <hyperlink ref="F115" r:id="rId97" location="Abs1" xr:uid="{640AA6AE-3537-4816-AB6A-201BB1731718}"/>
    <hyperlink ref="B114" r:id="rId98" xr:uid="{4C0DDC00-FAA2-4B69-9E3F-686EB68E3A65}"/>
    <hyperlink ref="B116" r:id="rId99" xr:uid="{9A67ACFB-752F-48C7-8779-8AFC1C0B79B0}"/>
    <hyperlink ref="B117" r:id="rId100" xr:uid="{84D10C66-8B6B-469B-8149-752764EB2071}"/>
    <hyperlink ref="F117" r:id="rId101" location="Abs1" xr:uid="{8724EAA8-9A7D-472F-B9EA-43028453CC46}"/>
    <hyperlink ref="B118" r:id="rId102" xr:uid="{D794BA05-C440-4A66-9BCA-9501EE61F3AE}"/>
    <hyperlink ref="F118" r:id="rId103" location="Abs1" xr:uid="{2C9D38EC-F83B-4C99-BF2C-B9D39B6CC1F2}"/>
    <hyperlink ref="B131" r:id="rId104" xr:uid="{B8226113-C41F-4365-93D3-49A69CE7E8AE}"/>
    <hyperlink ref="F131" r:id="rId105" xr:uid="{88ABE6ED-9E62-4041-9579-B68D99122C95}"/>
    <hyperlink ref="F133" r:id="rId106" xr:uid="{D546C4D5-8E0E-43D9-B095-C18AFBE7DEA8}"/>
    <hyperlink ref="F134" r:id="rId107" xr:uid="{5C93EDFE-995B-41DC-B745-3624B0D3B4C7}"/>
    <hyperlink ref="B135" r:id="rId108" xr:uid="{C9A7D6A7-76B9-4269-A7BD-2716D5104618}"/>
    <hyperlink ref="F135" r:id="rId109" xr:uid="{28E45038-0745-4E30-9DD4-4204EF08B07C}"/>
    <hyperlink ref="F136" r:id="rId110" xr:uid="{89B614E7-E3FE-4EFB-9885-D1B978778E97}"/>
    <hyperlink ref="F128" r:id="rId111" xr:uid="{6A0EB98D-579B-44BE-A43C-430C00A54990}"/>
    <hyperlink ref="B50" r:id="rId112" xr:uid="{23781A60-E050-4FC3-888B-9916B6F3D0AF}"/>
    <hyperlink ref="B51" r:id="rId113" xr:uid="{3BD18140-9FA0-41E3-9260-6FA5AC1EA16A}"/>
    <hyperlink ref="B52" r:id="rId114" xr:uid="{0B2D48AD-6585-47D7-AD88-586563D51F48}"/>
    <hyperlink ref="F50" r:id="rId115" xr:uid="{8A3DDAB0-9282-49E8-8D53-401925CC3C06}"/>
    <hyperlink ref="F51" r:id="rId116" xr:uid="{BB77820F-D30E-4EC0-9EF5-E9EFBA98788B}"/>
    <hyperlink ref="F52" r:id="rId117" xr:uid="{A44BD697-BD88-4C93-BD31-EF67137636B7}"/>
    <hyperlink ref="F53" r:id="rId118" xr:uid="{FF407B1B-C891-4B50-BBA9-FED919F64433}"/>
    <hyperlink ref="B53" r:id="rId119" xr:uid="{B6992A4B-3DF0-4D26-85FF-C98D1FDC5073}"/>
    <hyperlink ref="F54" r:id="rId120" xr:uid="{CD14E0A2-9498-45CD-820C-F685A983997C}"/>
    <hyperlink ref="B54" r:id="rId121" xr:uid="{6F6EACCF-0A31-4F1B-BAF7-C0D9B7CE499E}"/>
    <hyperlink ref="F55" r:id="rId122" xr:uid="{1F25E503-C882-4A7E-94E7-B34085598E67}"/>
    <hyperlink ref="B55" r:id="rId123" xr:uid="{90C0ADDD-8CC9-4CF7-A968-3602CB5EFA9A}"/>
    <hyperlink ref="F56" r:id="rId124" xr:uid="{F10B2EF9-B631-4D9F-A917-5BB8C96F19BB}"/>
    <hyperlink ref="B56" r:id="rId125" display="10.1177/10711813251360704" xr:uid="{E2B8A003-1E39-4006-8C9C-A5D888F58225}"/>
    <hyperlink ref="F57" r:id="rId126" xr:uid="{712E5E8E-0661-4823-BBE5-24625B2A20EC}"/>
    <hyperlink ref="F58" r:id="rId127" xr:uid="{268DCB7E-8E28-4C90-A187-BACC3823E867}"/>
    <hyperlink ref="B58" r:id="rId128" xr:uid="{C8A5D212-AEB2-4E81-9B13-873F60B984A7}"/>
    <hyperlink ref="B59" r:id="rId129" xr:uid="{12C20773-8FF0-4848-94F4-BCFC0A146DB1}"/>
    <hyperlink ref="F59" r:id="rId130" xr:uid="{DC0A6921-FCCC-4FDC-8E2E-531515A8F127}"/>
    <hyperlink ref="F60" r:id="rId131" xr:uid="{F90E1B44-7FF0-4A04-AFCB-3A277EE1D409}"/>
    <hyperlink ref="B60" r:id="rId132" xr:uid="{ECE812A9-4E80-44E3-B60E-63DBEBC01F4B}"/>
    <hyperlink ref="B61" r:id="rId133" xr:uid="{49E34A03-0127-48B4-AA65-FCBF36D82D03}"/>
    <hyperlink ref="F61" r:id="rId134" xr:uid="{ED0947B8-496F-47ED-A950-0451264A9238}"/>
    <hyperlink ref="F19" r:id="rId135" xr:uid="{3C114D65-44DB-48C2-9773-B573A36B2E82}"/>
    <hyperlink ref="B20" r:id="rId136" xr:uid="{BBF666FD-A0F9-422D-B64C-61B870063358}"/>
    <hyperlink ref="F20" r:id="rId137" xr:uid="{BE47A32A-15BE-4D87-B003-A96ECCFF7A3A}"/>
    <hyperlink ref="B22" r:id="rId138" xr:uid="{468F5710-8B39-4989-8AE8-5471E5C2DE43}"/>
    <hyperlink ref="F22" r:id="rId139" xr:uid="{4CDE7906-ACA4-4DEE-A7C2-E50D625E0E9E}"/>
    <hyperlink ref="F23" r:id="rId140" xr:uid="{CA06C067-B246-4484-9227-E32295EDC9F5}"/>
    <hyperlink ref="F14" r:id="rId141" xr:uid="{A2B5E7C8-1C65-444A-BE11-8264315C3AA4}"/>
    <hyperlink ref="F21" r:id="rId142" xr:uid="{857C3808-BF2D-4CFF-AB3E-05BA1D2D3570}"/>
    <hyperlink ref="F15" r:id="rId143" xr:uid="{BB37FB64-4C98-43D0-BF53-14FB4B9D7250}"/>
    <hyperlink ref="F18" r:id="rId144" xr:uid="{778764AE-A4F9-46D4-BF0B-A2BD1BE35118}"/>
    <hyperlink ref="B18" r:id="rId145" xr:uid="{9BC21922-2B9A-43A2-BCA0-B22081AB654C}"/>
    <hyperlink ref="B24" r:id="rId146" xr:uid="{89024EA9-E0A5-4A5E-BBDB-30B222CD2B15}"/>
    <hyperlink ref="B16" r:id="rId147" xr:uid="{843A842B-8A18-4002-9814-C9775BB55A64}"/>
    <hyperlink ref="F16" r:id="rId148" xr:uid="{4C37B932-6DBF-42AC-8643-8629DE91E473}"/>
    <hyperlink ref="B25" r:id="rId149" xr:uid="{96B3A507-5258-49B2-A98C-450BD9E988C1}"/>
    <hyperlink ref="F24" r:id="rId150" xr:uid="{399B8430-8CDA-4F18-B351-C878B4EED670}"/>
    <hyperlink ref="F25" r:id="rId151" xr:uid="{9CEAA986-F83E-416D-A11B-5D08317B02A0}"/>
  </hyperlinks>
  <pageMargins left="0.75" right="0.75" top="1" bottom="1" header="0.511811023622047" footer="0.511811023622047"/>
  <pageSetup paperSize="9" orientation="portrait" horizontalDpi="300" verticalDpi="300"/>
  <tableParts count="1">
    <tablePart r:id="rId152"/>
  </tableParts>
  <extLst>
    <ext xmlns:x14="http://schemas.microsoft.com/office/spreadsheetml/2009/9/main" uri="{CCE6A557-97BC-4b89-ADB6-D9C93CAAB3DF}">
      <x14:dataValidations xmlns:xm="http://schemas.microsoft.com/office/excel/2006/main" count="1">
        <x14:dataValidation type="list" allowBlank="1" errorTitle="Invalid entry" error="Please choose a value from the dropdown list." promptTitle="Publisher" prompt="Select the publisher." xr:uid="{00000000-0002-0000-0000-000001000000}">
          <x14:formula1>
            <xm:f>Lists!$B$2:$B$11</xm:f>
          </x14:formula1>
          <x14:formula2>
            <xm:f>0</xm:f>
          </x14:formula2>
          <xm:sqref>E139 E2 E4 E103 E105 E107 E109 E133 E131 E123 E125 E127 E85 E26 E119 E29 E31 BC33 E35 E37 E39 E41 E43 E45 E47 E49:E50 E121 E111 E113 E115 E117 E129 E63 E65 E67 E69 E71 E74 E76 E78 E80 E82 E152:E319 E87 E89 E91 E93 E95 E97 E99 E101 E137 E135 E14 E16 E18 E20 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D57A8-28B7-41D2-864C-93764F4AB7BF}">
  <sheetPr>
    <tabColor rgb="FF003C71"/>
  </sheetPr>
  <dimension ref="A1:O84"/>
  <sheetViews>
    <sheetView zoomScaleNormal="100" workbookViewId="0">
      <pane xSplit="1" topLeftCell="B1" activePane="topRight" state="frozen"/>
      <selection pane="topRight" activeCell="C12" sqref="C12"/>
      <selection activeCell="A3" sqref="A3"/>
    </sheetView>
  </sheetViews>
  <sheetFormatPr defaultColWidth="13.42578125" defaultRowHeight="15"/>
  <cols>
    <col min="1" max="1" width="6.5703125" bestFit="1" customWidth="1"/>
    <col min="2" max="2" width="33.28515625" customWidth="1"/>
    <col min="3" max="3" width="122.28515625" bestFit="1" customWidth="1"/>
    <col min="4" max="4" width="21.5703125" customWidth="1"/>
    <col min="5" max="5" width="17" style="33" bestFit="1" customWidth="1"/>
    <col min="6" max="6" width="78" bestFit="1" customWidth="1"/>
    <col min="7" max="7" width="44.140625" bestFit="1" customWidth="1"/>
    <col min="8" max="8" width="23.140625" customWidth="1"/>
    <col min="9" max="9" width="133" bestFit="1" customWidth="1"/>
    <col min="10" max="10" width="99.140625" bestFit="1" customWidth="1"/>
    <col min="11" max="11" width="221.7109375" bestFit="1" customWidth="1"/>
    <col min="12" max="12" width="25" style="33" customWidth="1"/>
    <col min="13" max="13" width="102.7109375" style="33" bestFit="1" customWidth="1"/>
    <col min="14" max="14" width="25.85546875" style="33" bestFit="1" customWidth="1"/>
    <col min="15" max="15" width="100.7109375" bestFit="1" customWidth="1"/>
  </cols>
  <sheetData>
    <row r="1" spans="1:15">
      <c r="B1" s="38" t="s">
        <v>0</v>
      </c>
      <c r="C1" s="38" t="s">
        <v>1</v>
      </c>
      <c r="D1" s="38" t="s">
        <v>2</v>
      </c>
      <c r="E1" s="38" t="s">
        <v>3</v>
      </c>
      <c r="F1" s="38" t="s">
        <v>4</v>
      </c>
      <c r="G1" s="38" t="s">
        <v>5</v>
      </c>
      <c r="H1" s="38" t="s">
        <v>6</v>
      </c>
      <c r="I1" s="38" t="s">
        <v>7</v>
      </c>
      <c r="J1" s="38" t="s">
        <v>8</v>
      </c>
      <c r="K1" s="38" t="s">
        <v>9</v>
      </c>
      <c r="L1" s="38" t="s">
        <v>623</v>
      </c>
      <c r="M1" s="38" t="s">
        <v>11</v>
      </c>
      <c r="N1" s="33" t="s">
        <v>624</v>
      </c>
      <c r="O1" t="s">
        <v>625</v>
      </c>
    </row>
    <row r="2" spans="1:15" ht="16.5" customHeight="1">
      <c r="A2" s="353" t="s">
        <v>572</v>
      </c>
      <c r="B2" s="35" t="s">
        <v>483</v>
      </c>
      <c r="C2" s="35"/>
      <c r="D2" s="35"/>
      <c r="E2" s="83"/>
      <c r="F2" s="35"/>
      <c r="G2" s="35"/>
      <c r="H2" s="72" t="s">
        <v>282</v>
      </c>
      <c r="I2" s="35" t="s">
        <v>370</v>
      </c>
      <c r="J2" s="35"/>
      <c r="K2" s="35"/>
    </row>
    <row r="3" spans="1:15" ht="16.5" customHeight="1">
      <c r="A3" s="353"/>
      <c r="B3" t="s">
        <v>483</v>
      </c>
      <c r="F3" s="34"/>
      <c r="G3" s="34"/>
      <c r="H3" s="72" t="s">
        <v>282</v>
      </c>
      <c r="I3" s="34" t="s">
        <v>370</v>
      </c>
      <c r="J3" s="34"/>
      <c r="K3" s="34"/>
    </row>
    <row r="4" spans="1:15" ht="16.5" customHeight="1">
      <c r="A4" s="353"/>
      <c r="B4" s="35" t="s">
        <v>483</v>
      </c>
      <c r="C4" s="35"/>
      <c r="D4" s="35"/>
      <c r="E4" s="83"/>
      <c r="F4" s="35"/>
      <c r="G4" s="35"/>
      <c r="H4" s="72" t="s">
        <v>282</v>
      </c>
      <c r="I4" s="35" t="s">
        <v>370</v>
      </c>
      <c r="J4" s="35"/>
      <c r="K4" s="35"/>
    </row>
    <row r="5" spans="1:15" ht="16.5" customHeight="1">
      <c r="A5" s="353"/>
      <c r="B5" t="s">
        <v>483</v>
      </c>
      <c r="F5" s="34"/>
      <c r="G5" s="34"/>
      <c r="H5" s="72" t="s">
        <v>282</v>
      </c>
      <c r="I5" s="34" t="s">
        <v>370</v>
      </c>
      <c r="J5" s="34"/>
      <c r="K5" s="34"/>
    </row>
    <row r="6" spans="1:15" ht="16.5" customHeight="1">
      <c r="A6" s="353"/>
      <c r="B6" s="35" t="s">
        <v>483</v>
      </c>
      <c r="C6" s="35"/>
      <c r="D6" s="35"/>
      <c r="E6" s="83"/>
      <c r="F6" s="35"/>
      <c r="G6" s="35"/>
      <c r="H6" s="72" t="s">
        <v>282</v>
      </c>
      <c r="I6" s="35" t="s">
        <v>370</v>
      </c>
      <c r="J6" s="35"/>
      <c r="K6" s="35"/>
    </row>
    <row r="7" spans="1:15" ht="16.5" customHeight="1">
      <c r="A7" s="353"/>
      <c r="B7" t="s">
        <v>483</v>
      </c>
      <c r="F7" s="34"/>
      <c r="G7" s="34"/>
      <c r="H7" s="72" t="s">
        <v>282</v>
      </c>
      <c r="I7" s="34" t="s">
        <v>370</v>
      </c>
      <c r="J7" s="34"/>
      <c r="K7" s="34"/>
    </row>
    <row r="8" spans="1:15" ht="33.75" customHeight="1">
      <c r="A8" s="353"/>
      <c r="B8" s="35" t="s">
        <v>573</v>
      </c>
      <c r="C8" s="35" t="s">
        <v>574</v>
      </c>
      <c r="D8" s="300" t="s">
        <v>575</v>
      </c>
      <c r="E8" s="83" t="s">
        <v>64</v>
      </c>
      <c r="F8" s="47" t="s">
        <v>576</v>
      </c>
      <c r="G8" s="35" t="s">
        <v>577</v>
      </c>
      <c r="H8" s="75" t="s">
        <v>21</v>
      </c>
      <c r="I8" s="35" t="s">
        <v>578</v>
      </c>
      <c r="J8" s="35" t="s">
        <v>579</v>
      </c>
      <c r="K8" s="35" t="s">
        <v>580</v>
      </c>
      <c r="L8" s="33" t="s">
        <v>581</v>
      </c>
      <c r="M8" s="33" t="s">
        <v>582</v>
      </c>
      <c r="N8" s="33" t="s">
        <v>583</v>
      </c>
      <c r="O8" t="s">
        <v>584</v>
      </c>
    </row>
    <row r="9" spans="1:15" ht="16.5" customHeight="1">
      <c r="A9" s="353"/>
      <c r="B9" t="s">
        <v>585</v>
      </c>
      <c r="C9" s="40" t="s">
        <v>586</v>
      </c>
      <c r="D9" s="107">
        <v>37967</v>
      </c>
      <c r="F9" s="34"/>
      <c r="G9" s="34"/>
      <c r="H9" s="72" t="s">
        <v>282</v>
      </c>
      <c r="I9" s="34" t="s">
        <v>587</v>
      </c>
      <c r="J9" s="34"/>
      <c r="K9" s="34"/>
    </row>
    <row r="10" spans="1:15" ht="43.5">
      <c r="A10" s="353"/>
      <c r="B10" s="35" t="s">
        <v>483</v>
      </c>
      <c r="C10" s="42" t="s">
        <v>588</v>
      </c>
      <c r="D10" s="35"/>
      <c r="E10" s="83"/>
      <c r="F10" s="35"/>
      <c r="G10" s="35"/>
      <c r="H10" s="72" t="s">
        <v>282</v>
      </c>
      <c r="I10" s="35" t="s">
        <v>587</v>
      </c>
      <c r="J10" s="35"/>
      <c r="K10" s="35"/>
    </row>
    <row r="11" spans="1:15" ht="30.75" customHeight="1">
      <c r="A11" s="353"/>
      <c r="B11" s="41" t="s">
        <v>589</v>
      </c>
      <c r="C11" s="40" t="s">
        <v>590</v>
      </c>
      <c r="D11" s="44">
        <v>45088</v>
      </c>
      <c r="E11" s="33" t="s">
        <v>135</v>
      </c>
      <c r="F11" s="45" t="s">
        <v>591</v>
      </c>
      <c r="G11" s="34"/>
      <c r="H11" s="75" t="s">
        <v>153</v>
      </c>
      <c r="I11" s="34"/>
      <c r="J11" s="34"/>
      <c r="K11" s="34"/>
      <c r="N11" s="33" t="s">
        <v>592</v>
      </c>
      <c r="O11" t="s">
        <v>593</v>
      </c>
    </row>
    <row r="12" spans="1:15" ht="16.5" customHeight="1">
      <c r="A12" s="353"/>
      <c r="B12" s="35" t="s">
        <v>594</v>
      </c>
      <c r="C12" s="72" t="s">
        <v>595</v>
      </c>
      <c r="D12" s="35" t="s">
        <v>596</v>
      </c>
      <c r="E12" s="83" t="s">
        <v>64</v>
      </c>
      <c r="F12" s="35"/>
      <c r="G12" s="35"/>
      <c r="H12" s="72" t="s">
        <v>282</v>
      </c>
      <c r="I12" s="35" t="s">
        <v>597</v>
      </c>
      <c r="J12" s="35"/>
      <c r="K12" s="35"/>
    </row>
    <row r="13" spans="1:15" ht="15.75">
      <c r="A13" s="353"/>
      <c r="B13" t="s">
        <v>598</v>
      </c>
      <c r="C13" s="40" t="s">
        <v>599</v>
      </c>
      <c r="D13" s="302">
        <v>45866</v>
      </c>
      <c r="E13" s="33" t="s">
        <v>600</v>
      </c>
      <c r="F13" s="45" t="s">
        <v>601</v>
      </c>
      <c r="G13" s="34" t="s">
        <v>602</v>
      </c>
      <c r="H13" s="75" t="s">
        <v>153</v>
      </c>
      <c r="I13" s="34" t="s">
        <v>603</v>
      </c>
      <c r="J13" s="34" t="s">
        <v>604</v>
      </c>
      <c r="K13" s="34" t="s">
        <v>605</v>
      </c>
      <c r="L13" s="33" t="s">
        <v>606</v>
      </c>
      <c r="M13" s="33" t="s">
        <v>607</v>
      </c>
      <c r="N13" s="33" t="s">
        <v>608</v>
      </c>
      <c r="O13" s="24" t="s">
        <v>609</v>
      </c>
    </row>
    <row r="14" spans="1:15" ht="45.75" customHeight="1">
      <c r="A14" s="353" t="s">
        <v>572</v>
      </c>
      <c r="B14" s="35" t="s">
        <v>610</v>
      </c>
      <c r="C14" s="42" t="s">
        <v>611</v>
      </c>
      <c r="D14" s="92">
        <v>44287</v>
      </c>
      <c r="E14" s="83" t="s">
        <v>64</v>
      </c>
      <c r="F14" s="47" t="s">
        <v>612</v>
      </c>
      <c r="G14" s="35"/>
      <c r="H14" s="75" t="s">
        <v>153</v>
      </c>
      <c r="I14" s="35"/>
      <c r="J14" s="35"/>
      <c r="K14" s="35"/>
      <c r="N14" s="33" t="s">
        <v>613</v>
      </c>
      <c r="O14" t="s">
        <v>614</v>
      </c>
    </row>
    <row r="15" spans="1:15" ht="30.75" customHeight="1">
      <c r="A15" s="353"/>
      <c r="B15" s="41" t="s">
        <v>615</v>
      </c>
      <c r="C15" s="40" t="s">
        <v>616</v>
      </c>
      <c r="D15" s="44">
        <v>45800</v>
      </c>
      <c r="E15" s="33" t="s">
        <v>135</v>
      </c>
      <c r="F15" s="45" t="s">
        <v>617</v>
      </c>
      <c r="G15" s="34"/>
      <c r="H15" s="75" t="s">
        <v>153</v>
      </c>
      <c r="I15" s="34"/>
      <c r="J15" s="34"/>
      <c r="K15" s="34"/>
      <c r="N15" s="33" t="s">
        <v>618</v>
      </c>
      <c r="O15" t="s">
        <v>593</v>
      </c>
    </row>
    <row r="16" spans="1:15" ht="15.75" customHeight="1">
      <c r="A16" s="353"/>
      <c r="B16" s="35" t="s">
        <v>619</v>
      </c>
      <c r="C16" s="35" t="s">
        <v>620</v>
      </c>
      <c r="D16" s="107">
        <v>40148</v>
      </c>
      <c r="E16" s="83" t="s">
        <v>621</v>
      </c>
      <c r="F16" s="47" t="s">
        <v>622</v>
      </c>
      <c r="G16" s="35"/>
      <c r="H16" s="72" t="s">
        <v>282</v>
      </c>
      <c r="I16" s="35" t="s">
        <v>587</v>
      </c>
      <c r="J16" s="35"/>
      <c r="K16" s="35"/>
    </row>
    <row r="17" spans="1:14" ht="16.5" customHeight="1">
      <c r="A17" s="353"/>
      <c r="B17" t="s">
        <v>483</v>
      </c>
      <c r="F17" s="34"/>
      <c r="G17" s="34"/>
      <c r="H17" s="72" t="s">
        <v>282</v>
      </c>
      <c r="I17" s="34"/>
      <c r="J17" s="34"/>
      <c r="K17" s="34"/>
    </row>
    <row r="18" spans="1:14" ht="21" customHeight="1">
      <c r="A18" s="353"/>
      <c r="B18" s="35"/>
      <c r="C18" s="35"/>
      <c r="D18" s="35"/>
      <c r="E18" s="83"/>
      <c r="F18" s="35"/>
      <c r="G18" s="35"/>
      <c r="H18" s="35"/>
      <c r="I18" s="35"/>
      <c r="J18" s="35"/>
      <c r="K18" s="35"/>
    </row>
    <row r="19" spans="1:14" ht="30.75" customHeight="1">
      <c r="A19" s="353"/>
      <c r="F19" s="34"/>
      <c r="G19" s="34"/>
      <c r="H19" s="34"/>
      <c r="I19" s="34"/>
      <c r="J19" s="34"/>
      <c r="K19" s="34"/>
    </row>
    <row r="20" spans="1:14" ht="60.75" customHeight="1">
      <c r="A20" s="353"/>
      <c r="B20" s="35"/>
      <c r="C20" s="35"/>
      <c r="D20" s="35"/>
      <c r="E20" s="83"/>
      <c r="F20" s="35"/>
      <c r="G20" s="35"/>
      <c r="H20" s="35"/>
      <c r="I20" s="35"/>
      <c r="J20" s="35"/>
      <c r="K20" s="35"/>
    </row>
    <row r="21" spans="1:14" ht="15" customHeight="1">
      <c r="A21" s="353"/>
      <c r="D21" s="34"/>
      <c r="E21" s="91"/>
      <c r="F21" s="34"/>
      <c r="G21" s="28"/>
    </row>
    <row r="22" spans="1:14" ht="30.75" customHeight="1">
      <c r="A22" s="353"/>
    </row>
    <row r="23" spans="1:14" ht="30.75" customHeight="1">
      <c r="A23" s="353"/>
    </row>
    <row r="24" spans="1:14" ht="16.5" customHeight="1">
      <c r="A24" s="353"/>
    </row>
    <row r="25" spans="1:14" s="185" customFormat="1" ht="16.5" customHeight="1">
      <c r="A25" s="353"/>
      <c r="B25"/>
      <c r="C25"/>
      <c r="D25"/>
      <c r="E25" s="33"/>
      <c r="F25"/>
      <c r="G25"/>
      <c r="H25"/>
      <c r="I25"/>
      <c r="J25"/>
      <c r="K25"/>
      <c r="L25" s="33"/>
      <c r="M25" s="33"/>
      <c r="N25" s="301"/>
    </row>
    <row r="26" spans="1:14">
      <c r="B26" s="25" t="str">
        <f>IF(C26="","","PID-"&amp;TEXT(ROW()-2,"0000"))</f>
        <v/>
      </c>
      <c r="C26" s="25"/>
      <c r="D26" s="25"/>
      <c r="E26" s="255"/>
      <c r="F26" s="25"/>
      <c r="G26" s="25"/>
    </row>
    <row r="27" spans="1:14">
      <c r="B27" s="25" t="str">
        <f>IF(C27="","","PID-"&amp;TEXT(ROW()-2,"0000"))</f>
        <v/>
      </c>
      <c r="C27" s="25"/>
      <c r="D27" s="25"/>
      <c r="E27" s="255"/>
      <c r="F27" s="25"/>
      <c r="G27" s="25"/>
    </row>
    <row r="28" spans="1:14">
      <c r="B28" s="25" t="str">
        <f>IF(C28="","","PID-"&amp;TEXT(ROW()-2,"0000"))</f>
        <v/>
      </c>
      <c r="C28" s="25"/>
      <c r="D28" s="25"/>
      <c r="E28" s="255"/>
      <c r="F28" s="25"/>
      <c r="G28" s="25"/>
    </row>
    <row r="29" spans="1:14">
      <c r="B29" s="25"/>
      <c r="C29" s="25"/>
      <c r="D29" s="25"/>
      <c r="E29" s="255"/>
      <c r="F29" s="25"/>
      <c r="G29" s="25"/>
    </row>
    <row r="30" spans="1:14">
      <c r="B30" s="25">
        <v>0</v>
      </c>
      <c r="C30" s="308" t="s">
        <v>626</v>
      </c>
      <c r="D30" s="25"/>
      <c r="E30" s="255"/>
      <c r="F30" s="25"/>
      <c r="G30" s="25"/>
    </row>
    <row r="31" spans="1:14">
      <c r="B31" s="25">
        <v>1</v>
      </c>
      <c r="C31" s="309" t="s">
        <v>627</v>
      </c>
      <c r="D31" s="25"/>
      <c r="E31" s="255"/>
      <c r="F31" s="25"/>
      <c r="G31" s="25"/>
    </row>
    <row r="32" spans="1:14">
      <c r="B32" s="25" t="str">
        <f>IF(C32="","","PID-"&amp;TEXT(ROW()-2,"0000"))</f>
        <v/>
      </c>
      <c r="C32" s="25"/>
      <c r="D32" s="25"/>
      <c r="E32" s="255"/>
      <c r="F32" s="25"/>
      <c r="G32" s="25"/>
    </row>
    <row r="33" spans="2:7">
      <c r="B33" s="25" t="str">
        <f>IF(C33="","","PID-"&amp;TEXT(ROW()-2,"0000"))</f>
        <v/>
      </c>
      <c r="C33" s="25"/>
      <c r="D33" s="25"/>
      <c r="E33" s="255"/>
      <c r="F33" s="25"/>
      <c r="G33" s="25"/>
    </row>
    <row r="34" spans="2:7">
      <c r="B34" s="25" t="str">
        <f>IF(C34="","","PID-"&amp;TEXT(ROW()-2,"0000"))</f>
        <v/>
      </c>
      <c r="C34" s="25"/>
      <c r="D34" s="25"/>
      <c r="E34" s="255"/>
      <c r="F34" s="25"/>
      <c r="G34" s="25"/>
    </row>
    <row r="35" spans="2:7">
      <c r="B35" s="25" t="str">
        <f>IF(C35="","","PID-"&amp;TEXT(ROW()-2,"0000"))</f>
        <v/>
      </c>
      <c r="C35" s="25"/>
      <c r="D35" s="25"/>
      <c r="E35" s="255"/>
      <c r="F35" s="25"/>
      <c r="G35" s="25"/>
    </row>
    <row r="36" spans="2:7">
      <c r="B36" s="25" t="str">
        <f>IF(C36="","","PID-"&amp;TEXT(ROW()-2,"0000"))</f>
        <v/>
      </c>
      <c r="C36" s="25"/>
      <c r="D36" s="25"/>
      <c r="E36" s="255"/>
      <c r="F36" s="25"/>
      <c r="G36" s="25"/>
    </row>
    <row r="37" spans="2:7">
      <c r="B37" s="25" t="str">
        <f>IF(C37="","","PID-"&amp;TEXT(ROW()-2,"0000"))</f>
        <v/>
      </c>
      <c r="C37" s="25"/>
      <c r="D37" s="25"/>
      <c r="E37" s="255"/>
      <c r="F37" s="25"/>
      <c r="G37" s="25"/>
    </row>
    <row r="38" spans="2:7">
      <c r="B38" s="25" t="str">
        <f>IF(C38="","","PID-"&amp;TEXT(ROW()-2,"0000"))</f>
        <v/>
      </c>
      <c r="C38" s="25"/>
      <c r="D38" s="25"/>
      <c r="E38" s="255"/>
      <c r="F38" s="25"/>
      <c r="G38" s="25"/>
    </row>
    <row r="39" spans="2:7">
      <c r="B39" s="25" t="str">
        <f>IF(C39="","","PID-"&amp;TEXT(ROW()-2,"0000"))</f>
        <v/>
      </c>
      <c r="C39" s="25"/>
      <c r="D39" s="25"/>
      <c r="E39" s="255"/>
      <c r="F39" s="25"/>
      <c r="G39" s="25"/>
    </row>
    <row r="40" spans="2:7">
      <c r="B40" s="25" t="str">
        <f>IF(C40="","","PID-"&amp;TEXT(ROW()-2,"0000"))</f>
        <v/>
      </c>
      <c r="C40" s="25"/>
      <c r="D40" s="25"/>
      <c r="E40" s="255"/>
      <c r="F40" s="25"/>
      <c r="G40" s="25"/>
    </row>
    <row r="41" spans="2:7">
      <c r="B41" s="25" t="str">
        <f>IF(C41="","","PID-"&amp;TEXT(ROW()-2,"0000"))</f>
        <v/>
      </c>
      <c r="C41" s="25"/>
      <c r="D41" s="25"/>
      <c r="E41" s="255"/>
      <c r="F41" s="25"/>
      <c r="G41" s="25"/>
    </row>
    <row r="42" spans="2:7">
      <c r="B42" s="25" t="str">
        <f>IF(C42="","","PID-"&amp;TEXT(ROW()-2,"0000"))</f>
        <v/>
      </c>
      <c r="C42" s="25"/>
      <c r="D42" s="25"/>
      <c r="E42" s="255"/>
      <c r="F42" s="25"/>
      <c r="G42" s="25"/>
    </row>
    <row r="43" spans="2:7">
      <c r="B43" s="25" t="str">
        <f>IF(C43="","","PID-"&amp;TEXT(ROW()-2,"0000"))</f>
        <v/>
      </c>
      <c r="C43" s="25"/>
      <c r="D43" s="25"/>
      <c r="E43" s="255"/>
      <c r="F43" s="25"/>
      <c r="G43" s="25"/>
    </row>
    <row r="44" spans="2:7">
      <c r="B44" s="25" t="str">
        <f>IF(C44="","","PID-"&amp;TEXT(ROW()-2,"0000"))</f>
        <v/>
      </c>
      <c r="C44" s="25"/>
      <c r="D44" s="25"/>
      <c r="E44" s="255"/>
      <c r="F44" s="25"/>
      <c r="G44" s="25"/>
    </row>
    <row r="45" spans="2:7">
      <c r="B45" s="25" t="str">
        <f>IF(C45="","","PID-"&amp;TEXT(ROW()-2,"0000"))</f>
        <v/>
      </c>
      <c r="C45" s="25"/>
      <c r="D45" s="25"/>
      <c r="E45" s="255"/>
      <c r="F45" s="25"/>
      <c r="G45" s="25"/>
    </row>
    <row r="46" spans="2:7">
      <c r="B46" s="25" t="str">
        <f>IF(C46="","","PID-"&amp;TEXT(ROW()-2,"0000"))</f>
        <v/>
      </c>
      <c r="C46" s="25"/>
      <c r="D46" s="25"/>
      <c r="E46" s="255"/>
      <c r="F46" s="25"/>
      <c r="G46" s="25"/>
    </row>
    <row r="47" spans="2:7">
      <c r="B47" s="25" t="str">
        <f>IF(C47="","","PID-"&amp;TEXT(ROW()-2,"0000"))</f>
        <v/>
      </c>
      <c r="C47" s="25"/>
      <c r="D47" s="25"/>
      <c r="E47" s="255"/>
      <c r="F47" s="25"/>
      <c r="G47" s="25"/>
    </row>
    <row r="48" spans="2:7">
      <c r="B48" s="25" t="str">
        <f>IF(C48="","","PID-"&amp;TEXT(ROW()-2,"0000"))</f>
        <v/>
      </c>
      <c r="C48" s="25"/>
      <c r="D48" s="25"/>
      <c r="E48" s="255"/>
      <c r="F48" s="25"/>
      <c r="G48" s="25"/>
    </row>
    <row r="49" spans="2:7">
      <c r="B49" s="25" t="str">
        <f>IF(C49="","","PID-"&amp;TEXT(ROW()-2,"0000"))</f>
        <v/>
      </c>
      <c r="C49" s="25"/>
      <c r="D49" s="25"/>
      <c r="E49" s="255"/>
      <c r="F49" s="25"/>
      <c r="G49" s="25"/>
    </row>
    <row r="50" spans="2:7">
      <c r="B50" s="25" t="str">
        <f>IF(C50="","","PID-"&amp;TEXT(ROW()-2,"0000"))</f>
        <v/>
      </c>
      <c r="C50" s="25"/>
      <c r="D50" s="25"/>
      <c r="E50" s="255"/>
      <c r="F50" s="25"/>
      <c r="G50" s="25"/>
    </row>
    <row r="51" spans="2:7">
      <c r="B51" s="25" t="str">
        <f>IF(C51="","","PID-"&amp;TEXT(ROW()-2,"0000"))</f>
        <v/>
      </c>
      <c r="C51" s="25"/>
      <c r="D51" s="25"/>
      <c r="E51" s="255"/>
      <c r="F51" s="25"/>
      <c r="G51" s="25"/>
    </row>
    <row r="52" spans="2:7">
      <c r="B52" s="25" t="str">
        <f>IF(C52="","","PID-"&amp;TEXT(ROW()-2,"0000"))</f>
        <v/>
      </c>
      <c r="C52" s="25"/>
      <c r="D52" s="25"/>
      <c r="E52" s="255"/>
      <c r="F52" s="25"/>
      <c r="G52" s="25"/>
    </row>
    <row r="53" spans="2:7">
      <c r="B53" s="25" t="str">
        <f>IF(C53="","","PID-"&amp;TEXT(ROW()-2,"0000"))</f>
        <v/>
      </c>
      <c r="C53" s="25"/>
      <c r="D53" s="25"/>
      <c r="E53" s="255"/>
      <c r="F53" s="25"/>
      <c r="G53" s="25"/>
    </row>
    <row r="54" spans="2:7">
      <c r="B54" s="25" t="str">
        <f>IF(C54="","","PID-"&amp;TEXT(ROW()-2,"0000"))</f>
        <v/>
      </c>
      <c r="C54" s="25"/>
      <c r="D54" s="25"/>
      <c r="E54" s="255"/>
      <c r="F54" s="25"/>
      <c r="G54" s="25"/>
    </row>
    <row r="55" spans="2:7">
      <c r="B55" s="25" t="str">
        <f>IF(C55="","","PID-"&amp;TEXT(ROW()-2,"0000"))</f>
        <v/>
      </c>
      <c r="C55" s="25"/>
      <c r="D55" s="25"/>
      <c r="E55" s="255"/>
      <c r="F55" s="25"/>
      <c r="G55" s="25"/>
    </row>
    <row r="56" spans="2:7">
      <c r="B56" s="25" t="str">
        <f>IF(C56="","","PID-"&amp;TEXT(ROW()-2,"0000"))</f>
        <v/>
      </c>
      <c r="C56" s="25"/>
      <c r="D56" s="25"/>
      <c r="E56" s="255"/>
      <c r="F56" s="25"/>
      <c r="G56" s="25"/>
    </row>
    <row r="57" spans="2:7">
      <c r="B57" s="25" t="str">
        <f>IF(C57="","","PID-"&amp;TEXT(ROW()-2,"0000"))</f>
        <v/>
      </c>
      <c r="C57" s="25"/>
      <c r="D57" s="25"/>
      <c r="E57" s="255"/>
      <c r="F57" s="25"/>
      <c r="G57" s="25"/>
    </row>
    <row r="58" spans="2:7">
      <c r="B58" s="25" t="str">
        <f>IF(C58="","","PID-"&amp;TEXT(ROW()-2,"0000"))</f>
        <v/>
      </c>
      <c r="C58" s="25"/>
      <c r="D58" s="25"/>
      <c r="E58" s="255"/>
      <c r="F58" s="25"/>
      <c r="G58" s="25"/>
    </row>
    <row r="59" spans="2:7">
      <c r="B59" s="25" t="str">
        <f>IF(C59="","","PID-"&amp;TEXT(ROW()-2,"0000"))</f>
        <v/>
      </c>
      <c r="C59" s="25"/>
      <c r="D59" s="25"/>
      <c r="E59" s="255"/>
      <c r="F59" s="25"/>
      <c r="G59" s="25"/>
    </row>
    <row r="60" spans="2:7">
      <c r="B60" s="25" t="str">
        <f>IF(C60="","","PID-"&amp;TEXT(ROW()-2,"0000"))</f>
        <v/>
      </c>
      <c r="C60" s="25"/>
      <c r="D60" s="25"/>
      <c r="E60" s="255"/>
      <c r="F60" s="25"/>
      <c r="G60" s="25"/>
    </row>
    <row r="61" spans="2:7">
      <c r="B61" s="25" t="str">
        <f>IF(C61="","","PID-"&amp;TEXT(ROW()-2,"0000"))</f>
        <v/>
      </c>
      <c r="C61" s="25"/>
      <c r="D61" s="25"/>
      <c r="E61" s="255"/>
      <c r="F61" s="25"/>
      <c r="G61" s="25"/>
    </row>
    <row r="62" spans="2:7">
      <c r="B62" s="25" t="str">
        <f>IF(C62="","","PID-"&amp;TEXT(ROW()-2,"0000"))</f>
        <v/>
      </c>
      <c r="C62" s="25"/>
      <c r="D62" s="25"/>
      <c r="E62" s="255"/>
      <c r="F62" s="25"/>
      <c r="G62" s="25"/>
    </row>
    <row r="63" spans="2:7">
      <c r="B63" s="25" t="str">
        <f>IF(C63="","","PID-"&amp;TEXT(ROW()-2,"0000"))</f>
        <v/>
      </c>
      <c r="C63" s="25"/>
      <c r="D63" s="25"/>
      <c r="E63" s="255"/>
      <c r="F63" s="25"/>
      <c r="G63" s="25"/>
    </row>
    <row r="64" spans="2:7">
      <c r="B64" s="25" t="str">
        <f>IF(C64="","","PID-"&amp;TEXT(ROW()-2,"0000"))</f>
        <v/>
      </c>
      <c r="C64" s="25"/>
      <c r="D64" s="25"/>
      <c r="E64" s="255"/>
      <c r="F64" s="25"/>
      <c r="G64" s="25"/>
    </row>
    <row r="65" spans="2:7">
      <c r="B65" s="25" t="str">
        <f>IF(C65="","","PID-"&amp;TEXT(ROW()-2,"0000"))</f>
        <v/>
      </c>
      <c r="C65" s="25"/>
      <c r="D65" s="25"/>
      <c r="E65" s="255"/>
      <c r="F65" s="25"/>
      <c r="G65" s="25"/>
    </row>
    <row r="66" spans="2:7">
      <c r="B66" s="25" t="str">
        <f>IF(C66="","","PID-"&amp;TEXT(ROW()-2,"0000"))</f>
        <v/>
      </c>
      <c r="C66" s="25"/>
      <c r="D66" s="25"/>
      <c r="E66" s="255"/>
      <c r="F66" s="25"/>
      <c r="G66" s="25"/>
    </row>
    <row r="67" spans="2:7">
      <c r="B67" s="25" t="str">
        <f>IF(C67="","","PID-"&amp;TEXT(ROW()-2,"0000"))</f>
        <v/>
      </c>
      <c r="C67" s="25"/>
      <c r="D67" s="25"/>
      <c r="E67" s="255"/>
      <c r="F67" s="25"/>
      <c r="G67" s="25"/>
    </row>
    <row r="68" spans="2:7">
      <c r="B68" s="25" t="str">
        <f>IF(C68="","","PID-"&amp;TEXT(ROW()-2,"0000"))</f>
        <v/>
      </c>
      <c r="C68" s="25"/>
      <c r="D68" s="25"/>
      <c r="E68" s="255"/>
      <c r="F68" s="25"/>
      <c r="G68" s="25"/>
    </row>
    <row r="69" spans="2:7">
      <c r="B69" s="25" t="str">
        <f>IF(C69="","","PID-"&amp;TEXT(ROW()-2,"0000"))</f>
        <v/>
      </c>
      <c r="C69" s="25"/>
      <c r="D69" s="25"/>
      <c r="E69" s="255"/>
      <c r="F69" s="25"/>
      <c r="G69" s="25"/>
    </row>
    <row r="70" spans="2:7">
      <c r="B70" s="25" t="str">
        <f>IF(C70="","","PID-"&amp;TEXT(ROW()-2,"0000"))</f>
        <v/>
      </c>
      <c r="C70" s="25"/>
      <c r="D70" s="25"/>
      <c r="E70" s="255"/>
      <c r="F70" s="25"/>
      <c r="G70" s="25"/>
    </row>
    <row r="71" spans="2:7">
      <c r="B71" s="25" t="str">
        <f>IF(C71="","","PID-"&amp;TEXT(ROW()-2,"0000"))</f>
        <v/>
      </c>
      <c r="C71" s="25"/>
      <c r="D71" s="25"/>
      <c r="E71" s="255"/>
      <c r="F71" s="25"/>
      <c r="G71" s="25"/>
    </row>
    <row r="72" spans="2:7">
      <c r="B72" s="25" t="str">
        <f>IF(C72="","","PID-"&amp;TEXT(ROW()-2,"0000"))</f>
        <v/>
      </c>
      <c r="C72" s="25"/>
      <c r="D72" s="25"/>
      <c r="E72" s="255"/>
      <c r="F72" s="25"/>
      <c r="G72" s="25"/>
    </row>
    <row r="73" spans="2:7">
      <c r="B73" s="25" t="str">
        <f>IF(C73="","","PID-"&amp;TEXT(ROW()-2,"0000"))</f>
        <v/>
      </c>
      <c r="C73" s="25"/>
      <c r="D73" s="25"/>
      <c r="E73" s="255"/>
      <c r="F73" s="25"/>
      <c r="G73" s="25"/>
    </row>
    <row r="74" spans="2:7">
      <c r="B74" s="25" t="str">
        <f>IF(C74="","","PID-"&amp;TEXT(ROW()-2,"0000"))</f>
        <v/>
      </c>
      <c r="C74" s="25"/>
      <c r="D74" s="25"/>
      <c r="E74" s="255"/>
      <c r="F74" s="25"/>
      <c r="G74" s="25"/>
    </row>
    <row r="75" spans="2:7">
      <c r="B75" s="25" t="str">
        <f>IF(C75="","","PID-"&amp;TEXT(ROW()-2,"0000"))</f>
        <v/>
      </c>
      <c r="C75" s="25"/>
      <c r="D75" s="25"/>
      <c r="E75" s="255"/>
      <c r="F75" s="25"/>
      <c r="G75" s="25"/>
    </row>
    <row r="76" spans="2:7">
      <c r="B76" s="25" t="str">
        <f>IF(C76="","","PID-"&amp;TEXT(ROW()-2,"0000"))</f>
        <v/>
      </c>
      <c r="C76" s="25"/>
      <c r="D76" s="25"/>
      <c r="E76" s="255"/>
      <c r="F76" s="25"/>
      <c r="G76" s="25"/>
    </row>
    <row r="77" spans="2:7">
      <c r="B77" s="25" t="str">
        <f>IF(C77="","","PID-"&amp;TEXT(ROW()-2,"0000"))</f>
        <v/>
      </c>
      <c r="C77" s="25"/>
      <c r="D77" s="25"/>
      <c r="E77" s="255"/>
      <c r="F77" s="25"/>
      <c r="G77" s="25"/>
    </row>
    <row r="78" spans="2:7">
      <c r="B78" s="25" t="str">
        <f>IF(C78="","","PID-"&amp;TEXT(ROW()-2,"0000"))</f>
        <v/>
      </c>
      <c r="C78" s="25"/>
      <c r="D78" s="25"/>
      <c r="E78" s="255"/>
      <c r="F78" s="25"/>
      <c r="G78" s="25"/>
    </row>
    <row r="79" spans="2:7">
      <c r="B79" s="25" t="str">
        <f>IF(C79="","","PID-"&amp;TEXT(ROW()-2,"0000"))</f>
        <v/>
      </c>
      <c r="C79" s="25"/>
      <c r="D79" s="25"/>
      <c r="E79" s="255"/>
      <c r="F79" s="25"/>
      <c r="G79" s="25"/>
    </row>
    <row r="80" spans="2:7">
      <c r="B80" s="25" t="str">
        <f>IF(C80="","","PID-"&amp;TEXT(ROW()-2,"0000"))</f>
        <v/>
      </c>
      <c r="C80" s="25"/>
      <c r="D80" s="25"/>
      <c r="E80" s="255"/>
      <c r="F80" s="25"/>
      <c r="G80" s="25"/>
    </row>
    <row r="81" spans="2:7">
      <c r="B81" s="25" t="str">
        <f>IF(C81="","","PID-"&amp;TEXT(ROW()-2,"0000"))</f>
        <v/>
      </c>
      <c r="C81" s="25"/>
      <c r="D81" s="25"/>
      <c r="E81" s="255"/>
      <c r="F81" s="25"/>
      <c r="G81" s="25"/>
    </row>
    <row r="82" spans="2:7">
      <c r="B82" s="25" t="str">
        <f>IF(C82="","","PID-"&amp;TEXT(ROW()-2,"0000"))</f>
        <v/>
      </c>
      <c r="C82" s="25"/>
      <c r="D82" s="25"/>
      <c r="E82" s="255"/>
      <c r="F82" s="25"/>
      <c r="G82" s="25"/>
    </row>
    <row r="83" spans="2:7">
      <c r="B83" s="25" t="str">
        <f>IF(C83="","","PID-"&amp;TEXT(ROW()-2,"0000"))</f>
        <v/>
      </c>
      <c r="C83" s="25"/>
      <c r="D83" s="25"/>
      <c r="E83" s="255"/>
      <c r="F83" s="25"/>
      <c r="G83" s="25"/>
    </row>
    <row r="84" spans="2:7">
      <c r="B84" s="25" t="str">
        <f>IF(C84="","","PID-"&amp;TEXT(ROW()-2,"0000"))</f>
        <v/>
      </c>
      <c r="C84" s="25"/>
      <c r="D84" s="25"/>
      <c r="E84" s="255"/>
      <c r="F84" s="25"/>
      <c r="G84" s="25"/>
    </row>
  </sheetData>
  <mergeCells count="2">
    <mergeCell ref="A2:A13"/>
    <mergeCell ref="A14:A25"/>
  </mergeCells>
  <conditionalFormatting sqref="E3 E5 E7 E9 E11 E13 E15 E17 E19 D26:E84">
    <cfRule type="expression" dxfId="134" priority="8">
      <formula>AND($C3&lt;&gt;"",D3="")</formula>
    </cfRule>
  </conditionalFormatting>
  <conditionalFormatting sqref="C26:C29 C32:C84">
    <cfRule type="expression" dxfId="133" priority="612">
      <formula>AND(C26&lt;&gt;"",COUNTIF($C$2:$C$84,C26)&gt;1)</formula>
    </cfRule>
    <cfRule type="expression" dxfId="132" priority="613">
      <formula>AND($C26&lt;&gt;"",C26="")</formula>
    </cfRule>
  </conditionalFormatting>
  <conditionalFormatting sqref="F21 F26:F84">
    <cfRule type="expression" dxfId="131" priority="614">
      <formula>AND(F21&lt;&gt;"",COUNTIF($F$2:$F$84,F21)&gt;1)</formula>
    </cfRule>
    <cfRule type="expression" dxfId="130" priority="615">
      <formula>AND(C21&lt;&gt;"",F21="")</formula>
    </cfRule>
  </conditionalFormatting>
  <dataValidations count="1">
    <dataValidation type="whole" allowBlank="1" errorTitle="Invalid year" error="Enter a year between 2014 and 2030." promptTitle="Publication Year" prompt="Enter the publication year (numeric)." sqref="D26:D84" xr:uid="{F00B5549-C7F9-4564-B509-A9FE4F0EC304}">
      <formula1>2014</formula1>
      <formula2>2030</formula2>
    </dataValidation>
  </dataValidations>
  <hyperlinks>
    <hyperlink ref="B11" r:id="rId1" xr:uid="{E3D830AE-A8ED-4BCA-AD97-E5273E253135}"/>
    <hyperlink ref="F11" r:id="rId2" xr:uid="{B5857858-E2DB-4BE8-81D0-3B4F434C6F89}"/>
    <hyperlink ref="F13" r:id="rId3" xr:uid="{7AD49843-E0A9-486F-B34E-0973F849D0CF}"/>
    <hyperlink ref="F14" r:id="rId4" xr:uid="{6C8EC9C0-0989-44FD-B722-0C299FCA48B5}"/>
    <hyperlink ref="B15" r:id="rId5" xr:uid="{A1740550-43C9-43FB-88EF-97A4E9A497D7}"/>
    <hyperlink ref="F15" r:id="rId6" xr:uid="{7D817139-E4C5-48A7-9BD6-68D8C505D086}"/>
    <hyperlink ref="F16" r:id="rId7" xr:uid="{39FB3B92-2760-476E-BEDB-9686C92D16B7}"/>
    <hyperlink ref="F8" r:id="rId8" xr:uid="{66B4D597-1639-455D-8F2E-691159F92227}"/>
    <hyperlink ref="C31" r:id="rId9" xr:uid="{9121F369-B844-4237-9A6D-C8659FFA5835}"/>
  </hyperlinks>
  <pageMargins left="0.75" right="0.75" top="1" bottom="1" header="0.511811023622047" footer="0.511811023622047"/>
  <pageSetup paperSize="9" orientation="portrait" horizontalDpi="300" verticalDpi="300"/>
  <tableParts count="1">
    <tablePart r:id="rId10"/>
  </tableParts>
  <extLst>
    <ext xmlns:x14="http://schemas.microsoft.com/office/spreadsheetml/2009/9/main" uri="{CCE6A557-97BC-4b89-ADB6-D9C93CAAB3DF}">
      <x14:dataValidations xmlns:xm="http://schemas.microsoft.com/office/excel/2006/main" count="1">
        <x14:dataValidation type="list" allowBlank="1" errorTitle="Invalid entry" error="Please choose a value from the dropdown list." promptTitle="Publisher" prompt="Select the publisher." xr:uid="{3F38A053-E146-4ECC-A857-7631B823BAB9}">
          <x14:formula1>
            <xm:f>Lists!$B$2:$B$11</xm:f>
          </x14:formula1>
          <x14:formula2>
            <xm:f>0</xm:f>
          </x14:formula2>
          <xm:sqref>E19 E17 E15 E13 E11 E3 E5 E7 E9 E26:E84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F0A8A-2137-41D0-9D7E-56F7762C5E49}">
  <sheetPr>
    <tabColor rgb="FF003C71"/>
  </sheetPr>
  <dimension ref="A1:BD319"/>
  <sheetViews>
    <sheetView zoomScaleNormal="100" workbookViewId="0">
      <pane xSplit="1" topLeftCell="D112" activePane="topRight" state="frozen"/>
      <selection pane="topRight" activeCell="J121" sqref="J121"/>
      <selection activeCell="A3" sqref="A3"/>
    </sheetView>
  </sheetViews>
  <sheetFormatPr defaultColWidth="13.42578125" defaultRowHeight="15"/>
  <cols>
    <col min="1" max="1" width="5" customWidth="1"/>
    <col min="2" max="2" width="63" bestFit="1" customWidth="1"/>
    <col min="3" max="3" width="122.28515625" bestFit="1" customWidth="1"/>
    <col min="4" max="4" width="21.5703125" customWidth="1"/>
    <col min="5" max="5" width="17" style="33" bestFit="1" customWidth="1"/>
    <col min="6" max="6" width="78" bestFit="1" customWidth="1"/>
    <col min="7" max="7" width="44.140625" bestFit="1" customWidth="1"/>
    <col min="8" max="8" width="23.140625" customWidth="1"/>
    <col min="9" max="9" width="133" bestFit="1" customWidth="1"/>
    <col min="10" max="10" width="99.140625" bestFit="1" customWidth="1"/>
    <col min="11" max="11" width="221.7109375" bestFit="1" customWidth="1"/>
    <col min="12" max="12" width="99.140625" customWidth="1"/>
    <col min="13" max="13" width="15" customWidth="1"/>
    <col min="14" max="14" width="18" customWidth="1"/>
  </cols>
  <sheetData>
    <row r="1" spans="1:13">
      <c r="B1" s="38" t="s">
        <v>0</v>
      </c>
      <c r="C1" s="38" t="s">
        <v>1</v>
      </c>
      <c r="D1" s="38" t="s">
        <v>2</v>
      </c>
      <c r="E1" s="38" t="s">
        <v>3</v>
      </c>
      <c r="F1" s="38" t="s">
        <v>4</v>
      </c>
      <c r="G1" s="38" t="s">
        <v>5</v>
      </c>
      <c r="H1" s="38" t="s">
        <v>6</v>
      </c>
      <c r="I1" s="38" t="s">
        <v>7</v>
      </c>
      <c r="J1" s="38" t="s">
        <v>8</v>
      </c>
      <c r="K1" s="38" t="s">
        <v>9</v>
      </c>
      <c r="L1" s="38" t="s">
        <v>10</v>
      </c>
      <c r="M1" s="38" t="s">
        <v>11</v>
      </c>
    </row>
    <row r="2" spans="1:13" ht="16.5" customHeight="1">
      <c r="A2" s="354" t="s">
        <v>15</v>
      </c>
      <c r="B2" t="s">
        <v>16</v>
      </c>
      <c r="C2" s="200" t="s">
        <v>17</v>
      </c>
      <c r="D2" s="77">
        <v>2025</v>
      </c>
      <c r="E2" s="132" t="s">
        <v>18</v>
      </c>
      <c r="F2" s="201" t="s">
        <v>19</v>
      </c>
      <c r="G2" s="215" t="s">
        <v>20</v>
      </c>
      <c r="H2" s="105" t="s">
        <v>21</v>
      </c>
      <c r="I2" s="36"/>
      <c r="J2" s="207" t="s">
        <v>22</v>
      </c>
      <c r="K2" s="207" t="s">
        <v>23</v>
      </c>
      <c r="L2" s="207"/>
      <c r="M2" s="207"/>
    </row>
    <row r="3" spans="1:13" ht="16.5" customHeight="1">
      <c r="A3" s="354"/>
      <c r="B3" s="191" t="s">
        <v>26</v>
      </c>
      <c r="C3" s="202" t="s">
        <v>27</v>
      </c>
      <c r="D3" s="97">
        <v>2025</v>
      </c>
      <c r="E3" s="97" t="s">
        <v>18</v>
      </c>
      <c r="F3" s="127" t="s">
        <v>28</v>
      </c>
      <c r="G3" s="158" t="s">
        <v>29</v>
      </c>
      <c r="H3" s="105" t="s">
        <v>21</v>
      </c>
      <c r="I3" s="35"/>
      <c r="J3" s="208" t="s">
        <v>30</v>
      </c>
      <c r="K3" s="208" t="s">
        <v>31</v>
      </c>
      <c r="L3" s="208"/>
      <c r="M3" s="208"/>
    </row>
    <row r="4" spans="1:13" ht="16.5" customHeight="1">
      <c r="A4" s="354"/>
      <c r="B4" s="190" t="s">
        <v>32</v>
      </c>
      <c r="C4" s="139" t="s">
        <v>33</v>
      </c>
      <c r="D4" s="77">
        <v>2021</v>
      </c>
      <c r="E4" s="77" t="s">
        <v>18</v>
      </c>
      <c r="F4" s="112" t="s">
        <v>34</v>
      </c>
      <c r="G4" s="164" t="s">
        <v>35</v>
      </c>
      <c r="H4" s="105" t="s">
        <v>21</v>
      </c>
      <c r="J4" s="209" t="s">
        <v>36</v>
      </c>
      <c r="K4" s="210" t="s">
        <v>37</v>
      </c>
      <c r="L4" s="210"/>
      <c r="M4" s="209"/>
    </row>
    <row r="5" spans="1:13" ht="16.5" customHeight="1">
      <c r="A5" s="354"/>
      <c r="B5" s="191" t="s">
        <v>38</v>
      </c>
      <c r="C5" s="158" t="s">
        <v>39</v>
      </c>
      <c r="D5" s="97">
        <v>2024</v>
      </c>
      <c r="E5" s="97" t="s">
        <v>18</v>
      </c>
      <c r="F5" s="127" t="s">
        <v>40</v>
      </c>
      <c r="G5" s="158" t="s">
        <v>41</v>
      </c>
      <c r="H5" s="105" t="s">
        <v>21</v>
      </c>
      <c r="I5" s="35"/>
      <c r="J5" s="208" t="s">
        <v>42</v>
      </c>
      <c r="K5" s="208" t="s">
        <v>43</v>
      </c>
      <c r="L5" s="208"/>
      <c r="M5" s="208"/>
    </row>
    <row r="6" spans="1:13" ht="16.5" customHeight="1">
      <c r="A6" s="354"/>
      <c r="B6" s="190" t="s">
        <v>44</v>
      </c>
      <c r="C6" s="33" t="s">
        <v>45</v>
      </c>
      <c r="D6" s="77">
        <v>2019</v>
      </c>
      <c r="E6" s="33" t="s">
        <v>46</v>
      </c>
      <c r="F6" s="112" t="s">
        <v>47</v>
      </c>
      <c r="G6" s="164" t="s">
        <v>48</v>
      </c>
      <c r="H6" s="198" t="s">
        <v>21</v>
      </c>
      <c r="J6" s="209" t="s">
        <v>49</v>
      </c>
      <c r="K6" s="210" t="s">
        <v>50</v>
      </c>
      <c r="L6" s="210"/>
      <c r="M6" s="209"/>
    </row>
    <row r="7" spans="1:13" ht="16.5" customHeight="1">
      <c r="A7" s="354"/>
      <c r="B7" s="191" t="s">
        <v>51</v>
      </c>
      <c r="C7" s="33" t="s">
        <v>52</v>
      </c>
      <c r="D7" s="97">
        <v>2018</v>
      </c>
      <c r="E7" s="189" t="s">
        <v>53</v>
      </c>
      <c r="F7" s="127" t="s">
        <v>54</v>
      </c>
      <c r="G7" s="97"/>
      <c r="H7" s="104" t="s">
        <v>55</v>
      </c>
      <c r="I7" s="199" t="s">
        <v>56</v>
      </c>
      <c r="J7" s="211"/>
      <c r="K7" s="211"/>
      <c r="L7" s="211"/>
      <c r="M7" s="211"/>
    </row>
    <row r="8" spans="1:13" ht="16.5" customHeight="1">
      <c r="A8" s="354"/>
      <c r="B8" s="190" t="s">
        <v>57</v>
      </c>
      <c r="C8" s="33" t="s">
        <v>58</v>
      </c>
      <c r="D8" s="77">
        <v>2023</v>
      </c>
      <c r="E8" s="189" t="s">
        <v>59</v>
      </c>
      <c r="F8" s="112" t="s">
        <v>60</v>
      </c>
      <c r="G8" s="165"/>
      <c r="H8" s="104" t="s">
        <v>55</v>
      </c>
      <c r="I8" s="33" t="s">
        <v>61</v>
      </c>
      <c r="J8" s="209"/>
      <c r="K8" s="209"/>
      <c r="L8" s="209"/>
      <c r="M8" s="209"/>
    </row>
    <row r="9" spans="1:13" ht="16.5" customHeight="1">
      <c r="A9" s="354"/>
      <c r="B9" s="194" t="s">
        <v>62</v>
      </c>
      <c r="C9" s="204" t="s">
        <v>63</v>
      </c>
      <c r="D9" s="195">
        <v>2013</v>
      </c>
      <c r="E9" s="196" t="s">
        <v>64</v>
      </c>
      <c r="F9" s="127" t="s">
        <v>65</v>
      </c>
      <c r="G9" s="158"/>
      <c r="H9" s="104" t="s">
        <v>55</v>
      </c>
      <c r="I9" s="33" t="s">
        <v>66</v>
      </c>
      <c r="J9" s="211"/>
      <c r="K9" s="211"/>
      <c r="L9" s="211"/>
      <c r="M9" s="211"/>
    </row>
    <row r="10" spans="1:13" ht="159">
      <c r="A10" s="354"/>
      <c r="B10" s="193" t="s">
        <v>67</v>
      </c>
      <c r="C10" s="33" t="s">
        <v>68</v>
      </c>
      <c r="D10" s="77">
        <v>2021</v>
      </c>
      <c r="E10" s="33" t="s">
        <v>64</v>
      </c>
      <c r="F10" s="112" t="s">
        <v>69</v>
      </c>
      <c r="G10" s="164" t="s">
        <v>70</v>
      </c>
      <c r="H10" s="198" t="s">
        <v>21</v>
      </c>
      <c r="I10" s="33"/>
      <c r="J10" s="209" t="s">
        <v>71</v>
      </c>
      <c r="K10" s="210" t="s">
        <v>72</v>
      </c>
      <c r="L10" s="210"/>
      <c r="M10" s="209"/>
    </row>
    <row r="11" spans="1:13" ht="30.75" customHeight="1">
      <c r="A11" s="354"/>
      <c r="B11" s="191" t="s">
        <v>73</v>
      </c>
      <c r="C11" s="33" t="s">
        <v>74</v>
      </c>
      <c r="D11" s="97">
        <v>2021</v>
      </c>
      <c r="E11" s="33" t="s">
        <v>75</v>
      </c>
      <c r="F11" s="127" t="s">
        <v>76</v>
      </c>
      <c r="G11" s="158" t="s">
        <v>77</v>
      </c>
      <c r="H11" s="198" t="s">
        <v>21</v>
      </c>
      <c r="I11" s="83"/>
      <c r="J11" s="209" t="s">
        <v>78</v>
      </c>
      <c r="K11" s="208" t="s">
        <v>79</v>
      </c>
      <c r="L11" s="263"/>
      <c r="M11" s="209"/>
    </row>
    <row r="12" spans="1:13" ht="16.5" customHeight="1">
      <c r="A12" s="354"/>
      <c r="B12" s="190" t="s">
        <v>80</v>
      </c>
      <c r="C12" s="33" t="s">
        <v>81</v>
      </c>
      <c r="D12" s="77">
        <v>2022</v>
      </c>
      <c r="E12" s="33" t="s">
        <v>75</v>
      </c>
      <c r="F12" s="205" t="s">
        <v>82</v>
      </c>
      <c r="G12" s="165"/>
      <c r="H12" s="104" t="s">
        <v>55</v>
      </c>
      <c r="I12" s="33" t="s">
        <v>83</v>
      </c>
      <c r="J12" s="209"/>
      <c r="K12" s="209"/>
      <c r="L12" s="209"/>
      <c r="M12" s="209"/>
    </row>
    <row r="13" spans="1:13" ht="115.5">
      <c r="A13" s="354"/>
      <c r="B13" s="192" t="s">
        <v>84</v>
      </c>
      <c r="C13" s="33" t="s">
        <v>85</v>
      </c>
      <c r="D13" s="188">
        <v>2022</v>
      </c>
      <c r="E13" s="33" t="s">
        <v>86</v>
      </c>
      <c r="F13" s="112" t="s">
        <v>87</v>
      </c>
      <c r="G13" s="216" t="s">
        <v>88</v>
      </c>
      <c r="H13" s="198" t="s">
        <v>21</v>
      </c>
      <c r="I13" s="37"/>
      <c r="J13" s="213" t="s">
        <v>89</v>
      </c>
      <c r="K13" s="214" t="s">
        <v>90</v>
      </c>
      <c r="L13" s="261"/>
      <c r="M13" s="213"/>
    </row>
    <row r="14" spans="1:13" ht="45.75" customHeight="1">
      <c r="A14" s="354" t="s">
        <v>91</v>
      </c>
      <c r="B14" s="124" t="s">
        <v>92</v>
      </c>
      <c r="C14" s="139" t="s">
        <v>93</v>
      </c>
      <c r="D14" s="77">
        <v>2025</v>
      </c>
      <c r="E14" s="104" t="s">
        <v>94</v>
      </c>
      <c r="F14" s="125" t="s">
        <v>95</v>
      </c>
      <c r="G14" s="118" t="s">
        <v>96</v>
      </c>
      <c r="H14" s="104" t="s">
        <v>55</v>
      </c>
      <c r="I14" s="77" t="s">
        <v>97</v>
      </c>
      <c r="J14" s="118" t="s">
        <v>96</v>
      </c>
      <c r="K14" s="118" t="s">
        <v>96</v>
      </c>
    </row>
    <row r="15" spans="1:13" ht="30.75" customHeight="1">
      <c r="A15" s="355"/>
      <c r="B15" s="126" t="s">
        <v>98</v>
      </c>
      <c r="C15" s="181" t="s">
        <v>99</v>
      </c>
      <c r="D15" s="97">
        <v>2026</v>
      </c>
      <c r="E15" s="240" t="s">
        <v>100</v>
      </c>
      <c r="F15" s="127" t="s">
        <v>101</v>
      </c>
      <c r="G15" s="106"/>
      <c r="H15" s="197" t="s">
        <v>21</v>
      </c>
      <c r="I15" s="35"/>
      <c r="J15" s="35"/>
      <c r="K15" s="35"/>
    </row>
    <row r="16" spans="1:13" ht="15.75" customHeight="1">
      <c r="A16" s="355"/>
      <c r="B16" s="232"/>
      <c r="C16" s="241" t="s">
        <v>628</v>
      </c>
      <c r="D16" s="233"/>
      <c r="E16" s="234"/>
      <c r="F16" s="235"/>
      <c r="G16" s="129"/>
      <c r="H16" s="236" t="s">
        <v>629</v>
      </c>
      <c r="I16" s="34"/>
      <c r="J16" s="34"/>
      <c r="K16" s="34"/>
    </row>
    <row r="17" spans="1:16" ht="16.5" customHeight="1">
      <c r="A17" s="355"/>
      <c r="B17" s="127"/>
      <c r="C17" s="242" t="s">
        <v>109</v>
      </c>
      <c r="D17" s="97">
        <v>2025</v>
      </c>
      <c r="E17" s="149" t="s">
        <v>110</v>
      </c>
      <c r="F17" s="127"/>
      <c r="G17" s="123"/>
      <c r="H17" s="104" t="s">
        <v>55</v>
      </c>
      <c r="I17" s="35"/>
      <c r="J17" s="35"/>
      <c r="K17" s="35"/>
    </row>
    <row r="18" spans="1:16" ht="21" customHeight="1">
      <c r="A18" s="355"/>
      <c r="B18" s="41" t="s">
        <v>111</v>
      </c>
      <c r="C18" s="77" t="s">
        <v>112</v>
      </c>
      <c r="D18" s="77">
        <v>2020</v>
      </c>
      <c r="E18" s="77" t="s">
        <v>64</v>
      </c>
      <c r="F18" s="112" t="s">
        <v>113</v>
      </c>
      <c r="G18" s="130"/>
      <c r="H18" s="105" t="s">
        <v>21</v>
      </c>
      <c r="I18" s="34"/>
      <c r="J18" s="34"/>
      <c r="K18" s="34"/>
    </row>
    <row r="19" spans="1:16" ht="30.75" customHeight="1">
      <c r="A19" s="355"/>
      <c r="B19" s="123" t="s">
        <v>117</v>
      </c>
      <c r="C19" s="181" t="s">
        <v>118</v>
      </c>
      <c r="D19" s="103">
        <v>2023</v>
      </c>
      <c r="E19" s="103" t="s">
        <v>64</v>
      </c>
      <c r="F19" s="127" t="s">
        <v>119</v>
      </c>
      <c r="G19" s="123"/>
      <c r="H19" s="105" t="s">
        <v>21</v>
      </c>
      <c r="I19" s="35"/>
      <c r="J19" s="35"/>
      <c r="K19" s="35"/>
    </row>
    <row r="20" spans="1:16" ht="60.75" customHeight="1">
      <c r="A20" s="355"/>
      <c r="B20" s="128" t="s">
        <v>123</v>
      </c>
      <c r="C20" s="139" t="s">
        <v>124</v>
      </c>
      <c r="D20" s="77">
        <v>2023</v>
      </c>
      <c r="E20" s="77" t="s">
        <v>18</v>
      </c>
      <c r="F20" s="112" t="s">
        <v>125</v>
      </c>
      <c r="G20" s="130"/>
      <c r="H20" s="105" t="s">
        <v>21</v>
      </c>
      <c r="I20" s="34"/>
      <c r="J20" s="34"/>
      <c r="K20" s="34"/>
    </row>
    <row r="21" spans="1:16" ht="15" customHeight="1">
      <c r="A21" s="355"/>
      <c r="B21" s="131" t="s">
        <v>129</v>
      </c>
      <c r="C21" s="181" t="s">
        <v>130</v>
      </c>
      <c r="D21" s="103">
        <v>2026</v>
      </c>
      <c r="E21" s="104" t="s">
        <v>75</v>
      </c>
      <c r="F21" s="127" t="s">
        <v>131</v>
      </c>
      <c r="G21" s="137" t="s">
        <v>96</v>
      </c>
      <c r="H21" s="104" t="s">
        <v>55</v>
      </c>
      <c r="I21" s="243" t="s">
        <v>132</v>
      </c>
      <c r="J21" s="137" t="s">
        <v>96</v>
      </c>
      <c r="K21" s="137" t="s">
        <v>96</v>
      </c>
    </row>
    <row r="22" spans="1:16" ht="30.75" customHeight="1">
      <c r="A22" s="355"/>
      <c r="B22" s="128" t="s">
        <v>133</v>
      </c>
      <c r="C22" s="139" t="s">
        <v>630</v>
      </c>
      <c r="D22" s="77">
        <v>2023</v>
      </c>
      <c r="E22" s="77" t="s">
        <v>135</v>
      </c>
      <c r="F22" s="112" t="s">
        <v>136</v>
      </c>
      <c r="G22" s="130"/>
      <c r="H22" s="104" t="s">
        <v>631</v>
      </c>
      <c r="I22" s="34"/>
      <c r="J22" s="34"/>
      <c r="K22" s="34"/>
    </row>
    <row r="23" spans="1:16" ht="30.75" customHeight="1">
      <c r="A23" s="355"/>
      <c r="B23" s="127" t="s">
        <v>141</v>
      </c>
      <c r="C23" s="181" t="s">
        <v>632</v>
      </c>
      <c r="D23" s="103">
        <v>2025</v>
      </c>
      <c r="E23" s="103" t="s">
        <v>143</v>
      </c>
      <c r="F23" s="127" t="s">
        <v>144</v>
      </c>
      <c r="G23" s="123"/>
      <c r="H23" s="105" t="s">
        <v>21</v>
      </c>
      <c r="I23" s="35"/>
      <c r="J23" s="35"/>
      <c r="K23" s="35"/>
    </row>
    <row r="24" spans="1:16" ht="16.5" customHeight="1">
      <c r="A24" s="355"/>
      <c r="B24" s="139"/>
      <c r="C24" s="139"/>
      <c r="D24" s="244"/>
      <c r="E24" s="180"/>
      <c r="F24" s="180"/>
      <c r="G24" s="180"/>
      <c r="H24" s="180"/>
      <c r="I24" s="180"/>
      <c r="J24" s="180"/>
      <c r="K24" s="180"/>
    </row>
    <row r="25" spans="1:16" s="185" customFormat="1" ht="16.5" customHeight="1">
      <c r="A25" s="356"/>
      <c r="B25" s="182"/>
      <c r="C25" s="245"/>
      <c r="D25" s="182"/>
      <c r="E25" s="182"/>
      <c r="F25" s="182"/>
      <c r="G25" s="182"/>
      <c r="H25" s="183" t="s">
        <v>55</v>
      </c>
      <c r="I25" s="184"/>
      <c r="J25" s="184"/>
      <c r="K25" s="184"/>
      <c r="L25"/>
      <c r="M25"/>
    </row>
    <row r="26" spans="1:16" ht="16.5" customHeight="1">
      <c r="A26" s="354" t="s">
        <v>159</v>
      </c>
      <c r="B26" s="104" t="s">
        <v>160</v>
      </c>
      <c r="C26" s="77" t="s">
        <v>161</v>
      </c>
      <c r="D26" s="77">
        <v>2021</v>
      </c>
      <c r="E26" s="104" t="s">
        <v>162</v>
      </c>
      <c r="F26" s="186" t="s">
        <v>163</v>
      </c>
      <c r="G26" s="118" t="s">
        <v>96</v>
      </c>
      <c r="H26" s="104" t="s">
        <v>55</v>
      </c>
      <c r="I26" s="77" t="s">
        <v>164</v>
      </c>
      <c r="J26" s="118" t="s">
        <v>96</v>
      </c>
      <c r="K26" s="118" t="s">
        <v>96</v>
      </c>
      <c r="N26" s="56"/>
      <c r="O26" s="56"/>
      <c r="P26" s="56"/>
    </row>
    <row r="27" spans="1:16" ht="15" customHeight="1">
      <c r="A27" s="355"/>
      <c r="B27" s="127" t="s">
        <v>165</v>
      </c>
      <c r="C27" s="181" t="s">
        <v>166</v>
      </c>
      <c r="D27" s="104">
        <v>2004</v>
      </c>
      <c r="E27" s="181" t="s">
        <v>100</v>
      </c>
      <c r="F27" s="81" t="s">
        <v>167</v>
      </c>
      <c r="G27" s="361" t="s">
        <v>168</v>
      </c>
      <c r="H27" s="105" t="s">
        <v>21</v>
      </c>
      <c r="I27" s="106" t="s">
        <v>169</v>
      </c>
      <c r="J27" s="103" t="s">
        <v>170</v>
      </c>
      <c r="K27" s="102" t="s">
        <v>171</v>
      </c>
      <c r="N27" s="56"/>
      <c r="O27" s="56"/>
      <c r="P27" s="56"/>
    </row>
    <row r="28" spans="1:16" ht="15" customHeight="1">
      <c r="A28" s="355"/>
      <c r="B28" s="125" t="s">
        <v>172</v>
      </c>
      <c r="C28" s="140" t="s">
        <v>173</v>
      </c>
      <c r="D28" s="140">
        <v>2024</v>
      </c>
      <c r="E28" s="140" t="s">
        <v>18</v>
      </c>
      <c r="F28" s="141" t="s">
        <v>174</v>
      </c>
      <c r="G28" s="142" t="s">
        <v>175</v>
      </c>
      <c r="H28" s="105" t="s">
        <v>21</v>
      </c>
      <c r="I28" s="143" t="s">
        <v>176</v>
      </c>
      <c r="J28" s="140" t="s">
        <v>177</v>
      </c>
      <c r="K28" s="142" t="s">
        <v>178</v>
      </c>
      <c r="N28" s="56"/>
      <c r="O28" s="56"/>
      <c r="P28" s="56"/>
    </row>
    <row r="29" spans="1:16" ht="15" customHeight="1">
      <c r="A29" s="355"/>
      <c r="B29" s="144" t="s">
        <v>179</v>
      </c>
      <c r="C29" s="243" t="s">
        <v>180</v>
      </c>
      <c r="D29" s="243">
        <v>2021</v>
      </c>
      <c r="E29" s="243" t="s">
        <v>64</v>
      </c>
      <c r="F29" s="145" t="s">
        <v>181</v>
      </c>
      <c r="G29" s="135" t="s">
        <v>182</v>
      </c>
      <c r="H29" s="146" t="s">
        <v>183</v>
      </c>
      <c r="I29" s="147" t="s">
        <v>184</v>
      </c>
      <c r="J29" s="135" t="s">
        <v>185</v>
      </c>
      <c r="K29" s="148" t="s">
        <v>186</v>
      </c>
      <c r="N29" s="56"/>
      <c r="O29" s="56"/>
      <c r="P29" s="56"/>
    </row>
    <row r="30" spans="1:16" ht="26.25" customHeight="1">
      <c r="A30" s="355"/>
      <c r="B30" s="113"/>
      <c r="C30" s="114" t="s">
        <v>187</v>
      </c>
      <c r="D30" s="113"/>
      <c r="E30" s="113"/>
      <c r="F30" s="113"/>
      <c r="G30" s="113"/>
      <c r="H30" s="104" t="s">
        <v>55</v>
      </c>
      <c r="I30" s="113"/>
      <c r="J30" s="104"/>
      <c r="K30" s="104"/>
      <c r="N30" s="56"/>
      <c r="O30" s="56"/>
      <c r="P30" s="56"/>
    </row>
    <row r="31" spans="1:16" ht="16.5" customHeight="1">
      <c r="A31" s="355"/>
      <c r="B31" s="118" t="s">
        <v>96</v>
      </c>
      <c r="C31" s="118" t="s">
        <v>96</v>
      </c>
      <c r="D31" s="118" t="s">
        <v>96</v>
      </c>
      <c r="E31" s="115" t="s">
        <v>94</v>
      </c>
      <c r="F31" s="78" t="s">
        <v>188</v>
      </c>
      <c r="G31" s="118" t="s">
        <v>96</v>
      </c>
      <c r="H31" s="104" t="s">
        <v>55</v>
      </c>
      <c r="I31" s="77" t="s">
        <v>189</v>
      </c>
      <c r="J31" s="118" t="s">
        <v>96</v>
      </c>
      <c r="K31" s="118" t="s">
        <v>96</v>
      </c>
      <c r="N31" s="56"/>
      <c r="O31" s="56"/>
      <c r="P31" s="56"/>
    </row>
    <row r="32" spans="1:16" ht="15" customHeight="1">
      <c r="A32" s="355"/>
      <c r="B32" s="127" t="s">
        <v>141</v>
      </c>
      <c r="C32" s="103" t="s">
        <v>190</v>
      </c>
      <c r="D32" s="103">
        <v>2025</v>
      </c>
      <c r="E32" s="103" t="s">
        <v>143</v>
      </c>
      <c r="F32" s="81" t="s">
        <v>191</v>
      </c>
      <c r="G32" s="102" t="s">
        <v>192</v>
      </c>
      <c r="H32" s="105" t="s">
        <v>153</v>
      </c>
      <c r="I32" s="106" t="s">
        <v>193</v>
      </c>
      <c r="J32" s="102" t="s">
        <v>194</v>
      </c>
      <c r="K32" s="102" t="s">
        <v>195</v>
      </c>
      <c r="N32" s="56"/>
      <c r="O32" s="56"/>
      <c r="P32" s="56"/>
    </row>
    <row r="33" spans="1:56" ht="15" customHeight="1">
      <c r="A33" s="355"/>
      <c r="B33" s="125" t="s">
        <v>196</v>
      </c>
      <c r="C33" s="139" t="s">
        <v>197</v>
      </c>
      <c r="D33" s="77">
        <v>2023</v>
      </c>
      <c r="E33" s="77" t="s">
        <v>198</v>
      </c>
      <c r="F33" s="78" t="s">
        <v>199</v>
      </c>
      <c r="G33" s="111" t="s">
        <v>200</v>
      </c>
      <c r="H33" s="105" t="s">
        <v>153</v>
      </c>
      <c r="I33" s="129" t="s">
        <v>201</v>
      </c>
      <c r="J33" s="110" t="s">
        <v>202</v>
      </c>
      <c r="K33" s="110" t="s">
        <v>203</v>
      </c>
      <c r="N33" s="56"/>
      <c r="O33" s="56"/>
      <c r="P33" s="56"/>
      <c r="BC33" s="246"/>
      <c r="BD33" s="246"/>
    </row>
    <row r="34" spans="1:56" ht="15" customHeight="1">
      <c r="A34" s="355"/>
      <c r="B34" s="127" t="s">
        <v>204</v>
      </c>
      <c r="C34" s="106" t="s">
        <v>205</v>
      </c>
      <c r="D34" s="103">
        <v>2023</v>
      </c>
      <c r="E34" s="103" t="s">
        <v>18</v>
      </c>
      <c r="F34" s="81" t="s">
        <v>125</v>
      </c>
      <c r="G34" s="102" t="s">
        <v>206</v>
      </c>
      <c r="H34" s="105" t="s">
        <v>153</v>
      </c>
      <c r="I34" s="106" t="s">
        <v>207</v>
      </c>
      <c r="J34" s="103"/>
      <c r="K34" s="106" t="s">
        <v>208</v>
      </c>
      <c r="N34" s="56"/>
      <c r="O34" s="56"/>
      <c r="P34" s="56"/>
    </row>
    <row r="35" spans="1:56" ht="25.5" customHeight="1">
      <c r="A35" s="355"/>
      <c r="B35" s="125" t="s">
        <v>209</v>
      </c>
      <c r="C35" s="77" t="s">
        <v>210</v>
      </c>
      <c r="D35" s="77">
        <v>2023</v>
      </c>
      <c r="E35" s="155" t="s">
        <v>150</v>
      </c>
      <c r="F35" s="118"/>
      <c r="G35" s="118"/>
      <c r="H35" s="105" t="s">
        <v>153</v>
      </c>
      <c r="J35" s="118" t="s">
        <v>96</v>
      </c>
      <c r="K35" s="118" t="s">
        <v>96</v>
      </c>
      <c r="N35" s="56"/>
      <c r="O35" s="56"/>
      <c r="P35" s="56"/>
    </row>
    <row r="36" spans="1:56" ht="15" customHeight="1">
      <c r="A36" s="355"/>
      <c r="B36" s="127" t="s">
        <v>211</v>
      </c>
      <c r="C36" s="106" t="s">
        <v>212</v>
      </c>
      <c r="D36" s="103">
        <v>2026</v>
      </c>
      <c r="E36" s="103" t="s">
        <v>100</v>
      </c>
      <c r="F36" s="81" t="s">
        <v>151</v>
      </c>
      <c r="G36" s="102" t="s">
        <v>213</v>
      </c>
      <c r="H36" s="105" t="s">
        <v>153</v>
      </c>
      <c r="I36" s="106" t="s">
        <v>214</v>
      </c>
      <c r="J36" s="106" t="s">
        <v>215</v>
      </c>
      <c r="K36" s="106" t="s">
        <v>216</v>
      </c>
      <c r="N36" s="56"/>
      <c r="O36" s="56"/>
      <c r="P36" s="56"/>
    </row>
    <row r="37" spans="1:56" ht="15" customHeight="1">
      <c r="A37" s="356"/>
      <c r="B37" s="125" t="s">
        <v>217</v>
      </c>
      <c r="C37" s="43" t="s">
        <v>218</v>
      </c>
      <c r="D37" s="77">
        <v>2020</v>
      </c>
      <c r="E37" s="77" t="s">
        <v>18</v>
      </c>
      <c r="F37" s="78" t="s">
        <v>219</v>
      </c>
      <c r="G37" s="49" t="s">
        <v>220</v>
      </c>
      <c r="H37" s="75" t="s">
        <v>221</v>
      </c>
      <c r="I37" s="49" t="s">
        <v>222</v>
      </c>
      <c r="J37" s="49" t="s">
        <v>223</v>
      </c>
      <c r="K37" s="49" t="s">
        <v>224</v>
      </c>
      <c r="N37" s="56"/>
      <c r="O37" s="56"/>
      <c r="P37" s="56"/>
    </row>
    <row r="38" spans="1:56" s="56" customFormat="1" ht="96" customHeight="1">
      <c r="A38" s="353" t="s">
        <v>225</v>
      </c>
      <c r="B38" s="50" t="s">
        <v>226</v>
      </c>
      <c r="C38" s="99" t="s">
        <v>227</v>
      </c>
      <c r="D38" s="97">
        <v>2023</v>
      </c>
      <c r="E38" s="97" t="s">
        <v>18</v>
      </c>
      <c r="F38" s="81" t="s">
        <v>228</v>
      </c>
      <c r="G38" s="96" t="s">
        <v>229</v>
      </c>
      <c r="H38" s="75" t="s">
        <v>221</v>
      </c>
      <c r="I38" s="94" t="s">
        <v>230</v>
      </c>
      <c r="J38" s="96" t="s">
        <v>231</v>
      </c>
      <c r="K38" s="96" t="s">
        <v>232</v>
      </c>
      <c r="L38"/>
      <c r="M38"/>
    </row>
    <row r="39" spans="1:56" s="56" customFormat="1" ht="141" customHeight="1">
      <c r="A39" s="353"/>
      <c r="B39" s="55" t="s">
        <v>233</v>
      </c>
      <c r="C39" s="43" t="s">
        <v>234</v>
      </c>
      <c r="D39" s="104">
        <v>2010</v>
      </c>
      <c r="E39" s="77" t="s">
        <v>64</v>
      </c>
      <c r="F39" s="78" t="s">
        <v>233</v>
      </c>
      <c r="G39" s="95" t="s">
        <v>235</v>
      </c>
      <c r="H39" s="93" t="s">
        <v>55</v>
      </c>
      <c r="I39" s="49" t="s">
        <v>236</v>
      </c>
      <c r="J39" s="95" t="s">
        <v>235</v>
      </c>
      <c r="K39" s="95" t="s">
        <v>235</v>
      </c>
      <c r="L39"/>
      <c r="M39"/>
    </row>
    <row r="40" spans="1:56" s="56" customFormat="1" ht="87.75" customHeight="1">
      <c r="A40" s="353"/>
      <c r="B40" s="82" t="s">
        <v>237</v>
      </c>
      <c r="C40" s="98" t="s">
        <v>238</v>
      </c>
      <c r="D40" s="97">
        <v>2021</v>
      </c>
      <c r="E40" s="97" t="s">
        <v>239</v>
      </c>
      <c r="F40" s="81" t="s">
        <v>240</v>
      </c>
      <c r="G40" s="96" t="s">
        <v>241</v>
      </c>
      <c r="H40" s="75" t="s">
        <v>221</v>
      </c>
      <c r="I40" s="94" t="s">
        <v>242</v>
      </c>
      <c r="J40" s="96" t="s">
        <v>243</v>
      </c>
      <c r="K40" s="96" t="s">
        <v>244</v>
      </c>
      <c r="L40"/>
      <c r="M40"/>
    </row>
    <row r="41" spans="1:56" ht="81" customHeight="1">
      <c r="A41" s="353"/>
      <c r="B41" s="55" t="s">
        <v>245</v>
      </c>
      <c r="C41" s="40" t="s">
        <v>246</v>
      </c>
      <c r="D41" s="77">
        <v>2023</v>
      </c>
      <c r="E41" s="77" t="s">
        <v>135</v>
      </c>
      <c r="F41" s="112" t="s">
        <v>247</v>
      </c>
      <c r="G41" s="95" t="s">
        <v>248</v>
      </c>
      <c r="H41" s="75" t="s">
        <v>221</v>
      </c>
      <c r="I41" s="169" t="s">
        <v>249</v>
      </c>
      <c r="J41" s="170" t="s">
        <v>250</v>
      </c>
      <c r="K41" s="170" t="s">
        <v>251</v>
      </c>
    </row>
    <row r="42" spans="1:56" ht="73.5" customHeight="1">
      <c r="A42" s="353"/>
      <c r="B42" s="81" t="s">
        <v>252</v>
      </c>
      <c r="C42" s="98" t="s">
        <v>253</v>
      </c>
      <c r="D42" s="97">
        <v>2026</v>
      </c>
      <c r="E42" s="97" t="s">
        <v>100</v>
      </c>
      <c r="F42" s="81" t="s">
        <v>254</v>
      </c>
      <c r="G42" s="96" t="s">
        <v>255</v>
      </c>
      <c r="H42" s="75" t="s">
        <v>221</v>
      </c>
      <c r="I42" s="94" t="s">
        <v>256</v>
      </c>
      <c r="J42" s="99" t="s">
        <v>257</v>
      </c>
      <c r="K42" s="99" t="s">
        <v>258</v>
      </c>
    </row>
    <row r="43" spans="1:56" ht="84.75" customHeight="1">
      <c r="A43" s="353"/>
      <c r="B43" s="55" t="s">
        <v>259</v>
      </c>
      <c r="C43" s="40" t="s">
        <v>260</v>
      </c>
      <c r="D43" s="77">
        <v>2023</v>
      </c>
      <c r="E43" s="77" t="s">
        <v>135</v>
      </c>
      <c r="F43" s="112" t="s">
        <v>261</v>
      </c>
      <c r="G43" s="95" t="s">
        <v>262</v>
      </c>
      <c r="H43" s="75" t="s">
        <v>221</v>
      </c>
      <c r="I43" s="169" t="s">
        <v>263</v>
      </c>
      <c r="J43" s="170" t="s">
        <v>264</v>
      </c>
      <c r="K43" s="170" t="s">
        <v>265</v>
      </c>
    </row>
    <row r="44" spans="1:56" ht="78" customHeight="1">
      <c r="A44" s="353"/>
      <c r="B44" s="47" t="s">
        <v>266</v>
      </c>
      <c r="C44" s="98" t="s">
        <v>267</v>
      </c>
      <c r="D44" s="97">
        <v>2023</v>
      </c>
      <c r="E44" s="97" t="s">
        <v>135</v>
      </c>
      <c r="F44" s="47" t="s">
        <v>268</v>
      </c>
      <c r="G44" s="96" t="s">
        <v>269</v>
      </c>
      <c r="H44" s="75" t="s">
        <v>221</v>
      </c>
      <c r="I44" s="94" t="s">
        <v>270</v>
      </c>
      <c r="J44" s="99" t="s">
        <v>271</v>
      </c>
      <c r="K44" s="99" t="s">
        <v>272</v>
      </c>
    </row>
    <row r="45" spans="1:56" ht="77.25" customHeight="1">
      <c r="A45" s="353"/>
      <c r="B45" s="41" t="s">
        <v>273</v>
      </c>
      <c r="C45" s="40" t="s">
        <v>274</v>
      </c>
      <c r="D45" s="77">
        <v>2025</v>
      </c>
      <c r="E45" s="77" t="s">
        <v>64</v>
      </c>
      <c r="F45" s="45" t="s">
        <v>275</v>
      </c>
      <c r="G45" s="52" t="s">
        <v>276</v>
      </c>
      <c r="H45" s="75" t="s">
        <v>221</v>
      </c>
      <c r="I45" s="171" t="s">
        <v>277</v>
      </c>
      <c r="J45" s="170" t="s">
        <v>278</v>
      </c>
      <c r="K45" s="171" t="s">
        <v>279</v>
      </c>
    </row>
    <row r="46" spans="1:56" ht="89.25" customHeight="1">
      <c r="A46" s="353"/>
      <c r="B46" s="47" t="s">
        <v>280</v>
      </c>
      <c r="C46" s="98" t="s">
        <v>281</v>
      </c>
      <c r="D46" s="172">
        <v>2024</v>
      </c>
      <c r="E46" s="172" t="s">
        <v>162</v>
      </c>
      <c r="F46" s="35"/>
      <c r="G46" s="35"/>
      <c r="H46" s="93" t="s">
        <v>282</v>
      </c>
      <c r="I46" s="122" t="s">
        <v>283</v>
      </c>
      <c r="J46" s="35"/>
      <c r="K46" s="35"/>
    </row>
    <row r="47" spans="1:56" ht="96.75" customHeight="1">
      <c r="A47" s="353"/>
      <c r="B47" s="41" t="s">
        <v>284</v>
      </c>
      <c r="C47" t="s">
        <v>285</v>
      </c>
      <c r="D47" s="104">
        <v>2019</v>
      </c>
      <c r="E47" s="33" t="s">
        <v>18</v>
      </c>
      <c r="F47" s="45" t="s">
        <v>286</v>
      </c>
      <c r="G47" s="34"/>
      <c r="H47" s="93" t="s">
        <v>282</v>
      </c>
      <c r="I47" s="171" t="s">
        <v>287</v>
      </c>
      <c r="J47" s="34"/>
      <c r="K47" s="34"/>
    </row>
    <row r="48" spans="1:56" ht="68.25" customHeight="1">
      <c r="A48" s="353"/>
      <c r="B48" s="47" t="s">
        <v>288</v>
      </c>
      <c r="C48" s="98" t="s">
        <v>289</v>
      </c>
      <c r="D48" s="104">
        <v>2014</v>
      </c>
      <c r="E48" s="104" t="s">
        <v>290</v>
      </c>
      <c r="F48" s="47" t="s">
        <v>291</v>
      </c>
      <c r="G48" s="35"/>
      <c r="H48" s="93" t="s">
        <v>282</v>
      </c>
      <c r="I48" s="122" t="s">
        <v>292</v>
      </c>
      <c r="J48" s="35"/>
      <c r="K48" s="35"/>
    </row>
    <row r="49" spans="1:11" ht="93" customHeight="1">
      <c r="A49" s="353"/>
      <c r="B49" s="55" t="s">
        <v>280</v>
      </c>
      <c r="C49" s="43" t="s">
        <v>281</v>
      </c>
      <c r="D49" s="77">
        <v>2024</v>
      </c>
      <c r="E49" s="77" t="s">
        <v>143</v>
      </c>
      <c r="F49" s="78" t="s">
        <v>293</v>
      </c>
      <c r="G49" s="118"/>
      <c r="H49" s="75" t="s">
        <v>221</v>
      </c>
      <c r="I49" s="117" t="s">
        <v>294</v>
      </c>
      <c r="J49" s="52" t="s">
        <v>295</v>
      </c>
      <c r="K49" s="52" t="s">
        <v>296</v>
      </c>
    </row>
    <row r="50" spans="1:11" ht="168.75" customHeight="1">
      <c r="A50" s="357" t="s">
        <v>297</v>
      </c>
      <c r="B50" s="59" t="s">
        <v>284</v>
      </c>
      <c r="C50" s="46" t="s">
        <v>285</v>
      </c>
      <c r="D50" s="72">
        <v>2019</v>
      </c>
      <c r="E50" s="84" t="s">
        <v>18</v>
      </c>
      <c r="F50" s="61" t="s">
        <v>286</v>
      </c>
      <c r="G50" s="119" t="s">
        <v>96</v>
      </c>
      <c r="H50" s="72" t="s">
        <v>55</v>
      </c>
      <c r="I50" s="247" t="s">
        <v>298</v>
      </c>
      <c r="J50" s="119" t="s">
        <v>96</v>
      </c>
      <c r="K50" s="119" t="s">
        <v>96</v>
      </c>
    </row>
    <row r="51" spans="1:11" ht="66" customHeight="1">
      <c r="A51" s="357"/>
      <c r="B51" s="57" t="s">
        <v>299</v>
      </c>
      <c r="C51" s="51" t="s">
        <v>300</v>
      </c>
      <c r="D51" s="73">
        <v>2014</v>
      </c>
      <c r="E51" s="85" t="s">
        <v>301</v>
      </c>
      <c r="F51" s="58" t="s">
        <v>291</v>
      </c>
      <c r="G51" s="118" t="s">
        <v>96</v>
      </c>
      <c r="H51" s="72" t="s">
        <v>55</v>
      </c>
      <c r="I51" s="49" t="s">
        <v>302</v>
      </c>
      <c r="J51" s="118" t="s">
        <v>96</v>
      </c>
      <c r="K51" s="118" t="s">
        <v>96</v>
      </c>
    </row>
    <row r="52" spans="1:11" ht="15" customHeight="1">
      <c r="A52" s="357"/>
      <c r="B52" s="59" t="s">
        <v>303</v>
      </c>
      <c r="C52" s="362" t="s">
        <v>304</v>
      </c>
      <c r="D52" s="60">
        <v>2023</v>
      </c>
      <c r="E52" s="84" t="s">
        <v>198</v>
      </c>
      <c r="F52" s="59" t="s">
        <v>305</v>
      </c>
      <c r="G52" s="119" t="s">
        <v>96</v>
      </c>
      <c r="H52" s="72" t="s">
        <v>55</v>
      </c>
      <c r="I52" s="120" t="s">
        <v>633</v>
      </c>
      <c r="J52" s="119" t="s">
        <v>96</v>
      </c>
      <c r="K52" s="119" t="s">
        <v>96</v>
      </c>
    </row>
    <row r="53" spans="1:11" ht="73.5" customHeight="1">
      <c r="A53" s="357"/>
      <c r="B53" s="63" t="s">
        <v>310</v>
      </c>
      <c r="C53" s="53" t="s">
        <v>311</v>
      </c>
      <c r="D53" s="62">
        <v>2022</v>
      </c>
      <c r="E53" s="86" t="s">
        <v>64</v>
      </c>
      <c r="F53" s="57" t="s">
        <v>312</v>
      </c>
      <c r="G53" s="118" t="s">
        <v>96</v>
      </c>
      <c r="H53" s="72" t="s">
        <v>55</v>
      </c>
      <c r="I53" s="43" t="s">
        <v>634</v>
      </c>
      <c r="J53" s="118" t="s">
        <v>96</v>
      </c>
      <c r="K53" s="118" t="s">
        <v>96</v>
      </c>
    </row>
    <row r="54" spans="1:11" ht="15" customHeight="1">
      <c r="A54" s="357"/>
      <c r="B54" s="59" t="s">
        <v>314</v>
      </c>
      <c r="C54" s="54" t="s">
        <v>315</v>
      </c>
      <c r="D54" s="71" t="s">
        <v>316</v>
      </c>
      <c r="E54" s="84" t="s">
        <v>64</v>
      </c>
      <c r="F54" s="59" t="s">
        <v>317</v>
      </c>
      <c r="G54" s="48"/>
      <c r="H54" s="75" t="s">
        <v>221</v>
      </c>
      <c r="I54" s="121" t="s">
        <v>635</v>
      </c>
      <c r="J54" s="121" t="s">
        <v>320</v>
      </c>
      <c r="K54" s="121" t="s">
        <v>321</v>
      </c>
    </row>
    <row r="55" spans="1:11" ht="57.75" customHeight="1">
      <c r="A55" s="357"/>
      <c r="B55" s="57" t="s">
        <v>322</v>
      </c>
      <c r="C55" s="363" t="s">
        <v>323</v>
      </c>
      <c r="D55" s="62">
        <v>2025</v>
      </c>
      <c r="E55" s="86" t="s">
        <v>324</v>
      </c>
      <c r="F55" s="57" t="s">
        <v>325</v>
      </c>
      <c r="G55" s="34"/>
      <c r="H55" s="34"/>
      <c r="I55" s="34"/>
      <c r="J55" s="34"/>
      <c r="K55" s="34"/>
    </row>
    <row r="56" spans="1:11" ht="69.75" customHeight="1">
      <c r="A56" s="357"/>
      <c r="B56" s="61" t="s">
        <v>327</v>
      </c>
      <c r="C56" s="46" t="s">
        <v>328</v>
      </c>
      <c r="D56" s="70">
        <v>2008</v>
      </c>
      <c r="E56" s="87" t="s">
        <v>18</v>
      </c>
      <c r="F56" s="59" t="s">
        <v>329</v>
      </c>
      <c r="G56" s="48"/>
      <c r="H56" s="35"/>
      <c r="I56" s="35"/>
      <c r="J56" s="35"/>
      <c r="K56" s="35"/>
    </row>
    <row r="57" spans="1:11" ht="59.25" customHeight="1">
      <c r="A57" s="357"/>
      <c r="B57" s="57" t="s">
        <v>331</v>
      </c>
      <c r="C57" s="364" t="s">
        <v>332</v>
      </c>
      <c r="D57" s="64">
        <v>2020</v>
      </c>
      <c r="E57" s="88" t="s">
        <v>198</v>
      </c>
      <c r="F57" s="57" t="s">
        <v>333</v>
      </c>
      <c r="G57" s="34"/>
      <c r="H57" s="34"/>
      <c r="I57" s="34"/>
      <c r="J57" s="34"/>
      <c r="K57" s="34"/>
    </row>
    <row r="58" spans="1:11" ht="45.75" customHeight="1">
      <c r="A58" s="357"/>
      <c r="B58" s="65" t="s">
        <v>335</v>
      </c>
      <c r="C58" s="66" t="s">
        <v>336</v>
      </c>
      <c r="D58" s="67">
        <v>2022</v>
      </c>
      <c r="E58" s="87" t="s">
        <v>143</v>
      </c>
      <c r="F58" s="61" t="s">
        <v>337</v>
      </c>
      <c r="G58" s="35"/>
      <c r="H58" s="35"/>
      <c r="I58" s="35"/>
      <c r="J58" s="35"/>
      <c r="K58" s="35"/>
    </row>
    <row r="59" spans="1:11" ht="66.75" customHeight="1">
      <c r="A59" s="357"/>
      <c r="B59" s="57" t="s">
        <v>342</v>
      </c>
      <c r="C59" s="364" t="s">
        <v>343</v>
      </c>
      <c r="D59" s="365">
        <v>2025</v>
      </c>
      <c r="E59" s="89" t="s">
        <v>94</v>
      </c>
      <c r="F59" s="57" t="s">
        <v>344</v>
      </c>
      <c r="G59" s="118" t="s">
        <v>96</v>
      </c>
      <c r="H59" s="72" t="s">
        <v>55</v>
      </c>
      <c r="I59" s="49" t="s">
        <v>302</v>
      </c>
      <c r="J59" s="118" t="s">
        <v>96</v>
      </c>
      <c r="K59" s="118" t="s">
        <v>96</v>
      </c>
    </row>
    <row r="60" spans="1:11" ht="84.75" customHeight="1">
      <c r="A60" s="357"/>
      <c r="B60" s="68" t="s">
        <v>345</v>
      </c>
      <c r="C60" s="69" t="s">
        <v>346</v>
      </c>
      <c r="D60" s="69">
        <v>2024</v>
      </c>
      <c r="E60" s="90" t="s">
        <v>64</v>
      </c>
      <c r="F60" s="68" t="s">
        <v>347</v>
      </c>
      <c r="G60" s="35"/>
      <c r="H60" s="35"/>
      <c r="I60" s="35"/>
      <c r="J60" s="35"/>
      <c r="K60" s="35"/>
    </row>
    <row r="61" spans="1:11" ht="124.5" customHeight="1">
      <c r="A61" s="357"/>
      <c r="B61" s="57" t="s">
        <v>636</v>
      </c>
      <c r="C61" s="364" t="s">
        <v>637</v>
      </c>
      <c r="D61" s="365">
        <v>2023</v>
      </c>
      <c r="E61" s="33" t="s">
        <v>324</v>
      </c>
      <c r="F61" s="57" t="s">
        <v>638</v>
      </c>
      <c r="G61" s="80" t="s">
        <v>639</v>
      </c>
      <c r="H61" s="75" t="s">
        <v>21</v>
      </c>
      <c r="I61" s="176" t="s">
        <v>640</v>
      </c>
      <c r="J61" s="74" t="s">
        <v>641</v>
      </c>
      <c r="K61" s="74" t="s">
        <v>642</v>
      </c>
    </row>
    <row r="62" spans="1:11" ht="15" customHeight="1">
      <c r="A62" s="353" t="s">
        <v>352</v>
      </c>
      <c r="B62" s="35" t="s">
        <v>353</v>
      </c>
      <c r="C62" s="98" t="s">
        <v>354</v>
      </c>
      <c r="D62" s="104">
        <v>2007</v>
      </c>
      <c r="E62" s="172" t="s">
        <v>18</v>
      </c>
      <c r="F62" s="47" t="s">
        <v>355</v>
      </c>
      <c r="G62" s="35"/>
      <c r="H62" s="72" t="s">
        <v>55</v>
      </c>
      <c r="I62" s="177"/>
      <c r="J62" s="35"/>
      <c r="K62" s="35"/>
    </row>
    <row r="63" spans="1:11" ht="15" customHeight="1">
      <c r="A63" s="353"/>
      <c r="B63" s="57" t="s">
        <v>356</v>
      </c>
      <c r="C63" s="173" t="s">
        <v>357</v>
      </c>
      <c r="D63" s="365">
        <v>2024</v>
      </c>
      <c r="E63" s="33" t="s">
        <v>64</v>
      </c>
      <c r="F63" s="45" t="s">
        <v>358</v>
      </c>
      <c r="G63" s="80" t="s">
        <v>359</v>
      </c>
      <c r="H63" s="75" t="s">
        <v>21</v>
      </c>
      <c r="I63" s="176" t="s">
        <v>360</v>
      </c>
      <c r="J63" s="34" t="s">
        <v>361</v>
      </c>
      <c r="K63" s="34" t="s">
        <v>362</v>
      </c>
    </row>
    <row r="64" spans="1:11" ht="15" customHeight="1">
      <c r="A64" s="353"/>
      <c r="B64" s="35" t="s">
        <v>363</v>
      </c>
      <c r="C64" s="175" t="s">
        <v>364</v>
      </c>
      <c r="D64" s="98" t="s">
        <v>365</v>
      </c>
      <c r="E64" s="172" t="s">
        <v>143</v>
      </c>
      <c r="F64" s="47" t="s">
        <v>366</v>
      </c>
      <c r="G64" s="179" t="s">
        <v>367</v>
      </c>
      <c r="H64" s="75" t="s">
        <v>368</v>
      </c>
      <c r="I64" s="177"/>
      <c r="J64" s="35"/>
      <c r="K64" s="35"/>
    </row>
    <row r="65" spans="1:14" ht="15" customHeight="1">
      <c r="A65" s="353"/>
      <c r="C65" s="174" t="s">
        <v>369</v>
      </c>
      <c r="D65" s="79">
        <v>45413</v>
      </c>
      <c r="F65" s="34"/>
      <c r="G65" s="34"/>
      <c r="H65" s="72" t="s">
        <v>55</v>
      </c>
      <c r="I65" s="176" t="s">
        <v>370</v>
      </c>
      <c r="J65" s="34"/>
      <c r="K65" s="34"/>
    </row>
    <row r="66" spans="1:14" ht="15" customHeight="1">
      <c r="A66" s="353"/>
      <c r="B66" s="35"/>
      <c r="C66" s="98" t="s">
        <v>371</v>
      </c>
      <c r="D66" s="178">
        <v>45778</v>
      </c>
      <c r="E66" s="83"/>
      <c r="F66" s="35"/>
      <c r="G66" s="35"/>
      <c r="H66" s="72" t="s">
        <v>55</v>
      </c>
      <c r="I66" s="177" t="s">
        <v>370</v>
      </c>
      <c r="J66" s="35"/>
      <c r="K66" s="35"/>
    </row>
    <row r="67" spans="1:14" ht="15" customHeight="1">
      <c r="A67" s="353"/>
      <c r="B67" s="41" t="s">
        <v>372</v>
      </c>
      <c r="C67" s="174" t="s">
        <v>373</v>
      </c>
      <c r="D67" s="44">
        <v>45458</v>
      </c>
      <c r="E67" s="33" t="s">
        <v>374</v>
      </c>
      <c r="F67" s="45" t="s">
        <v>375</v>
      </c>
      <c r="G67" s="34"/>
      <c r="H67" s="72" t="s">
        <v>55</v>
      </c>
      <c r="I67" s="176" t="s">
        <v>370</v>
      </c>
      <c r="J67" s="34"/>
      <c r="K67" s="34"/>
    </row>
    <row r="68" spans="1:14" ht="15" customHeight="1">
      <c r="A68" s="353"/>
      <c r="B68" s="35"/>
      <c r="C68" s="98" t="s">
        <v>376</v>
      </c>
      <c r="D68" s="108">
        <v>40765</v>
      </c>
      <c r="E68" s="172" t="s">
        <v>377</v>
      </c>
      <c r="F68" s="35"/>
      <c r="G68" s="35"/>
      <c r="H68" s="72" t="s">
        <v>55</v>
      </c>
      <c r="I68" s="177" t="s">
        <v>370</v>
      </c>
      <c r="J68" s="35"/>
      <c r="K68" s="35"/>
    </row>
    <row r="69" spans="1:14" ht="15" customHeight="1">
      <c r="A69" s="353"/>
      <c r="E69" s="33" t="s">
        <v>378</v>
      </c>
      <c r="F69" s="34"/>
      <c r="G69" s="34"/>
      <c r="H69" s="72" t="s">
        <v>55</v>
      </c>
      <c r="I69" s="176" t="s">
        <v>370</v>
      </c>
      <c r="J69" s="34"/>
      <c r="K69" s="34"/>
    </row>
    <row r="70" spans="1:14" ht="15" customHeight="1">
      <c r="A70" s="353"/>
      <c r="B70" s="35"/>
      <c r="C70" s="35"/>
      <c r="D70" s="35"/>
      <c r="E70" s="83"/>
      <c r="F70" s="35"/>
      <c r="G70" s="35"/>
      <c r="H70" s="72" t="s">
        <v>55</v>
      </c>
      <c r="I70" s="177" t="s">
        <v>370</v>
      </c>
      <c r="J70" s="35"/>
      <c r="K70" s="35"/>
    </row>
    <row r="71" spans="1:14" ht="15" customHeight="1">
      <c r="A71" s="353"/>
      <c r="F71" s="34"/>
      <c r="G71" s="34"/>
      <c r="H71" s="72" t="s">
        <v>55</v>
      </c>
      <c r="I71" s="176" t="s">
        <v>370</v>
      </c>
      <c r="J71" s="34"/>
      <c r="K71" s="34"/>
    </row>
    <row r="72" spans="1:14" ht="15" customHeight="1">
      <c r="A72" s="353"/>
      <c r="B72" s="35"/>
      <c r="C72" s="35"/>
      <c r="D72" s="35"/>
      <c r="E72" s="83"/>
      <c r="F72" s="35"/>
      <c r="G72" s="35"/>
      <c r="H72" s="72" t="s">
        <v>55</v>
      </c>
      <c r="I72" s="177" t="s">
        <v>370</v>
      </c>
      <c r="J72" s="35"/>
      <c r="K72" s="35"/>
    </row>
    <row r="73" spans="1:14" ht="15" customHeight="1">
      <c r="A73" s="353"/>
      <c r="B73" s="55" t="s">
        <v>379</v>
      </c>
      <c r="C73" s="43" t="s">
        <v>380</v>
      </c>
      <c r="D73" s="77">
        <v>2026</v>
      </c>
      <c r="E73" s="77" t="s">
        <v>239</v>
      </c>
      <c r="F73" s="78" t="s">
        <v>381</v>
      </c>
      <c r="G73" s="49" t="s">
        <v>382</v>
      </c>
      <c r="H73" s="75" t="s">
        <v>221</v>
      </c>
      <c r="I73" s="49" t="s">
        <v>383</v>
      </c>
      <c r="J73" s="42" t="s">
        <v>384</v>
      </c>
      <c r="K73" s="35" t="s">
        <v>385</v>
      </c>
    </row>
    <row r="74" spans="1:14" ht="15" customHeight="1">
      <c r="A74" s="353" t="s">
        <v>386</v>
      </c>
      <c r="B74" s="131" t="s">
        <v>387</v>
      </c>
      <c r="C74" s="158" t="s">
        <v>388</v>
      </c>
      <c r="D74" s="97">
        <v>2025</v>
      </c>
      <c r="E74" s="97" t="s">
        <v>135</v>
      </c>
      <c r="F74" s="127" t="s">
        <v>389</v>
      </c>
      <c r="G74" s="106" t="s">
        <v>390</v>
      </c>
      <c r="H74" s="105" t="s">
        <v>221</v>
      </c>
      <c r="I74" s="106" t="s">
        <v>391</v>
      </c>
      <c r="J74" s="130" t="s">
        <v>392</v>
      </c>
      <c r="K74" s="130" t="s">
        <v>393</v>
      </c>
    </row>
    <row r="75" spans="1:14" ht="15" customHeight="1">
      <c r="A75" s="353"/>
      <c r="B75" s="128" t="s">
        <v>394</v>
      </c>
      <c r="C75" s="139" t="s">
        <v>395</v>
      </c>
      <c r="D75" s="77">
        <v>2024</v>
      </c>
      <c r="E75" s="77" t="s">
        <v>135</v>
      </c>
      <c r="F75" s="112" t="s">
        <v>396</v>
      </c>
      <c r="G75" s="95" t="s">
        <v>397</v>
      </c>
      <c r="H75" s="105" t="s">
        <v>221</v>
      </c>
      <c r="I75" s="95" t="s">
        <v>398</v>
      </c>
      <c r="J75" s="123" t="s">
        <v>399</v>
      </c>
      <c r="K75" s="123" t="s">
        <v>400</v>
      </c>
    </row>
    <row r="76" spans="1:14" ht="15" customHeight="1">
      <c r="A76" s="353"/>
      <c r="B76" s="131" t="s">
        <v>401</v>
      </c>
      <c r="C76" s="158" t="s">
        <v>402</v>
      </c>
      <c r="D76" s="97">
        <v>2023</v>
      </c>
      <c r="E76" s="97" t="s">
        <v>135</v>
      </c>
      <c r="F76" s="127" t="s">
        <v>403</v>
      </c>
      <c r="G76" s="106" t="s">
        <v>404</v>
      </c>
      <c r="H76" s="105" t="s">
        <v>183</v>
      </c>
      <c r="I76" s="106" t="s">
        <v>405</v>
      </c>
      <c r="J76" s="130" t="s">
        <v>406</v>
      </c>
      <c r="K76" s="130" t="s">
        <v>407</v>
      </c>
    </row>
    <row r="77" spans="1:14" ht="15" customHeight="1">
      <c r="A77" s="353"/>
      <c r="B77" s="128" t="s">
        <v>408</v>
      </c>
      <c r="C77" s="139" t="s">
        <v>409</v>
      </c>
      <c r="D77" s="77">
        <v>2021</v>
      </c>
      <c r="E77" s="77" t="s">
        <v>239</v>
      </c>
      <c r="F77" s="112" t="s">
        <v>410</v>
      </c>
      <c r="G77" s="95" t="s">
        <v>411</v>
      </c>
      <c r="H77" s="105" t="s">
        <v>221</v>
      </c>
      <c r="I77" s="95" t="s">
        <v>412</v>
      </c>
      <c r="J77" s="123" t="s">
        <v>413</v>
      </c>
      <c r="K77" s="123" t="s">
        <v>414</v>
      </c>
      <c r="N77" s="25"/>
    </row>
    <row r="78" spans="1:14" ht="15" customHeight="1">
      <c r="A78" s="353"/>
      <c r="B78" s="131" t="s">
        <v>415</v>
      </c>
      <c r="C78" s="158" t="s">
        <v>416</v>
      </c>
      <c r="D78" s="97">
        <v>2026</v>
      </c>
      <c r="E78" s="97" t="s">
        <v>135</v>
      </c>
      <c r="F78" s="127" t="s">
        <v>417</v>
      </c>
      <c r="G78" s="106" t="s">
        <v>418</v>
      </c>
      <c r="H78" s="105" t="s">
        <v>221</v>
      </c>
      <c r="I78" s="106" t="s">
        <v>419</v>
      </c>
      <c r="J78" s="130"/>
      <c r="K78" s="130"/>
    </row>
    <row r="79" spans="1:14" ht="60.75" customHeight="1">
      <c r="A79" s="353"/>
      <c r="B79" s="128" t="s">
        <v>420</v>
      </c>
      <c r="C79" s="139" t="s">
        <v>421</v>
      </c>
      <c r="D79" s="77">
        <v>2026</v>
      </c>
      <c r="E79" s="77" t="s">
        <v>135</v>
      </c>
      <c r="F79" s="112" t="s">
        <v>422</v>
      </c>
      <c r="G79" s="95" t="s">
        <v>423</v>
      </c>
      <c r="H79" s="104" t="s">
        <v>424</v>
      </c>
      <c r="I79" s="95"/>
      <c r="J79" s="123"/>
      <c r="K79" s="123"/>
    </row>
    <row r="80" spans="1:14" ht="60.75" customHeight="1">
      <c r="A80" s="353"/>
      <c r="B80" s="131" t="s">
        <v>425</v>
      </c>
      <c r="C80" s="158" t="s">
        <v>426</v>
      </c>
      <c r="D80" s="97">
        <v>2026</v>
      </c>
      <c r="E80" s="97" t="s">
        <v>135</v>
      </c>
      <c r="F80" s="127" t="s">
        <v>427</v>
      </c>
      <c r="G80" s="106" t="s">
        <v>428</v>
      </c>
      <c r="H80" s="105" t="s">
        <v>221</v>
      </c>
      <c r="I80" s="106" t="s">
        <v>429</v>
      </c>
      <c r="J80" s="130"/>
      <c r="K80" s="130"/>
    </row>
    <row r="81" spans="1:11" ht="15" customHeight="1">
      <c r="A81" s="353"/>
      <c r="B81" s="128" t="s">
        <v>430</v>
      </c>
      <c r="C81" s="139" t="s">
        <v>431</v>
      </c>
      <c r="D81" s="77">
        <v>2026</v>
      </c>
      <c r="E81" s="77" t="s">
        <v>135</v>
      </c>
      <c r="F81" s="112" t="s">
        <v>432</v>
      </c>
      <c r="G81" s="95" t="s">
        <v>433</v>
      </c>
      <c r="H81" s="105" t="s">
        <v>21</v>
      </c>
      <c r="I81" s="95" t="s">
        <v>434</v>
      </c>
      <c r="J81" s="123"/>
      <c r="K81" s="123"/>
    </row>
    <row r="82" spans="1:11" ht="15" customHeight="1">
      <c r="A82" s="353"/>
      <c r="B82" s="139" t="s">
        <v>435</v>
      </c>
      <c r="C82" s="77" t="s">
        <v>436</v>
      </c>
      <c r="D82" s="77">
        <v>2021</v>
      </c>
      <c r="E82" s="77" t="s">
        <v>135</v>
      </c>
      <c r="F82" s="112" t="s">
        <v>437</v>
      </c>
      <c r="G82" s="159" t="s">
        <v>438</v>
      </c>
      <c r="H82" s="104" t="s">
        <v>424</v>
      </c>
      <c r="I82" s="248" t="s">
        <v>439</v>
      </c>
      <c r="J82" s="130"/>
      <c r="K82" s="130"/>
    </row>
    <row r="83" spans="1:11" ht="15" customHeight="1">
      <c r="A83" s="353"/>
      <c r="B83" s="123" t="s">
        <v>440</v>
      </c>
      <c r="C83" s="131" t="s">
        <v>441</v>
      </c>
      <c r="D83" s="123">
        <v>2015</v>
      </c>
      <c r="E83" s="123" t="s">
        <v>18</v>
      </c>
      <c r="F83" s="127" t="s">
        <v>442</v>
      </c>
      <c r="G83" s="123" t="s">
        <v>443</v>
      </c>
      <c r="H83" s="105" t="s">
        <v>221</v>
      </c>
      <c r="I83" s="131" t="s">
        <v>444</v>
      </c>
      <c r="J83" s="123" t="s">
        <v>445</v>
      </c>
      <c r="K83" s="123" t="s">
        <v>446</v>
      </c>
    </row>
    <row r="84" spans="1:11" ht="15" customHeight="1">
      <c r="A84" s="353"/>
      <c r="B84" s="249"/>
      <c r="C84" s="249"/>
      <c r="D84" s="249"/>
      <c r="E84" s="249"/>
      <c r="F84" s="124"/>
      <c r="G84" s="124"/>
      <c r="H84" s="105"/>
      <c r="I84" s="124"/>
      <c r="J84" s="124"/>
      <c r="K84" s="124"/>
    </row>
    <row r="85" spans="1:11" ht="45.75">
      <c r="A85" s="250"/>
      <c r="B85" s="162" t="s">
        <v>447</v>
      </c>
      <c r="C85" s="139" t="s">
        <v>448</v>
      </c>
      <c r="D85" s="155">
        <v>2021</v>
      </c>
      <c r="E85" s="77" t="s">
        <v>135</v>
      </c>
      <c r="F85" s="163" t="s">
        <v>449</v>
      </c>
      <c r="G85" s="77" t="s">
        <v>450</v>
      </c>
      <c r="H85" s="105" t="s">
        <v>21</v>
      </c>
      <c r="I85" s="106" t="s">
        <v>451</v>
      </c>
      <c r="J85" s="167" t="s">
        <v>452</v>
      </c>
      <c r="K85" s="168" t="s">
        <v>453</v>
      </c>
    </row>
    <row r="86" spans="1:11" ht="15" customHeight="1">
      <c r="A86" s="353" t="s">
        <v>454</v>
      </c>
      <c r="B86" s="127" t="s">
        <v>455</v>
      </c>
      <c r="C86" s="123" t="s">
        <v>456</v>
      </c>
      <c r="D86" s="123">
        <v>2024</v>
      </c>
      <c r="E86" s="123" t="s">
        <v>135</v>
      </c>
      <c r="F86" s="166" t="s">
        <v>457</v>
      </c>
      <c r="G86" s="123" t="s">
        <v>458</v>
      </c>
      <c r="H86" s="75" t="s">
        <v>153</v>
      </c>
      <c r="I86" s="97" t="s">
        <v>459</v>
      </c>
      <c r="J86" s="97" t="s">
        <v>460</v>
      </c>
      <c r="K86" s="136" t="s">
        <v>461</v>
      </c>
    </row>
    <row r="87" spans="1:11" ht="15" customHeight="1">
      <c r="A87" s="353"/>
      <c r="B87" s="77" t="s">
        <v>462</v>
      </c>
      <c r="C87" s="139" t="s">
        <v>463</v>
      </c>
      <c r="D87" s="77">
        <v>2026</v>
      </c>
      <c r="E87" s="77" t="s">
        <v>135</v>
      </c>
      <c r="F87" s="112" t="s">
        <v>464</v>
      </c>
      <c r="G87" s="130" t="s">
        <v>465</v>
      </c>
      <c r="H87" s="105" t="s">
        <v>153</v>
      </c>
      <c r="I87" s="164" t="s">
        <v>466</v>
      </c>
      <c r="J87" s="165" t="s">
        <v>467</v>
      </c>
      <c r="K87" s="165" t="s">
        <v>468</v>
      </c>
    </row>
    <row r="88" spans="1:11" ht="15" customHeight="1">
      <c r="A88" s="353"/>
      <c r="B88" s="123" t="s">
        <v>469</v>
      </c>
      <c r="C88" s="158" t="s">
        <v>470</v>
      </c>
      <c r="D88" s="97">
        <v>2023</v>
      </c>
      <c r="E88" s="97" t="s">
        <v>135</v>
      </c>
      <c r="F88" s="127" t="s">
        <v>471</v>
      </c>
      <c r="G88" s="97" t="s">
        <v>472</v>
      </c>
      <c r="H88" s="105" t="s">
        <v>153</v>
      </c>
      <c r="I88" s="97" t="s">
        <v>473</v>
      </c>
      <c r="J88" s="97" t="s">
        <v>474</v>
      </c>
      <c r="K88" s="97" t="s">
        <v>475</v>
      </c>
    </row>
    <row r="89" spans="1:11" ht="15" customHeight="1">
      <c r="A89" s="353"/>
      <c r="B89" s="77" t="s">
        <v>476</v>
      </c>
      <c r="C89" s="139" t="s">
        <v>477</v>
      </c>
      <c r="D89" s="77">
        <v>2026</v>
      </c>
      <c r="E89" s="77" t="s">
        <v>150</v>
      </c>
      <c r="F89" s="112" t="s">
        <v>478</v>
      </c>
      <c r="G89" s="130" t="s">
        <v>479</v>
      </c>
      <c r="H89" s="105" t="s">
        <v>153</v>
      </c>
      <c r="I89" s="164" t="s">
        <v>480</v>
      </c>
      <c r="J89" s="165" t="s">
        <v>481</v>
      </c>
      <c r="K89" s="165" t="s">
        <v>482</v>
      </c>
    </row>
    <row r="90" spans="1:11" ht="15" customHeight="1">
      <c r="A90" s="353"/>
      <c r="B90" s="35" t="s">
        <v>483</v>
      </c>
      <c r="C90" s="35"/>
      <c r="D90" s="35"/>
      <c r="E90" s="83"/>
      <c r="F90" s="35"/>
      <c r="G90" s="35"/>
      <c r="H90" s="72" t="s">
        <v>55</v>
      </c>
      <c r="I90" s="35"/>
      <c r="J90" s="35"/>
      <c r="K90" s="35"/>
    </row>
    <row r="91" spans="1:11" ht="15" customHeight="1">
      <c r="A91" s="353"/>
      <c r="B91" t="s">
        <v>483</v>
      </c>
      <c r="F91" s="34"/>
      <c r="G91" s="34"/>
      <c r="H91" s="72" t="s">
        <v>55</v>
      </c>
      <c r="I91" s="34"/>
      <c r="J91" s="34"/>
      <c r="K91" s="34"/>
    </row>
    <row r="92" spans="1:11" ht="15" customHeight="1">
      <c r="A92" s="353"/>
      <c r="B92" s="35" t="s">
        <v>483</v>
      </c>
      <c r="C92" s="35"/>
      <c r="D92" s="35"/>
      <c r="E92" s="83"/>
      <c r="F92" s="35"/>
      <c r="G92" s="35"/>
      <c r="H92" s="72" t="s">
        <v>55</v>
      </c>
      <c r="I92" s="35"/>
      <c r="J92" s="35"/>
      <c r="K92" s="35"/>
    </row>
    <row r="93" spans="1:11" ht="15" customHeight="1">
      <c r="A93" s="353"/>
      <c r="B93" t="s">
        <v>483</v>
      </c>
      <c r="F93" s="34"/>
      <c r="G93" s="34"/>
      <c r="H93" s="72" t="s">
        <v>55</v>
      </c>
      <c r="I93" s="34"/>
      <c r="J93" s="34"/>
      <c r="K93" s="34"/>
    </row>
    <row r="94" spans="1:11" ht="15" customHeight="1">
      <c r="A94" s="353"/>
      <c r="B94" s="35" t="s">
        <v>483</v>
      </c>
      <c r="C94" s="35"/>
      <c r="D94" s="35"/>
      <c r="E94" s="83"/>
      <c r="F94" s="35"/>
      <c r="G94" s="35"/>
      <c r="H94" s="72" t="s">
        <v>55</v>
      </c>
      <c r="I94" s="35"/>
      <c r="J94" s="35"/>
      <c r="K94" s="35"/>
    </row>
    <row r="95" spans="1:11" ht="15" customHeight="1">
      <c r="A95" s="353"/>
      <c r="B95" t="s">
        <v>483</v>
      </c>
      <c r="F95" s="34"/>
      <c r="G95" s="34"/>
      <c r="H95" s="72" t="s">
        <v>55</v>
      </c>
      <c r="I95" s="34"/>
      <c r="J95" s="34"/>
      <c r="K95" s="34"/>
    </row>
    <row r="96" spans="1:11" ht="15" customHeight="1">
      <c r="A96" s="353"/>
      <c r="B96" s="35" t="s">
        <v>483</v>
      </c>
      <c r="C96" s="35"/>
      <c r="D96" s="35"/>
      <c r="E96" s="83"/>
      <c r="F96" s="35"/>
      <c r="G96" s="35"/>
      <c r="H96" s="72" t="s">
        <v>55</v>
      </c>
      <c r="I96" s="35"/>
      <c r="J96" s="35"/>
      <c r="K96" s="35"/>
    </row>
    <row r="97" spans="1:11" ht="15" customHeight="1">
      <c r="A97" s="358"/>
      <c r="B97" t="s">
        <v>483</v>
      </c>
      <c r="F97" s="34"/>
      <c r="G97" s="34"/>
      <c r="H97" s="72" t="s">
        <v>282</v>
      </c>
      <c r="I97" s="34"/>
      <c r="J97" s="34"/>
      <c r="K97" s="34"/>
    </row>
    <row r="98" spans="1:11" ht="15" customHeight="1">
      <c r="A98" s="359" t="s">
        <v>484</v>
      </c>
      <c r="B98" s="151" t="s">
        <v>485</v>
      </c>
      <c r="C98" s="152" t="s">
        <v>486</v>
      </c>
      <c r="D98" s="136">
        <v>2026</v>
      </c>
      <c r="E98" s="136" t="s">
        <v>150</v>
      </c>
      <c r="F98" s="127" t="s">
        <v>487</v>
      </c>
      <c r="G98" s="135" t="s">
        <v>488</v>
      </c>
      <c r="H98" s="153" t="s">
        <v>153</v>
      </c>
      <c r="I98" s="251" t="s">
        <v>489</v>
      </c>
      <c r="J98" s="152" t="s">
        <v>490</v>
      </c>
      <c r="K98" s="106" t="s">
        <v>491</v>
      </c>
    </row>
    <row r="99" spans="1:11" ht="15" customHeight="1">
      <c r="A99" s="353"/>
      <c r="B99" s="128" t="s">
        <v>485</v>
      </c>
      <c r="C99" s="139" t="s">
        <v>492</v>
      </c>
      <c r="D99" s="77">
        <v>2025</v>
      </c>
      <c r="E99" s="77" t="s">
        <v>150</v>
      </c>
      <c r="F99" s="112" t="s">
        <v>487</v>
      </c>
      <c r="G99" s="252" t="s">
        <v>493</v>
      </c>
      <c r="H99" s="105" t="s">
        <v>153</v>
      </c>
      <c r="I99" s="110" t="s">
        <v>494</v>
      </c>
      <c r="J99" s="110" t="s">
        <v>495</v>
      </c>
      <c r="K99" s="110" t="s">
        <v>496</v>
      </c>
    </row>
    <row r="100" spans="1:11" ht="15" customHeight="1">
      <c r="A100" s="353"/>
      <c r="B100" s="151" t="s">
        <v>497</v>
      </c>
      <c r="C100" s="152" t="s">
        <v>498</v>
      </c>
      <c r="D100" s="104">
        <v>2008</v>
      </c>
      <c r="E100" s="136" t="s">
        <v>18</v>
      </c>
      <c r="F100" s="127" t="s">
        <v>499</v>
      </c>
      <c r="G100" s="121" t="s">
        <v>500</v>
      </c>
      <c r="H100" s="105" t="s">
        <v>153</v>
      </c>
      <c r="I100" s="251" t="s">
        <v>501</v>
      </c>
      <c r="J100" s="152" t="s">
        <v>502</v>
      </c>
      <c r="K100" s="106" t="s">
        <v>503</v>
      </c>
    </row>
    <row r="101" spans="1:11" ht="15" customHeight="1">
      <c r="A101" s="353"/>
      <c r="B101" s="128" t="s">
        <v>504</v>
      </c>
      <c r="C101" s="77" t="s">
        <v>505</v>
      </c>
      <c r="D101" s="77">
        <v>2020</v>
      </c>
      <c r="E101" s="77" t="s">
        <v>150</v>
      </c>
      <c r="F101" s="112" t="s">
        <v>506</v>
      </c>
      <c r="G101" s="156" t="s">
        <v>507</v>
      </c>
      <c r="H101" s="105" t="s">
        <v>153</v>
      </c>
      <c r="I101" s="110" t="s">
        <v>508</v>
      </c>
      <c r="J101" s="34"/>
      <c r="K101" s="34"/>
    </row>
    <row r="102" spans="1:11" ht="15" customHeight="1">
      <c r="A102" s="353"/>
      <c r="B102" s="35" t="s">
        <v>483</v>
      </c>
      <c r="C102" s="35"/>
      <c r="D102" s="35"/>
      <c r="E102" s="83"/>
      <c r="F102" s="35"/>
      <c r="G102" s="35"/>
      <c r="H102" s="72" t="s">
        <v>282</v>
      </c>
      <c r="I102" s="35"/>
      <c r="J102" s="35"/>
      <c r="K102" s="35"/>
    </row>
    <row r="103" spans="1:11" ht="15" customHeight="1">
      <c r="A103" s="353"/>
      <c r="B103" t="s">
        <v>483</v>
      </c>
      <c r="F103" s="34"/>
      <c r="G103" s="34"/>
      <c r="H103" s="72" t="s">
        <v>282</v>
      </c>
      <c r="I103" s="34"/>
      <c r="J103" s="34"/>
      <c r="K103" s="34"/>
    </row>
    <row r="104" spans="1:11" ht="15" customHeight="1">
      <c r="A104" s="353"/>
      <c r="B104" s="35" t="s">
        <v>483</v>
      </c>
      <c r="C104" s="35"/>
      <c r="D104" s="35"/>
      <c r="E104" s="83"/>
      <c r="F104" s="35"/>
      <c r="G104" s="35"/>
      <c r="H104" s="72" t="s">
        <v>282</v>
      </c>
      <c r="I104" s="35"/>
      <c r="J104" s="35"/>
      <c r="K104" s="35"/>
    </row>
    <row r="105" spans="1:11" ht="15" customHeight="1">
      <c r="A105" s="353"/>
      <c r="B105" t="s">
        <v>483</v>
      </c>
      <c r="F105" s="34"/>
      <c r="G105" s="34"/>
      <c r="H105" s="72" t="s">
        <v>282</v>
      </c>
      <c r="I105" s="34"/>
      <c r="J105" s="34"/>
      <c r="K105" s="34"/>
    </row>
    <row r="106" spans="1:11" ht="15" customHeight="1">
      <c r="A106" s="353"/>
      <c r="B106" s="35" t="s">
        <v>483</v>
      </c>
      <c r="C106" s="35"/>
      <c r="D106" s="35"/>
      <c r="E106" s="83"/>
      <c r="F106" s="35"/>
      <c r="G106" s="35"/>
      <c r="H106" s="72" t="s">
        <v>282</v>
      </c>
      <c r="I106" s="35"/>
      <c r="J106" s="35"/>
      <c r="K106" s="35"/>
    </row>
    <row r="107" spans="1:11" ht="15" customHeight="1">
      <c r="A107" s="353"/>
      <c r="B107" t="s">
        <v>483</v>
      </c>
      <c r="F107" s="34"/>
      <c r="G107" s="34"/>
      <c r="H107" s="72" t="s">
        <v>282</v>
      </c>
      <c r="I107" s="34"/>
      <c r="J107" s="34"/>
      <c r="K107" s="34"/>
    </row>
    <row r="108" spans="1:11" ht="15" customHeight="1">
      <c r="A108" s="353"/>
      <c r="B108" s="35" t="s">
        <v>483</v>
      </c>
      <c r="C108" s="35"/>
      <c r="D108" s="35"/>
      <c r="E108" s="83"/>
      <c r="F108" s="35"/>
      <c r="G108" s="35"/>
      <c r="H108" s="72" t="s">
        <v>282</v>
      </c>
      <c r="I108" s="35"/>
      <c r="J108" s="35"/>
      <c r="K108" s="35"/>
    </row>
    <row r="109" spans="1:11" ht="15" customHeight="1">
      <c r="A109" s="353"/>
      <c r="B109" s="41" t="s">
        <v>483</v>
      </c>
      <c r="C109" s="40"/>
      <c r="D109" s="44"/>
      <c r="F109" s="45"/>
      <c r="G109" s="34"/>
      <c r="H109" s="72" t="s">
        <v>282</v>
      </c>
      <c r="I109" s="74"/>
      <c r="J109" s="34"/>
      <c r="K109" s="34"/>
    </row>
    <row r="110" spans="1:11" ht="15" customHeight="1">
      <c r="A110" s="353" t="s">
        <v>509</v>
      </c>
      <c r="B110" s="47" t="s">
        <v>510</v>
      </c>
      <c r="C110" s="227" t="s">
        <v>511</v>
      </c>
      <c r="D110" s="76" t="s">
        <v>512</v>
      </c>
      <c r="E110" s="83" t="s">
        <v>150</v>
      </c>
      <c r="F110" s="230" t="s">
        <v>513</v>
      </c>
      <c r="G110" s="98" t="s">
        <v>514</v>
      </c>
      <c r="H110" s="276" t="s">
        <v>21</v>
      </c>
      <c r="I110" s="227" t="s">
        <v>515</v>
      </c>
      <c r="J110" s="229" t="s">
        <v>516</v>
      </c>
      <c r="K110" s="217" t="s">
        <v>517</v>
      </c>
    </row>
    <row r="111" spans="1:11" ht="15" customHeight="1">
      <c r="A111" s="353"/>
      <c r="B111" s="41" t="s">
        <v>518</v>
      </c>
      <c r="C111" t="s">
        <v>519</v>
      </c>
      <c r="D111" s="44">
        <v>45886</v>
      </c>
      <c r="E111" s="33" t="s">
        <v>150</v>
      </c>
      <c r="F111" s="223" t="s">
        <v>520</v>
      </c>
      <c r="G111" s="228" t="s">
        <v>521</v>
      </c>
      <c r="H111" s="276" t="s">
        <v>21</v>
      </c>
      <c r="I111" s="228" t="s">
        <v>522</v>
      </c>
      <c r="J111" s="218"/>
      <c r="K111" s="218" t="s">
        <v>523</v>
      </c>
    </row>
    <row r="112" spans="1:11" ht="15" customHeight="1">
      <c r="A112" s="353"/>
      <c r="B112" s="47" t="s">
        <v>524</v>
      </c>
      <c r="C112" s="227" t="s">
        <v>525</v>
      </c>
      <c r="D112" s="35" t="s">
        <v>526</v>
      </c>
      <c r="E112" s="83" t="s">
        <v>150</v>
      </c>
      <c r="F112" s="222" t="s">
        <v>527</v>
      </c>
      <c r="G112" s="227" t="s">
        <v>528</v>
      </c>
      <c r="H112" s="72" t="s">
        <v>370</v>
      </c>
      <c r="I112" s="217"/>
      <c r="J112" s="98" t="s">
        <v>529</v>
      </c>
      <c r="K112" s="219" t="s">
        <v>530</v>
      </c>
    </row>
    <row r="113" spans="1:11" ht="15" customHeight="1">
      <c r="A113" s="353"/>
      <c r="B113" s="41" t="s">
        <v>531</v>
      </c>
      <c r="C113" t="s">
        <v>532</v>
      </c>
      <c r="D113" t="s">
        <v>533</v>
      </c>
      <c r="E113" s="33" t="s">
        <v>150</v>
      </c>
      <c r="F113" s="223" t="s">
        <v>534</v>
      </c>
      <c r="G113" s="226" t="s">
        <v>535</v>
      </c>
      <c r="H113" s="276" t="s">
        <v>21</v>
      </c>
      <c r="I113" s="226" t="s">
        <v>536</v>
      </c>
      <c r="J113" s="228" t="s">
        <v>537</v>
      </c>
      <c r="K113" s="220" t="s">
        <v>538</v>
      </c>
    </row>
    <row r="114" spans="1:11" ht="15" customHeight="1">
      <c r="A114" s="353"/>
      <c r="B114" s="41" t="s">
        <v>539</v>
      </c>
      <c r="C114" s="227" t="s">
        <v>540</v>
      </c>
      <c r="D114" s="76">
        <v>45988</v>
      </c>
      <c r="E114" s="83" t="s">
        <v>150</v>
      </c>
      <c r="F114" s="222" t="s">
        <v>541</v>
      </c>
      <c r="G114" t="s">
        <v>542</v>
      </c>
      <c r="H114" s="276" t="s">
        <v>21</v>
      </c>
      <c r="I114" s="227" t="s">
        <v>543</v>
      </c>
      <c r="J114" t="s">
        <v>544</v>
      </c>
      <c r="K114" s="225" t="s">
        <v>545</v>
      </c>
    </row>
    <row r="115" spans="1:11" ht="15" customHeight="1">
      <c r="A115" s="353"/>
      <c r="B115" s="41" t="s">
        <v>546</v>
      </c>
      <c r="C115" t="s">
        <v>547</v>
      </c>
      <c r="D115" s="285">
        <v>46006</v>
      </c>
      <c r="E115" s="33" t="s">
        <v>150</v>
      </c>
      <c r="F115" s="45" t="s">
        <v>548</v>
      </c>
      <c r="G115" s="156" t="s">
        <v>549</v>
      </c>
      <c r="H115" s="276" t="s">
        <v>21</v>
      </c>
      <c r="I115" s="224" t="s">
        <v>550</v>
      </c>
      <c r="J115" s="224" t="s">
        <v>551</v>
      </c>
      <c r="K115" s="156" t="s">
        <v>552</v>
      </c>
    </row>
    <row r="116" spans="1:11" ht="15" customHeight="1">
      <c r="A116" s="353"/>
      <c r="B116" s="296" t="s">
        <v>539</v>
      </c>
      <c r="C116" s="297" t="s">
        <v>540</v>
      </c>
      <c r="D116" s="295"/>
      <c r="E116" s="298"/>
      <c r="F116" s="295"/>
      <c r="G116" s="295"/>
      <c r="H116" s="72" t="s">
        <v>282</v>
      </c>
      <c r="I116" s="295" t="s">
        <v>553</v>
      </c>
      <c r="J116" s="35"/>
      <c r="K116" s="35"/>
    </row>
    <row r="117" spans="1:11" ht="15" customHeight="1">
      <c r="A117" s="353"/>
      <c r="B117" s="41" t="s">
        <v>554</v>
      </c>
      <c r="C117" t="s">
        <v>555</v>
      </c>
      <c r="D117" t="s">
        <v>556</v>
      </c>
      <c r="E117" s="33" t="s">
        <v>150</v>
      </c>
      <c r="F117" s="45" t="s">
        <v>557</v>
      </c>
      <c r="G117" s="254" t="s">
        <v>558</v>
      </c>
      <c r="H117" s="276" t="s">
        <v>21</v>
      </c>
      <c r="I117" s="224" t="s">
        <v>559</v>
      </c>
      <c r="J117" t="s">
        <v>560</v>
      </c>
      <c r="K117" s="224" t="s">
        <v>561</v>
      </c>
    </row>
    <row r="118" spans="1:11" ht="16.5">
      <c r="A118" s="353"/>
      <c r="B118" s="47" t="s">
        <v>562</v>
      </c>
      <c r="C118" s="225" t="s">
        <v>563</v>
      </c>
      <c r="D118" s="225" t="s">
        <v>564</v>
      </c>
      <c r="E118" s="196" t="s">
        <v>150</v>
      </c>
      <c r="F118" s="41" t="s">
        <v>565</v>
      </c>
      <c r="G118" s="35"/>
      <c r="H118" s="276" t="s">
        <v>21</v>
      </c>
      <c r="I118" s="35"/>
      <c r="J118" s="35"/>
      <c r="K118" s="35"/>
    </row>
    <row r="119" spans="1:11" ht="16.5">
      <c r="A119" s="353"/>
      <c r="B119" s="303" t="s">
        <v>148</v>
      </c>
      <c r="C119" s="304" t="s">
        <v>149</v>
      </c>
      <c r="D119" s="305"/>
      <c r="E119" s="306"/>
      <c r="F119" s="295"/>
      <c r="G119" s="295"/>
      <c r="H119" s="72" t="s">
        <v>282</v>
      </c>
      <c r="I119" s="307" t="s">
        <v>643</v>
      </c>
      <c r="J119" s="295"/>
      <c r="K119" s="295"/>
    </row>
    <row r="120" spans="1:11" ht="15.75">
      <c r="A120" s="353"/>
      <c r="B120" s="47" t="s">
        <v>566</v>
      </c>
      <c r="C120" s="225" t="s">
        <v>567</v>
      </c>
      <c r="D120" s="284">
        <v>45924</v>
      </c>
      <c r="E120" s="196" t="s">
        <v>135</v>
      </c>
      <c r="F120" s="47" t="s">
        <v>568</v>
      </c>
      <c r="G120" s="35"/>
      <c r="H120" s="299" t="s">
        <v>282</v>
      </c>
      <c r="I120" s="35" t="s">
        <v>569</v>
      </c>
      <c r="J120" s="35"/>
      <c r="K120" s="35"/>
    </row>
    <row r="121" spans="1:11" ht="115.5">
      <c r="A121" s="353"/>
      <c r="B121" s="41" t="s">
        <v>644</v>
      </c>
      <c r="C121" s="40" t="s">
        <v>645</v>
      </c>
      <c r="D121" s="44">
        <v>46003</v>
      </c>
      <c r="E121" s="196" t="s">
        <v>150</v>
      </c>
      <c r="F121" s="45" t="s">
        <v>646</v>
      </c>
      <c r="G121" s="348" t="s">
        <v>647</v>
      </c>
      <c r="H121" s="75" t="s">
        <v>21</v>
      </c>
      <c r="I121" s="34"/>
      <c r="J121" s="156" t="s">
        <v>648</v>
      </c>
      <c r="K121" s="156" t="s">
        <v>649</v>
      </c>
    </row>
    <row r="122" spans="1:11" ht="15" customHeight="1">
      <c r="A122" s="353" t="s">
        <v>572</v>
      </c>
      <c r="B122" s="35" t="s">
        <v>483</v>
      </c>
      <c r="C122" s="35"/>
      <c r="D122" s="35"/>
      <c r="E122" s="83"/>
      <c r="F122" s="35"/>
      <c r="G122" s="35"/>
      <c r="H122" s="72" t="s">
        <v>282</v>
      </c>
      <c r="I122" s="35" t="s">
        <v>370</v>
      </c>
      <c r="J122" s="35"/>
      <c r="K122" s="35"/>
    </row>
    <row r="123" spans="1:11" ht="15" customHeight="1">
      <c r="A123" s="359"/>
      <c r="B123" t="s">
        <v>483</v>
      </c>
      <c r="F123" s="34"/>
      <c r="G123" s="34"/>
      <c r="H123" s="72" t="s">
        <v>282</v>
      </c>
      <c r="I123" s="34" t="s">
        <v>370</v>
      </c>
      <c r="J123" s="34"/>
      <c r="K123" s="34"/>
    </row>
    <row r="124" spans="1:11" ht="15" customHeight="1">
      <c r="A124" s="359"/>
      <c r="B124" s="35" t="s">
        <v>483</v>
      </c>
      <c r="C124" s="35"/>
      <c r="D124" s="35"/>
      <c r="E124" s="83"/>
      <c r="F124" s="35"/>
      <c r="G124" s="35"/>
      <c r="H124" s="72" t="s">
        <v>282</v>
      </c>
      <c r="I124" s="35" t="s">
        <v>370</v>
      </c>
      <c r="J124" s="35"/>
      <c r="K124" s="35"/>
    </row>
    <row r="125" spans="1:11" ht="15" customHeight="1">
      <c r="A125" s="359"/>
      <c r="B125" t="s">
        <v>483</v>
      </c>
      <c r="F125" s="34"/>
      <c r="G125" s="34"/>
      <c r="H125" s="72" t="s">
        <v>282</v>
      </c>
      <c r="I125" s="34" t="s">
        <v>370</v>
      </c>
      <c r="J125" s="34"/>
      <c r="K125" s="34"/>
    </row>
    <row r="126" spans="1:11" ht="15" customHeight="1">
      <c r="A126" s="359"/>
      <c r="B126" s="35" t="s">
        <v>483</v>
      </c>
      <c r="C126" s="35"/>
      <c r="D126" s="35"/>
      <c r="E126" s="83"/>
      <c r="F126" s="35"/>
      <c r="G126" s="35"/>
      <c r="H126" s="72" t="s">
        <v>282</v>
      </c>
      <c r="I126" s="35" t="s">
        <v>370</v>
      </c>
      <c r="J126" s="35"/>
      <c r="K126" s="35"/>
    </row>
    <row r="127" spans="1:11" ht="15" customHeight="1">
      <c r="A127" s="359"/>
      <c r="B127" t="s">
        <v>483</v>
      </c>
      <c r="F127" s="34"/>
      <c r="G127" s="34"/>
      <c r="H127" s="72" t="s">
        <v>282</v>
      </c>
      <c r="I127" s="34" t="s">
        <v>370</v>
      </c>
      <c r="J127" s="34"/>
      <c r="K127" s="34"/>
    </row>
    <row r="128" spans="1:11" ht="15" customHeight="1">
      <c r="A128" s="359"/>
      <c r="B128" s="35" t="s">
        <v>573</v>
      </c>
      <c r="C128" s="42" t="s">
        <v>650</v>
      </c>
      <c r="D128" s="35"/>
      <c r="E128" s="83"/>
      <c r="F128" s="35"/>
      <c r="G128" s="35"/>
      <c r="H128" s="75" t="s">
        <v>21</v>
      </c>
      <c r="I128" s="35"/>
      <c r="J128" s="35"/>
      <c r="K128" s="35"/>
    </row>
    <row r="129" spans="1:11" ht="15" customHeight="1">
      <c r="A129" s="359"/>
      <c r="B129" t="s">
        <v>585</v>
      </c>
      <c r="C129" s="40" t="s">
        <v>586</v>
      </c>
      <c r="D129" s="107">
        <v>37967</v>
      </c>
      <c r="F129" s="34"/>
      <c r="G129" s="34"/>
      <c r="H129" s="72" t="s">
        <v>282</v>
      </c>
      <c r="I129" s="34" t="s">
        <v>587</v>
      </c>
      <c r="J129" s="34"/>
      <c r="K129" s="34"/>
    </row>
    <row r="130" spans="1:11" ht="15" customHeight="1">
      <c r="A130" s="359"/>
      <c r="B130" s="35" t="s">
        <v>483</v>
      </c>
      <c r="C130" s="42" t="s">
        <v>588</v>
      </c>
      <c r="D130" s="35"/>
      <c r="E130" s="83"/>
      <c r="F130" s="35"/>
      <c r="G130" s="35"/>
      <c r="H130" s="72" t="s">
        <v>282</v>
      </c>
      <c r="I130" s="35" t="s">
        <v>587</v>
      </c>
      <c r="J130" s="35"/>
      <c r="K130" s="35"/>
    </row>
    <row r="131" spans="1:11" ht="15" customHeight="1">
      <c r="A131" s="359"/>
      <c r="B131" s="41" t="s">
        <v>589</v>
      </c>
      <c r="C131" s="40" t="s">
        <v>590</v>
      </c>
      <c r="D131" s="44">
        <v>45088</v>
      </c>
      <c r="E131" s="33" t="s">
        <v>135</v>
      </c>
      <c r="F131" s="45" t="s">
        <v>591</v>
      </c>
      <c r="G131" s="34"/>
      <c r="H131" s="75" t="s">
        <v>153</v>
      </c>
      <c r="I131" s="34"/>
      <c r="J131" s="34"/>
      <c r="K131" s="34"/>
    </row>
    <row r="132" spans="1:11" ht="15" customHeight="1">
      <c r="A132" s="359"/>
      <c r="B132" s="35" t="s">
        <v>594</v>
      </c>
      <c r="C132" s="72" t="s">
        <v>595</v>
      </c>
      <c r="D132" s="35" t="s">
        <v>596</v>
      </c>
      <c r="E132" s="83" t="s">
        <v>64</v>
      </c>
      <c r="F132" s="35"/>
      <c r="G132" s="35"/>
      <c r="H132" s="72" t="s">
        <v>282</v>
      </c>
      <c r="I132" s="35" t="s">
        <v>597</v>
      </c>
      <c r="J132" s="35"/>
      <c r="K132" s="35"/>
    </row>
    <row r="133" spans="1:11" ht="15" customHeight="1">
      <c r="A133" s="360"/>
      <c r="B133" t="s">
        <v>598</v>
      </c>
      <c r="C133" s="40" t="s">
        <v>651</v>
      </c>
      <c r="D133" s="40" t="s">
        <v>652</v>
      </c>
      <c r="E133" s="33" t="s">
        <v>653</v>
      </c>
      <c r="F133" s="45" t="s">
        <v>601</v>
      </c>
      <c r="G133" s="34"/>
      <c r="H133" s="75" t="s">
        <v>153</v>
      </c>
      <c r="I133" s="34"/>
      <c r="J133" s="34"/>
      <c r="K133" s="34"/>
    </row>
    <row r="134" spans="1:11" ht="15" customHeight="1">
      <c r="A134" s="353" t="s">
        <v>572</v>
      </c>
      <c r="B134" s="35" t="s">
        <v>654</v>
      </c>
      <c r="C134" s="42" t="s">
        <v>611</v>
      </c>
      <c r="D134" s="92">
        <v>44287</v>
      </c>
      <c r="E134" s="83" t="s">
        <v>64</v>
      </c>
      <c r="F134" s="47" t="s">
        <v>612</v>
      </c>
      <c r="G134" s="35"/>
      <c r="H134" s="75" t="s">
        <v>153</v>
      </c>
      <c r="I134" s="35"/>
      <c r="J134" s="35"/>
      <c r="K134" s="35"/>
    </row>
    <row r="135" spans="1:11" ht="15" customHeight="1">
      <c r="A135" s="359"/>
      <c r="B135" s="41" t="s">
        <v>615</v>
      </c>
      <c r="C135" s="40" t="s">
        <v>616</v>
      </c>
      <c r="D135" s="44">
        <v>45800</v>
      </c>
      <c r="E135" s="33" t="s">
        <v>135</v>
      </c>
      <c r="F135" s="45" t="s">
        <v>617</v>
      </c>
      <c r="G135" s="34"/>
      <c r="H135" s="75" t="s">
        <v>153</v>
      </c>
      <c r="I135" s="34"/>
      <c r="J135" s="34"/>
      <c r="K135" s="34"/>
    </row>
    <row r="136" spans="1:11" ht="15" customHeight="1">
      <c r="A136" s="359"/>
      <c r="B136" s="35" t="s">
        <v>619</v>
      </c>
      <c r="C136" s="35" t="s">
        <v>620</v>
      </c>
      <c r="D136" s="107">
        <v>40148</v>
      </c>
      <c r="E136" s="83" t="s">
        <v>621</v>
      </c>
      <c r="F136" s="47" t="s">
        <v>622</v>
      </c>
      <c r="G136" s="35"/>
      <c r="H136" s="72" t="s">
        <v>282</v>
      </c>
      <c r="I136" s="35" t="s">
        <v>587</v>
      </c>
      <c r="J136" s="35"/>
      <c r="K136" s="35"/>
    </row>
    <row r="137" spans="1:11" ht="15" customHeight="1">
      <c r="A137" s="359"/>
      <c r="B137" t="s">
        <v>483</v>
      </c>
      <c r="F137" s="34"/>
      <c r="G137" s="34"/>
      <c r="H137" s="72" t="s">
        <v>282</v>
      </c>
      <c r="I137" s="34"/>
      <c r="J137" s="34"/>
      <c r="K137" s="34"/>
    </row>
    <row r="138" spans="1:11" ht="15" customHeight="1">
      <c r="A138" s="359"/>
      <c r="B138" s="35"/>
      <c r="C138" s="35"/>
      <c r="D138" s="35"/>
      <c r="E138" s="83"/>
      <c r="F138" s="35"/>
      <c r="G138" s="35"/>
      <c r="H138" s="35"/>
      <c r="I138" s="35"/>
      <c r="J138" s="35"/>
      <c r="K138" s="35"/>
    </row>
    <row r="139" spans="1:11" ht="15" customHeight="1">
      <c r="A139" s="359"/>
      <c r="F139" s="34"/>
      <c r="G139" s="34"/>
      <c r="H139" s="34"/>
      <c r="I139" s="34"/>
      <c r="J139" s="34"/>
      <c r="K139" s="34"/>
    </row>
    <row r="140" spans="1:11" ht="15" customHeight="1">
      <c r="A140" s="359"/>
      <c r="B140" s="35"/>
      <c r="C140" s="35"/>
      <c r="D140" s="35"/>
      <c r="E140" s="83"/>
      <c r="F140" s="35"/>
      <c r="G140" s="35"/>
      <c r="H140" s="35"/>
      <c r="I140" s="35"/>
      <c r="J140" s="35"/>
      <c r="K140" s="35"/>
    </row>
    <row r="141" spans="1:11" ht="15" customHeight="1">
      <c r="A141" s="359"/>
      <c r="D141" s="34"/>
      <c r="E141" s="91"/>
      <c r="F141" s="34"/>
      <c r="G141" s="28"/>
    </row>
    <row r="142" spans="1:11" ht="15" customHeight="1">
      <c r="A142" s="359"/>
    </row>
    <row r="143" spans="1:11" ht="15" customHeight="1">
      <c r="A143" s="359"/>
    </row>
    <row r="144" spans="1:11" ht="15" customHeight="1">
      <c r="A144" s="359"/>
    </row>
    <row r="145" spans="1:7" ht="15" customHeight="1">
      <c r="A145" s="359"/>
    </row>
    <row r="152" spans="1:7">
      <c r="B152" s="25" t="str">
        <f>IF(C152="","","PID-"&amp;TEXT(ROW()-2,"0000"))</f>
        <v/>
      </c>
      <c r="D152" s="25"/>
      <c r="F152" s="25"/>
      <c r="G152" s="25"/>
    </row>
    <row r="153" spans="1:7">
      <c r="B153" s="25" t="str">
        <f>IF(C153="","","PID-"&amp;TEXT(ROW()-2,"0000"))</f>
        <v/>
      </c>
      <c r="D153" s="25"/>
      <c r="F153" s="25"/>
      <c r="G153" s="25"/>
    </row>
    <row r="154" spans="1:7">
      <c r="B154" s="25" t="str">
        <f>IF(C154="","","PID-"&amp;TEXT(ROW()-2,"0000"))</f>
        <v/>
      </c>
      <c r="D154" s="25"/>
      <c r="F154" s="25"/>
      <c r="G154" s="25"/>
    </row>
    <row r="155" spans="1:7">
      <c r="B155" s="25" t="str">
        <f>IF(C155="","","PID-"&amp;TEXT(ROW()-2,"0000"))</f>
        <v/>
      </c>
      <c r="D155" s="25"/>
      <c r="F155" s="25"/>
      <c r="G155" s="25"/>
    </row>
    <row r="156" spans="1:7">
      <c r="B156" s="25" t="str">
        <f>IF(C156="","","PID-"&amp;TEXT(ROW()-2,"0000"))</f>
        <v/>
      </c>
      <c r="D156" s="25"/>
      <c r="F156" s="25"/>
      <c r="G156" s="25"/>
    </row>
    <row r="157" spans="1:7">
      <c r="B157" s="25" t="str">
        <f>IF(C157="","","PID-"&amp;TEXT(ROW()-2,"0000"))</f>
        <v/>
      </c>
      <c r="D157" s="25"/>
      <c r="F157" s="25"/>
      <c r="G157" s="25"/>
    </row>
    <row r="158" spans="1:7">
      <c r="B158" s="25" t="str">
        <f>IF(C158="","","PID-"&amp;TEXT(ROW()-2,"0000"))</f>
        <v/>
      </c>
      <c r="C158" s="25"/>
      <c r="D158" s="25"/>
      <c r="F158" s="25"/>
      <c r="G158" s="25"/>
    </row>
    <row r="159" spans="1:7">
      <c r="B159" s="25" t="str">
        <f>IF(C159="","","PID-"&amp;TEXT(ROW()-2,"0000"))</f>
        <v/>
      </c>
      <c r="C159" s="25"/>
      <c r="D159" s="25"/>
      <c r="E159" s="255"/>
      <c r="F159" s="25"/>
      <c r="G159" s="25"/>
    </row>
    <row r="160" spans="1:7">
      <c r="B160" s="25" t="str">
        <f>IF(C160="","","PID-"&amp;TEXT(ROW()-2,"0000"))</f>
        <v/>
      </c>
      <c r="C160" s="25"/>
      <c r="D160" s="25"/>
      <c r="E160" s="255"/>
      <c r="F160" s="25"/>
      <c r="G160" s="25"/>
    </row>
    <row r="161" spans="2:7">
      <c r="B161" s="25" t="str">
        <f>IF(C161="","","PID-"&amp;TEXT(ROW()-2,"0000"))</f>
        <v/>
      </c>
      <c r="C161" s="25"/>
      <c r="D161" s="25"/>
      <c r="E161" s="255"/>
      <c r="F161" s="25"/>
      <c r="G161" s="25"/>
    </row>
    <row r="162" spans="2:7">
      <c r="B162" s="25" t="str">
        <f>IF(C162="","","PID-"&amp;TEXT(ROW()-2,"0000"))</f>
        <v/>
      </c>
      <c r="C162" s="25"/>
      <c r="D162" s="25"/>
      <c r="E162" s="255"/>
      <c r="F162" s="25"/>
      <c r="G162" s="25"/>
    </row>
    <row r="163" spans="2:7">
      <c r="B163" s="25" t="str">
        <f>IF(C163="","","PID-"&amp;TEXT(ROW()-2,"0000"))</f>
        <v/>
      </c>
      <c r="C163" s="25"/>
      <c r="D163" s="25"/>
      <c r="E163" s="255"/>
      <c r="F163" s="25"/>
      <c r="G163" s="25"/>
    </row>
    <row r="164" spans="2:7">
      <c r="B164" s="25" t="str">
        <f>IF(C164="","","PID-"&amp;TEXT(ROW()-2,"0000"))</f>
        <v/>
      </c>
      <c r="C164" s="25"/>
      <c r="D164" s="25"/>
      <c r="E164" s="255"/>
      <c r="F164" s="25"/>
      <c r="G164" s="25"/>
    </row>
    <row r="165" spans="2:7">
      <c r="B165" s="25" t="str">
        <f>IF(C165="","","PID-"&amp;TEXT(ROW()-2,"0000"))</f>
        <v/>
      </c>
      <c r="C165" s="25"/>
      <c r="D165" s="25"/>
      <c r="E165" s="255"/>
      <c r="F165" s="25"/>
      <c r="G165" s="25"/>
    </row>
    <row r="166" spans="2:7">
      <c r="B166" s="25" t="str">
        <f>IF(C166="","","PID-"&amp;TEXT(ROW()-2,"0000"))</f>
        <v/>
      </c>
      <c r="C166" s="25"/>
      <c r="D166" s="25"/>
      <c r="E166" s="255"/>
      <c r="F166" s="25"/>
      <c r="G166" s="25"/>
    </row>
    <row r="167" spans="2:7">
      <c r="B167" s="25" t="str">
        <f>IF(C167="","","PID-"&amp;TEXT(ROW()-2,"0000"))</f>
        <v/>
      </c>
      <c r="C167" s="25"/>
      <c r="D167" s="25"/>
      <c r="E167" s="255"/>
      <c r="F167" s="25"/>
      <c r="G167" s="25"/>
    </row>
    <row r="168" spans="2:7">
      <c r="B168" s="25" t="str">
        <f>IF(C168="","","PID-"&amp;TEXT(ROW()-2,"0000"))</f>
        <v/>
      </c>
      <c r="C168" s="25"/>
      <c r="D168" s="25"/>
      <c r="E168" s="255"/>
      <c r="F168" s="25"/>
      <c r="G168" s="25"/>
    </row>
    <row r="169" spans="2:7">
      <c r="B169" s="25" t="str">
        <f>IF(C169="","","PID-"&amp;TEXT(ROW()-2,"0000"))</f>
        <v/>
      </c>
      <c r="C169" s="25"/>
      <c r="D169" s="25"/>
      <c r="E169" s="255"/>
      <c r="F169" s="25"/>
      <c r="G169" s="25"/>
    </row>
    <row r="170" spans="2:7">
      <c r="B170" s="25" t="str">
        <f>IF(C170="","","PID-"&amp;TEXT(ROW()-2,"0000"))</f>
        <v/>
      </c>
      <c r="C170" s="25"/>
      <c r="D170" s="25"/>
      <c r="E170" s="255"/>
      <c r="F170" s="25"/>
      <c r="G170" s="25"/>
    </row>
    <row r="171" spans="2:7">
      <c r="B171" s="25" t="str">
        <f>IF(C171="","","PID-"&amp;TEXT(ROW()-2,"0000"))</f>
        <v/>
      </c>
      <c r="C171" s="25"/>
      <c r="D171" s="25"/>
      <c r="E171" s="255"/>
      <c r="F171" s="25"/>
      <c r="G171" s="25"/>
    </row>
    <row r="172" spans="2:7">
      <c r="B172" s="25" t="str">
        <f>IF(C172="","","PID-"&amp;TEXT(ROW()-2,"0000"))</f>
        <v/>
      </c>
      <c r="C172" s="25"/>
      <c r="D172" s="25"/>
      <c r="E172" s="255"/>
      <c r="F172" s="25"/>
      <c r="G172" s="25"/>
    </row>
    <row r="173" spans="2:7">
      <c r="B173" s="25" t="str">
        <f>IF(C173="","","PID-"&amp;TEXT(ROW()-2,"0000"))</f>
        <v/>
      </c>
      <c r="C173" s="25"/>
      <c r="D173" s="25"/>
      <c r="E173" s="255"/>
      <c r="F173" s="25"/>
      <c r="G173" s="25"/>
    </row>
    <row r="174" spans="2:7">
      <c r="B174" s="25" t="str">
        <f>IF(C174="","","PID-"&amp;TEXT(ROW()-2,"0000"))</f>
        <v/>
      </c>
      <c r="C174" s="25"/>
      <c r="D174" s="25"/>
      <c r="E174" s="255"/>
      <c r="F174" s="25"/>
      <c r="G174" s="25"/>
    </row>
    <row r="175" spans="2:7">
      <c r="B175" s="25" t="str">
        <f>IF(C175="","","PID-"&amp;TEXT(ROW()-2,"0000"))</f>
        <v/>
      </c>
      <c r="C175" s="25"/>
      <c r="D175" s="25"/>
      <c r="E175" s="255"/>
      <c r="F175" s="25"/>
      <c r="G175" s="25"/>
    </row>
    <row r="176" spans="2:7">
      <c r="B176" s="25" t="str">
        <f>IF(C176="","","PID-"&amp;TEXT(ROW()-2,"0000"))</f>
        <v/>
      </c>
      <c r="C176" s="25"/>
      <c r="D176" s="25"/>
      <c r="E176" s="255"/>
      <c r="F176" s="25"/>
      <c r="G176" s="25"/>
    </row>
    <row r="177" spans="2:7">
      <c r="B177" s="25" t="str">
        <f>IF(C177="","","PID-"&amp;TEXT(ROW()-2,"0000"))</f>
        <v/>
      </c>
      <c r="C177" s="25"/>
      <c r="D177" s="25"/>
      <c r="E177" s="255"/>
      <c r="F177" s="25"/>
      <c r="G177" s="25"/>
    </row>
    <row r="178" spans="2:7">
      <c r="B178" s="25" t="str">
        <f>IF(C178="","","PID-"&amp;TEXT(ROW()-2,"0000"))</f>
        <v/>
      </c>
      <c r="C178" s="25"/>
      <c r="D178" s="25"/>
      <c r="E178" s="255"/>
      <c r="F178" s="25"/>
      <c r="G178" s="25"/>
    </row>
    <row r="179" spans="2:7">
      <c r="B179" s="25" t="str">
        <f>IF(C179="","","PID-"&amp;TEXT(ROW()-2,"0000"))</f>
        <v/>
      </c>
      <c r="C179" s="25"/>
      <c r="D179" s="25"/>
      <c r="E179" s="255"/>
      <c r="F179" s="25"/>
      <c r="G179" s="25"/>
    </row>
    <row r="180" spans="2:7">
      <c r="B180" s="25" t="str">
        <f>IF(C180="","","PID-"&amp;TEXT(ROW()-2,"0000"))</f>
        <v/>
      </c>
      <c r="C180" s="25"/>
      <c r="D180" s="25"/>
      <c r="E180" s="255"/>
      <c r="F180" s="25"/>
      <c r="G180" s="25"/>
    </row>
    <row r="181" spans="2:7">
      <c r="B181" s="25" t="str">
        <f>IF(C181="","","PID-"&amp;TEXT(ROW()-2,"0000"))</f>
        <v/>
      </c>
      <c r="C181" s="25"/>
      <c r="D181" s="25"/>
      <c r="E181" s="255"/>
      <c r="F181" s="25"/>
      <c r="G181" s="25"/>
    </row>
    <row r="182" spans="2:7">
      <c r="B182" s="25" t="str">
        <f>IF(C182="","","PID-"&amp;TEXT(ROW()-2,"0000"))</f>
        <v/>
      </c>
      <c r="C182" s="25"/>
      <c r="D182" s="25"/>
      <c r="E182" s="255"/>
      <c r="F182" s="25"/>
      <c r="G182" s="25"/>
    </row>
    <row r="183" spans="2:7">
      <c r="B183" s="25" t="str">
        <f>IF(C183="","","PID-"&amp;TEXT(ROW()-2,"0000"))</f>
        <v/>
      </c>
      <c r="C183" s="25"/>
      <c r="D183" s="25"/>
      <c r="E183" s="255"/>
      <c r="F183" s="25"/>
      <c r="G183" s="25"/>
    </row>
    <row r="184" spans="2:7">
      <c r="B184" s="25" t="str">
        <f>IF(C184="","","PID-"&amp;TEXT(ROW()-2,"0000"))</f>
        <v/>
      </c>
      <c r="C184" s="25"/>
      <c r="D184" s="25"/>
      <c r="E184" s="255"/>
      <c r="F184" s="25"/>
      <c r="G184" s="25"/>
    </row>
    <row r="185" spans="2:7">
      <c r="B185" s="25" t="str">
        <f>IF(C185="","","PID-"&amp;TEXT(ROW()-2,"0000"))</f>
        <v/>
      </c>
      <c r="C185" s="25"/>
      <c r="D185" s="25"/>
      <c r="E185" s="255"/>
      <c r="F185" s="25"/>
      <c r="G185" s="25"/>
    </row>
    <row r="186" spans="2:7">
      <c r="B186" s="25" t="str">
        <f>IF(C186="","","PID-"&amp;TEXT(ROW()-2,"0000"))</f>
        <v/>
      </c>
      <c r="C186" s="25"/>
      <c r="D186" s="25"/>
      <c r="E186" s="255"/>
      <c r="F186" s="25"/>
      <c r="G186" s="25"/>
    </row>
    <row r="187" spans="2:7">
      <c r="B187" s="25" t="str">
        <f>IF(C187="","","PID-"&amp;TEXT(ROW()-2,"0000"))</f>
        <v/>
      </c>
      <c r="C187" s="25"/>
      <c r="D187" s="25"/>
      <c r="E187" s="255"/>
      <c r="F187" s="25"/>
      <c r="G187" s="25"/>
    </row>
    <row r="188" spans="2:7">
      <c r="B188" s="25" t="str">
        <f>IF(C188="","","PID-"&amp;TEXT(ROW()-2,"0000"))</f>
        <v/>
      </c>
      <c r="C188" s="25"/>
      <c r="D188" s="25"/>
      <c r="E188" s="255"/>
      <c r="F188" s="25"/>
      <c r="G188" s="25"/>
    </row>
    <row r="189" spans="2:7">
      <c r="B189" s="25" t="str">
        <f>IF(C189="","","PID-"&amp;TEXT(ROW()-2,"0000"))</f>
        <v/>
      </c>
      <c r="C189" s="25"/>
      <c r="D189" s="25"/>
      <c r="E189" s="255"/>
      <c r="F189" s="25"/>
      <c r="G189" s="25"/>
    </row>
    <row r="190" spans="2:7">
      <c r="B190" s="25" t="str">
        <f>IF(C190="","","PID-"&amp;TEXT(ROW()-2,"0000"))</f>
        <v/>
      </c>
      <c r="C190" s="25"/>
      <c r="D190" s="25"/>
      <c r="E190" s="255"/>
      <c r="F190" s="25"/>
      <c r="G190" s="25"/>
    </row>
    <row r="191" spans="2:7">
      <c r="B191" s="25" t="str">
        <f>IF(C191="","","PID-"&amp;TEXT(ROW()-2,"0000"))</f>
        <v/>
      </c>
      <c r="C191" s="25"/>
      <c r="D191" s="25"/>
      <c r="E191" s="255"/>
      <c r="F191" s="25"/>
      <c r="G191" s="25"/>
    </row>
    <row r="192" spans="2:7">
      <c r="B192" s="25" t="str">
        <f>IF(C192="","","PID-"&amp;TEXT(ROW()-2,"0000"))</f>
        <v/>
      </c>
      <c r="C192" s="25"/>
      <c r="D192" s="25"/>
      <c r="E192" s="255"/>
      <c r="F192" s="25"/>
      <c r="G192" s="25"/>
    </row>
    <row r="193" spans="2:7">
      <c r="B193" s="25" t="str">
        <f>IF(C193="","","PID-"&amp;TEXT(ROW()-2,"0000"))</f>
        <v/>
      </c>
      <c r="C193" s="25"/>
      <c r="D193" s="25"/>
      <c r="E193" s="255"/>
      <c r="F193" s="25"/>
      <c r="G193" s="25"/>
    </row>
    <row r="194" spans="2:7">
      <c r="B194" s="25" t="str">
        <f>IF(C194="","","PID-"&amp;TEXT(ROW()-2,"0000"))</f>
        <v/>
      </c>
      <c r="C194" s="25"/>
      <c r="D194" s="25"/>
      <c r="E194" s="255"/>
      <c r="F194" s="25"/>
      <c r="G194" s="25"/>
    </row>
    <row r="195" spans="2:7">
      <c r="B195" s="25" t="str">
        <f>IF(C195="","","PID-"&amp;TEXT(ROW()-2,"0000"))</f>
        <v/>
      </c>
      <c r="C195" s="25"/>
      <c r="D195" s="25"/>
      <c r="E195" s="255"/>
      <c r="F195" s="25"/>
      <c r="G195" s="25"/>
    </row>
    <row r="196" spans="2:7">
      <c r="B196" s="25" t="str">
        <f>IF(C196="","","PID-"&amp;TEXT(ROW()-2,"0000"))</f>
        <v/>
      </c>
      <c r="C196" s="25"/>
      <c r="D196" s="25"/>
      <c r="E196" s="255"/>
      <c r="F196" s="25"/>
      <c r="G196" s="25"/>
    </row>
    <row r="197" spans="2:7">
      <c r="B197" s="25" t="str">
        <f>IF(C197="","","PID-"&amp;TEXT(ROW()-2,"0000"))</f>
        <v/>
      </c>
      <c r="C197" s="25"/>
      <c r="D197" s="25"/>
      <c r="E197" s="255"/>
      <c r="F197" s="25"/>
      <c r="G197" s="25"/>
    </row>
    <row r="198" spans="2:7">
      <c r="B198" s="25" t="str">
        <f>IF(C198="","","PID-"&amp;TEXT(ROW()-2,"0000"))</f>
        <v/>
      </c>
      <c r="C198" s="25"/>
      <c r="D198" s="25"/>
      <c r="E198" s="255"/>
      <c r="F198" s="25"/>
      <c r="G198" s="25"/>
    </row>
    <row r="199" spans="2:7">
      <c r="B199" s="25" t="str">
        <f>IF(C199="","","PID-"&amp;TEXT(ROW()-2,"0000"))</f>
        <v/>
      </c>
      <c r="C199" s="25"/>
      <c r="D199" s="25"/>
      <c r="E199" s="255"/>
      <c r="F199" s="25"/>
      <c r="G199" s="25"/>
    </row>
    <row r="200" spans="2:7">
      <c r="B200" s="25" t="str">
        <f>IF(C200="","","PID-"&amp;TEXT(ROW()-2,"0000"))</f>
        <v/>
      </c>
      <c r="C200" s="25"/>
      <c r="D200" s="25"/>
      <c r="E200" s="255"/>
      <c r="F200" s="25"/>
      <c r="G200" s="25"/>
    </row>
    <row r="201" spans="2:7">
      <c r="B201" s="25" t="str">
        <f>IF(C201="","","PID-"&amp;TEXT(ROW()-2,"0000"))</f>
        <v/>
      </c>
      <c r="C201" s="25"/>
      <c r="D201" s="25"/>
      <c r="E201" s="255"/>
      <c r="F201" s="25"/>
      <c r="G201" s="25"/>
    </row>
    <row r="202" spans="2:7">
      <c r="B202" s="25" t="str">
        <f>IF(C202="","","PID-"&amp;TEXT(ROW()-2,"0000"))</f>
        <v/>
      </c>
      <c r="C202" s="25"/>
      <c r="D202" s="25"/>
      <c r="E202" s="255"/>
      <c r="F202" s="25"/>
      <c r="G202" s="25"/>
    </row>
    <row r="203" spans="2:7">
      <c r="B203" s="25" t="str">
        <f>IF(C203="","","PID-"&amp;TEXT(ROW()-2,"0000"))</f>
        <v/>
      </c>
      <c r="C203" s="25"/>
      <c r="D203" s="25"/>
      <c r="E203" s="255"/>
      <c r="F203" s="25"/>
      <c r="G203" s="25"/>
    </row>
    <row r="204" spans="2:7">
      <c r="B204" s="25" t="str">
        <f>IF(C204="","","PID-"&amp;TEXT(ROW()-2,"0000"))</f>
        <v/>
      </c>
      <c r="C204" s="25"/>
      <c r="D204" s="25"/>
      <c r="E204" s="255"/>
      <c r="F204" s="25"/>
      <c r="G204" s="25"/>
    </row>
    <row r="205" spans="2:7">
      <c r="B205" s="25" t="str">
        <f>IF(C205="","","PID-"&amp;TEXT(ROW()-2,"0000"))</f>
        <v/>
      </c>
      <c r="C205" s="25"/>
      <c r="D205" s="25"/>
      <c r="E205" s="255"/>
      <c r="F205" s="25"/>
      <c r="G205" s="25"/>
    </row>
    <row r="206" spans="2:7">
      <c r="B206" s="25" t="str">
        <f>IF(C206="","","PID-"&amp;TEXT(ROW()-2,"0000"))</f>
        <v/>
      </c>
      <c r="C206" s="25"/>
      <c r="D206" s="25"/>
      <c r="E206" s="255"/>
      <c r="F206" s="25"/>
      <c r="G206" s="25"/>
    </row>
    <row r="207" spans="2:7">
      <c r="B207" s="25" t="str">
        <f>IF(C207="","","PID-"&amp;TEXT(ROW()-2,"0000"))</f>
        <v/>
      </c>
      <c r="C207" s="25"/>
      <c r="D207" s="25"/>
      <c r="E207" s="255"/>
      <c r="F207" s="25"/>
      <c r="G207" s="25"/>
    </row>
    <row r="208" spans="2:7">
      <c r="B208" s="25" t="str">
        <f>IF(C208="","","PID-"&amp;TEXT(ROW()-2,"0000"))</f>
        <v/>
      </c>
      <c r="C208" s="25"/>
      <c r="D208" s="25"/>
      <c r="E208" s="255"/>
      <c r="F208" s="25"/>
      <c r="G208" s="25"/>
    </row>
    <row r="209" spans="2:7">
      <c r="B209" s="25" t="str">
        <f>IF(C209="","","PID-"&amp;TEXT(ROW()-2,"0000"))</f>
        <v/>
      </c>
      <c r="C209" s="25"/>
      <c r="D209" s="25"/>
      <c r="E209" s="255"/>
      <c r="F209" s="25"/>
      <c r="G209" s="25"/>
    </row>
    <row r="210" spans="2:7">
      <c r="B210" s="25" t="str">
        <f>IF(C210="","","PID-"&amp;TEXT(ROW()-2,"0000"))</f>
        <v/>
      </c>
      <c r="C210" s="25"/>
      <c r="D210" s="25"/>
      <c r="E210" s="255"/>
      <c r="F210" s="25"/>
      <c r="G210" s="25"/>
    </row>
    <row r="211" spans="2:7">
      <c r="B211" s="25" t="str">
        <f>IF(C211="","","PID-"&amp;TEXT(ROW()-2,"0000"))</f>
        <v/>
      </c>
      <c r="C211" s="25"/>
      <c r="D211" s="25"/>
      <c r="E211" s="255"/>
      <c r="F211" s="25"/>
      <c r="G211" s="25"/>
    </row>
    <row r="212" spans="2:7">
      <c r="B212" s="25" t="str">
        <f>IF(C212="","","PID-"&amp;TEXT(ROW()-2,"0000"))</f>
        <v/>
      </c>
      <c r="C212" s="25"/>
      <c r="D212" s="25"/>
      <c r="E212" s="255"/>
      <c r="F212" s="25"/>
      <c r="G212" s="25"/>
    </row>
    <row r="213" spans="2:7">
      <c r="B213" s="25" t="str">
        <f>IF(C213="","","PID-"&amp;TEXT(ROW()-2,"0000"))</f>
        <v/>
      </c>
      <c r="C213" s="25"/>
      <c r="D213" s="25"/>
      <c r="E213" s="255"/>
      <c r="F213" s="25"/>
      <c r="G213" s="25"/>
    </row>
    <row r="214" spans="2:7">
      <c r="B214" s="25" t="str">
        <f>IF(C214="","","PID-"&amp;TEXT(ROW()-2,"0000"))</f>
        <v/>
      </c>
      <c r="C214" s="25"/>
      <c r="D214" s="25"/>
      <c r="E214" s="255"/>
      <c r="F214" s="25"/>
      <c r="G214" s="25"/>
    </row>
    <row r="215" spans="2:7">
      <c r="B215" s="25" t="str">
        <f>IF(C215="","","PID-"&amp;TEXT(ROW()-2,"0000"))</f>
        <v/>
      </c>
      <c r="C215" s="25"/>
      <c r="D215" s="25"/>
      <c r="E215" s="255"/>
      <c r="F215" s="25"/>
      <c r="G215" s="25"/>
    </row>
    <row r="216" spans="2:7">
      <c r="B216" s="25" t="str">
        <f>IF(C216="","","PID-"&amp;TEXT(ROW()-2,"0000"))</f>
        <v/>
      </c>
      <c r="C216" s="25"/>
      <c r="D216" s="25"/>
      <c r="E216" s="255"/>
      <c r="F216" s="25"/>
      <c r="G216" s="25"/>
    </row>
    <row r="217" spans="2:7">
      <c r="B217" s="25" t="str">
        <f>IF(C217="","","PID-"&amp;TEXT(ROW()-2,"0000"))</f>
        <v/>
      </c>
      <c r="C217" s="25"/>
      <c r="D217" s="25"/>
      <c r="E217" s="255"/>
      <c r="F217" s="25"/>
      <c r="G217" s="25"/>
    </row>
    <row r="218" spans="2:7">
      <c r="B218" s="25" t="str">
        <f>IF(C218="","","PID-"&amp;TEXT(ROW()-2,"0000"))</f>
        <v/>
      </c>
      <c r="C218" s="25"/>
      <c r="D218" s="25"/>
      <c r="E218" s="255"/>
      <c r="F218" s="25"/>
      <c r="G218" s="25"/>
    </row>
    <row r="219" spans="2:7">
      <c r="B219" s="25" t="str">
        <f>IF(C219="","","PID-"&amp;TEXT(ROW()-2,"0000"))</f>
        <v/>
      </c>
      <c r="C219" s="25"/>
      <c r="D219" s="25"/>
      <c r="E219" s="255"/>
      <c r="F219" s="25"/>
      <c r="G219" s="25"/>
    </row>
    <row r="220" spans="2:7">
      <c r="B220" s="25" t="str">
        <f>IF(C220="","","PID-"&amp;TEXT(ROW()-2,"0000"))</f>
        <v/>
      </c>
      <c r="C220" s="25"/>
      <c r="D220" s="25"/>
      <c r="E220" s="255"/>
      <c r="F220" s="25"/>
      <c r="G220" s="25"/>
    </row>
    <row r="221" spans="2:7">
      <c r="B221" s="25" t="str">
        <f>IF(C221="","","PID-"&amp;TEXT(ROW()-2,"0000"))</f>
        <v/>
      </c>
      <c r="C221" s="25"/>
      <c r="D221" s="25"/>
      <c r="E221" s="255"/>
      <c r="F221" s="25"/>
      <c r="G221" s="25"/>
    </row>
    <row r="222" spans="2:7">
      <c r="B222" s="25" t="str">
        <f>IF(C222="","","PID-"&amp;TEXT(ROW()-2,"0000"))</f>
        <v/>
      </c>
      <c r="C222" s="25"/>
      <c r="D222" s="25"/>
      <c r="E222" s="255"/>
      <c r="F222" s="25"/>
      <c r="G222" s="25"/>
    </row>
    <row r="223" spans="2:7">
      <c r="B223" s="25" t="str">
        <f>IF(C223="","","PID-"&amp;TEXT(ROW()-2,"0000"))</f>
        <v/>
      </c>
      <c r="C223" s="25"/>
      <c r="D223" s="25"/>
      <c r="E223" s="255"/>
      <c r="F223" s="25"/>
      <c r="G223" s="25"/>
    </row>
    <row r="224" spans="2:7">
      <c r="B224" s="25" t="str">
        <f>IF(C224="","","PID-"&amp;TEXT(ROW()-2,"0000"))</f>
        <v/>
      </c>
      <c r="C224" s="25"/>
      <c r="D224" s="25"/>
      <c r="E224" s="255"/>
      <c r="F224" s="25"/>
      <c r="G224" s="25"/>
    </row>
    <row r="225" spans="2:7">
      <c r="B225" s="25" t="str">
        <f>IF(C225="","","PID-"&amp;TEXT(ROW()-2,"0000"))</f>
        <v/>
      </c>
      <c r="C225" s="25"/>
      <c r="D225" s="25"/>
      <c r="E225" s="255"/>
      <c r="F225" s="25"/>
      <c r="G225" s="25"/>
    </row>
    <row r="226" spans="2:7">
      <c r="B226" s="25" t="str">
        <f>IF(C226="","","PID-"&amp;TEXT(ROW()-2,"0000"))</f>
        <v/>
      </c>
      <c r="C226" s="25"/>
      <c r="D226" s="25"/>
      <c r="E226" s="255"/>
      <c r="F226" s="25"/>
      <c r="G226" s="25"/>
    </row>
    <row r="227" spans="2:7">
      <c r="B227" s="25" t="str">
        <f>IF(C227="","","PID-"&amp;TEXT(ROW()-2,"0000"))</f>
        <v/>
      </c>
      <c r="C227" s="25"/>
      <c r="D227" s="25"/>
      <c r="E227" s="255"/>
      <c r="F227" s="25"/>
      <c r="G227" s="25"/>
    </row>
    <row r="228" spans="2:7">
      <c r="B228" s="25" t="str">
        <f>IF(C228="","","PID-"&amp;TEXT(ROW()-2,"0000"))</f>
        <v/>
      </c>
      <c r="C228" s="25"/>
      <c r="D228" s="25"/>
      <c r="E228" s="255"/>
      <c r="F228" s="25"/>
      <c r="G228" s="25"/>
    </row>
    <row r="229" spans="2:7">
      <c r="B229" s="25" t="str">
        <f>IF(C229="","","PID-"&amp;TEXT(ROW()-2,"0000"))</f>
        <v/>
      </c>
      <c r="C229" s="25"/>
      <c r="D229" s="25"/>
      <c r="E229" s="255"/>
      <c r="F229" s="25"/>
      <c r="G229" s="25"/>
    </row>
    <row r="230" spans="2:7">
      <c r="B230" s="25" t="str">
        <f>IF(C230="","","PID-"&amp;TEXT(ROW()-2,"0000"))</f>
        <v/>
      </c>
      <c r="C230" s="25"/>
      <c r="D230" s="25"/>
      <c r="E230" s="255"/>
      <c r="F230" s="25"/>
      <c r="G230" s="25"/>
    </row>
    <row r="231" spans="2:7">
      <c r="B231" s="25" t="str">
        <f>IF(C231="","","PID-"&amp;TEXT(ROW()-2,"0000"))</f>
        <v/>
      </c>
      <c r="C231" s="25"/>
      <c r="D231" s="25"/>
      <c r="E231" s="255"/>
      <c r="F231" s="25"/>
      <c r="G231" s="25"/>
    </row>
    <row r="232" spans="2:7">
      <c r="B232" s="25" t="str">
        <f>IF(C232="","","PID-"&amp;TEXT(ROW()-2,"0000"))</f>
        <v/>
      </c>
      <c r="C232" s="25"/>
      <c r="D232" s="25"/>
      <c r="E232" s="255"/>
      <c r="F232" s="25"/>
      <c r="G232" s="25"/>
    </row>
    <row r="233" spans="2:7">
      <c r="B233" s="25" t="str">
        <f>IF(C233="","","PID-"&amp;TEXT(ROW()-2,"0000"))</f>
        <v/>
      </c>
      <c r="C233" s="25"/>
      <c r="D233" s="25"/>
      <c r="E233" s="255"/>
      <c r="F233" s="25"/>
      <c r="G233" s="25"/>
    </row>
    <row r="234" spans="2:7">
      <c r="B234" s="25" t="str">
        <f>IF(C234="","","PID-"&amp;TEXT(ROW()-2,"0000"))</f>
        <v/>
      </c>
      <c r="C234" s="25"/>
      <c r="D234" s="25"/>
      <c r="E234" s="255"/>
      <c r="F234" s="25"/>
      <c r="G234" s="25"/>
    </row>
    <row r="235" spans="2:7">
      <c r="B235" s="25" t="str">
        <f>IF(C235="","","PID-"&amp;TEXT(ROW()-2,"0000"))</f>
        <v/>
      </c>
      <c r="C235" s="25"/>
      <c r="D235" s="25"/>
      <c r="E235" s="255"/>
      <c r="F235" s="25"/>
      <c r="G235" s="25"/>
    </row>
    <row r="236" spans="2:7">
      <c r="B236" s="25" t="str">
        <f>IF(C236="","","PID-"&amp;TEXT(ROW()-2,"0000"))</f>
        <v/>
      </c>
      <c r="C236" s="25"/>
      <c r="D236" s="25"/>
      <c r="E236" s="255"/>
      <c r="F236" s="25"/>
      <c r="G236" s="25"/>
    </row>
    <row r="237" spans="2:7">
      <c r="B237" s="25" t="str">
        <f>IF(C237="","","PID-"&amp;TEXT(ROW()-2,"0000"))</f>
        <v/>
      </c>
      <c r="C237" s="25"/>
      <c r="D237" s="25"/>
      <c r="E237" s="255"/>
      <c r="F237" s="25"/>
      <c r="G237" s="25"/>
    </row>
    <row r="238" spans="2:7">
      <c r="B238" s="25" t="str">
        <f>IF(C238="","","PID-"&amp;TEXT(ROW()-2,"0000"))</f>
        <v/>
      </c>
      <c r="C238" s="25"/>
      <c r="D238" s="25"/>
      <c r="E238" s="255"/>
      <c r="F238" s="25"/>
      <c r="G238" s="25"/>
    </row>
    <row r="239" spans="2:7">
      <c r="B239" s="25" t="str">
        <f>IF(C239="","","PID-"&amp;TEXT(ROW()-2,"0000"))</f>
        <v/>
      </c>
      <c r="C239" s="25"/>
      <c r="D239" s="25"/>
      <c r="E239" s="255"/>
      <c r="F239" s="25"/>
      <c r="G239" s="25"/>
    </row>
    <row r="240" spans="2:7">
      <c r="B240" s="25" t="str">
        <f>IF(C240="","","PID-"&amp;TEXT(ROW()-2,"0000"))</f>
        <v/>
      </c>
      <c r="C240" s="25"/>
      <c r="D240" s="25"/>
      <c r="E240" s="255"/>
      <c r="F240" s="25"/>
      <c r="G240" s="25"/>
    </row>
    <row r="241" spans="2:7">
      <c r="B241" s="25" t="str">
        <f>IF(C241="","","PID-"&amp;TEXT(ROW()-2,"0000"))</f>
        <v/>
      </c>
      <c r="C241" s="25"/>
      <c r="D241" s="25"/>
      <c r="E241" s="255"/>
      <c r="F241" s="25"/>
      <c r="G241" s="25"/>
    </row>
    <row r="242" spans="2:7">
      <c r="B242" s="25" t="str">
        <f>IF(C242="","","PID-"&amp;TEXT(ROW()-2,"0000"))</f>
        <v/>
      </c>
      <c r="C242" s="25"/>
      <c r="D242" s="25"/>
      <c r="E242" s="255"/>
      <c r="F242" s="25"/>
      <c r="G242" s="25"/>
    </row>
    <row r="243" spans="2:7">
      <c r="B243" s="25" t="str">
        <f>IF(C243="","","PID-"&amp;TEXT(ROW()-2,"0000"))</f>
        <v/>
      </c>
      <c r="C243" s="25"/>
      <c r="D243" s="25"/>
      <c r="E243" s="255"/>
      <c r="F243" s="25"/>
      <c r="G243" s="25"/>
    </row>
    <row r="244" spans="2:7">
      <c r="B244" s="25" t="str">
        <f>IF(C244="","","PID-"&amp;TEXT(ROW()-2,"0000"))</f>
        <v/>
      </c>
      <c r="C244" s="25"/>
      <c r="D244" s="25"/>
      <c r="E244" s="255"/>
      <c r="F244" s="25"/>
      <c r="G244" s="25"/>
    </row>
    <row r="245" spans="2:7">
      <c r="B245" s="25" t="str">
        <f>IF(C245="","","PID-"&amp;TEXT(ROW()-2,"0000"))</f>
        <v/>
      </c>
      <c r="C245" s="25"/>
      <c r="D245" s="25"/>
      <c r="E245" s="255"/>
      <c r="F245" s="25"/>
      <c r="G245" s="25"/>
    </row>
    <row r="246" spans="2:7">
      <c r="B246" s="25" t="str">
        <f>IF(C246="","","PID-"&amp;TEXT(ROW()-2,"0000"))</f>
        <v/>
      </c>
      <c r="C246" s="25"/>
      <c r="D246" s="25"/>
      <c r="E246" s="255"/>
      <c r="F246" s="25"/>
      <c r="G246" s="25"/>
    </row>
    <row r="247" spans="2:7">
      <c r="B247" s="25" t="str">
        <f>IF(C247="","","PID-"&amp;TEXT(ROW()-2,"0000"))</f>
        <v/>
      </c>
      <c r="C247" s="25"/>
      <c r="D247" s="25"/>
      <c r="E247" s="255"/>
      <c r="F247" s="25"/>
      <c r="G247" s="25"/>
    </row>
    <row r="248" spans="2:7">
      <c r="B248" s="25" t="str">
        <f>IF(C248="","","PID-"&amp;TEXT(ROW()-2,"0000"))</f>
        <v/>
      </c>
      <c r="C248" s="25"/>
      <c r="D248" s="25"/>
      <c r="E248" s="255"/>
      <c r="F248" s="25"/>
      <c r="G248" s="25"/>
    </row>
    <row r="249" spans="2:7">
      <c r="B249" s="25" t="str">
        <f>IF(C249="","","PID-"&amp;TEXT(ROW()-2,"0000"))</f>
        <v/>
      </c>
      <c r="C249" s="25"/>
      <c r="D249" s="25"/>
      <c r="E249" s="255"/>
      <c r="F249" s="25"/>
      <c r="G249" s="25"/>
    </row>
    <row r="250" spans="2:7">
      <c r="B250" s="25" t="str">
        <f>IF(C250="","","PID-"&amp;TEXT(ROW()-2,"0000"))</f>
        <v/>
      </c>
      <c r="C250" s="25"/>
      <c r="D250" s="25"/>
      <c r="E250" s="255"/>
      <c r="F250" s="25"/>
      <c r="G250" s="25"/>
    </row>
    <row r="251" spans="2:7">
      <c r="B251" s="25" t="str">
        <f>IF(C251="","","PID-"&amp;TEXT(ROW()-2,"0000"))</f>
        <v/>
      </c>
      <c r="C251" s="25"/>
      <c r="D251" s="25"/>
      <c r="E251" s="255"/>
      <c r="F251" s="25"/>
      <c r="G251" s="25"/>
    </row>
    <row r="252" spans="2:7">
      <c r="B252" s="25" t="str">
        <f>IF(C252="","","PID-"&amp;TEXT(ROW()-2,"0000"))</f>
        <v/>
      </c>
      <c r="C252" s="25"/>
      <c r="D252" s="25"/>
      <c r="E252" s="255"/>
      <c r="F252" s="25"/>
      <c r="G252" s="25"/>
    </row>
    <row r="253" spans="2:7">
      <c r="B253" s="25" t="str">
        <f>IF(C253="","","PID-"&amp;TEXT(ROW()-2,"0000"))</f>
        <v/>
      </c>
      <c r="C253" s="25"/>
      <c r="D253" s="25"/>
      <c r="E253" s="255"/>
      <c r="F253" s="25"/>
      <c r="G253" s="25"/>
    </row>
    <row r="254" spans="2:7">
      <c r="B254" s="25" t="str">
        <f>IF(C254="","","PID-"&amp;TEXT(ROW()-2,"0000"))</f>
        <v/>
      </c>
      <c r="C254" s="25"/>
      <c r="D254" s="25"/>
      <c r="E254" s="255"/>
      <c r="F254" s="25"/>
      <c r="G254" s="25"/>
    </row>
    <row r="255" spans="2:7">
      <c r="B255" s="25" t="str">
        <f>IF(C255="","","PID-"&amp;TEXT(ROW()-2,"0000"))</f>
        <v/>
      </c>
      <c r="C255" s="25"/>
      <c r="D255" s="25"/>
      <c r="E255" s="255"/>
      <c r="F255" s="25"/>
      <c r="G255" s="25"/>
    </row>
    <row r="256" spans="2:7">
      <c r="B256" s="25" t="str">
        <f>IF(C256="","","PID-"&amp;TEXT(ROW()-2,"0000"))</f>
        <v/>
      </c>
      <c r="C256" s="25"/>
      <c r="D256" s="25"/>
      <c r="E256" s="255"/>
      <c r="F256" s="25"/>
      <c r="G256" s="25"/>
    </row>
    <row r="257" spans="2:7">
      <c r="B257" s="25" t="str">
        <f>IF(C257="","","PID-"&amp;TEXT(ROW()-2,"0000"))</f>
        <v/>
      </c>
      <c r="C257" s="25"/>
      <c r="D257" s="25"/>
      <c r="E257" s="255"/>
      <c r="F257" s="25"/>
      <c r="G257" s="25"/>
    </row>
    <row r="258" spans="2:7">
      <c r="B258" s="25" t="str">
        <f>IF(C258="","","PID-"&amp;TEXT(ROW()-2,"0000"))</f>
        <v/>
      </c>
      <c r="C258" s="25"/>
      <c r="D258" s="25"/>
      <c r="E258" s="255"/>
      <c r="F258" s="25"/>
      <c r="G258" s="25"/>
    </row>
    <row r="259" spans="2:7">
      <c r="B259" s="25" t="str">
        <f>IF(C259="","","PID-"&amp;TEXT(ROW()-2,"0000"))</f>
        <v/>
      </c>
      <c r="C259" s="25"/>
      <c r="D259" s="25"/>
      <c r="E259" s="255"/>
      <c r="F259" s="25"/>
      <c r="G259" s="25"/>
    </row>
    <row r="260" spans="2:7">
      <c r="B260" s="25" t="str">
        <f>IF(C260="","","PID-"&amp;TEXT(ROW()-2,"0000"))</f>
        <v/>
      </c>
      <c r="C260" s="25"/>
      <c r="D260" s="25"/>
      <c r="E260" s="255"/>
      <c r="F260" s="25"/>
      <c r="G260" s="25"/>
    </row>
    <row r="261" spans="2:7">
      <c r="B261" s="25" t="str">
        <f>IF(C261="","","PID-"&amp;TEXT(ROW()-2,"0000"))</f>
        <v/>
      </c>
      <c r="C261" s="25"/>
      <c r="D261" s="25"/>
      <c r="E261" s="255"/>
      <c r="F261" s="25"/>
      <c r="G261" s="25"/>
    </row>
    <row r="262" spans="2:7">
      <c r="B262" s="25" t="str">
        <f>IF(C262="","","PID-"&amp;TEXT(ROW()-2,"0000"))</f>
        <v/>
      </c>
      <c r="C262" s="25"/>
      <c r="D262" s="25"/>
      <c r="E262" s="255"/>
      <c r="F262" s="25"/>
      <c r="G262" s="25"/>
    </row>
    <row r="263" spans="2:7">
      <c r="B263" s="25" t="str">
        <f>IF(C263="","","PID-"&amp;TEXT(ROW()-2,"0000"))</f>
        <v/>
      </c>
      <c r="C263" s="25"/>
      <c r="D263" s="25"/>
      <c r="E263" s="255"/>
      <c r="F263" s="25"/>
      <c r="G263" s="25"/>
    </row>
    <row r="264" spans="2:7">
      <c r="B264" s="25" t="str">
        <f>IF(C264="","","PID-"&amp;TEXT(ROW()-2,"0000"))</f>
        <v/>
      </c>
      <c r="C264" s="25"/>
      <c r="D264" s="25"/>
      <c r="E264" s="255"/>
      <c r="F264" s="25"/>
      <c r="G264" s="25"/>
    </row>
    <row r="265" spans="2:7">
      <c r="B265" s="25" t="str">
        <f>IF(C265="","","PID-"&amp;TEXT(ROW()-2,"0000"))</f>
        <v/>
      </c>
      <c r="C265" s="25"/>
      <c r="D265" s="25"/>
      <c r="E265" s="255"/>
      <c r="F265" s="25"/>
      <c r="G265" s="25"/>
    </row>
    <row r="266" spans="2:7">
      <c r="B266" s="25" t="str">
        <f>IF(C266="","","PID-"&amp;TEXT(ROW()-2,"0000"))</f>
        <v/>
      </c>
      <c r="C266" s="25"/>
      <c r="D266" s="25"/>
      <c r="E266" s="255"/>
      <c r="F266" s="25"/>
      <c r="G266" s="25"/>
    </row>
    <row r="267" spans="2:7">
      <c r="B267" s="25" t="str">
        <f>IF(C267="","","PID-"&amp;TEXT(ROW()-2,"0000"))</f>
        <v/>
      </c>
      <c r="C267" s="25"/>
      <c r="D267" s="25"/>
      <c r="E267" s="255"/>
      <c r="F267" s="25"/>
      <c r="G267" s="25"/>
    </row>
    <row r="268" spans="2:7">
      <c r="B268" s="25" t="str">
        <f>IF(C268="","","PID-"&amp;TEXT(ROW()-2,"0000"))</f>
        <v/>
      </c>
      <c r="C268" s="25"/>
      <c r="D268" s="25"/>
      <c r="E268" s="255"/>
      <c r="F268" s="25"/>
      <c r="G268" s="25"/>
    </row>
    <row r="269" spans="2:7">
      <c r="B269" s="25" t="str">
        <f>IF(C269="","","PID-"&amp;TEXT(ROW()-2,"0000"))</f>
        <v/>
      </c>
      <c r="C269" s="25"/>
      <c r="D269" s="25"/>
      <c r="E269" s="255"/>
      <c r="F269" s="25"/>
      <c r="G269" s="25"/>
    </row>
    <row r="270" spans="2:7">
      <c r="B270" s="25" t="str">
        <f>IF(C270="","","PID-"&amp;TEXT(ROW()-2,"0000"))</f>
        <v/>
      </c>
      <c r="C270" s="25"/>
      <c r="D270" s="25"/>
      <c r="E270" s="255"/>
      <c r="F270" s="25"/>
      <c r="G270" s="25"/>
    </row>
    <row r="271" spans="2:7">
      <c r="B271" s="25" t="str">
        <f>IF(C271="","","PID-"&amp;TEXT(ROW()-2,"0000"))</f>
        <v/>
      </c>
      <c r="C271" s="25"/>
      <c r="D271" s="25"/>
      <c r="E271" s="255"/>
      <c r="F271" s="25"/>
      <c r="G271" s="25"/>
    </row>
    <row r="272" spans="2:7">
      <c r="B272" s="25" t="str">
        <f>IF(C272="","","PID-"&amp;TEXT(ROW()-2,"0000"))</f>
        <v/>
      </c>
      <c r="C272" s="25"/>
      <c r="D272" s="25"/>
      <c r="E272" s="255"/>
      <c r="F272" s="25"/>
      <c r="G272" s="25"/>
    </row>
    <row r="273" spans="2:7">
      <c r="B273" s="25" t="str">
        <f>IF(C273="","","PID-"&amp;TEXT(ROW()-2,"0000"))</f>
        <v/>
      </c>
      <c r="C273" s="25"/>
      <c r="D273" s="25"/>
      <c r="E273" s="255"/>
      <c r="F273" s="25"/>
      <c r="G273" s="25"/>
    </row>
    <row r="274" spans="2:7">
      <c r="B274" s="25" t="str">
        <f>IF(C274="","","PID-"&amp;TEXT(ROW()-2,"0000"))</f>
        <v/>
      </c>
      <c r="C274" s="25"/>
      <c r="D274" s="25"/>
      <c r="E274" s="255"/>
      <c r="F274" s="25"/>
      <c r="G274" s="25"/>
    </row>
    <row r="275" spans="2:7">
      <c r="B275" s="25" t="str">
        <f>IF(C275="","","PID-"&amp;TEXT(ROW()-2,"0000"))</f>
        <v/>
      </c>
      <c r="C275" s="25"/>
      <c r="D275" s="25"/>
      <c r="E275" s="255"/>
      <c r="F275" s="25"/>
      <c r="G275" s="25"/>
    </row>
    <row r="276" spans="2:7">
      <c r="B276" s="25" t="str">
        <f>IF(C276="","","PID-"&amp;TEXT(ROW()-2,"0000"))</f>
        <v/>
      </c>
      <c r="C276" s="25"/>
      <c r="D276" s="25"/>
      <c r="E276" s="255"/>
      <c r="F276" s="25"/>
      <c r="G276" s="25"/>
    </row>
    <row r="277" spans="2:7">
      <c r="B277" s="25" t="str">
        <f>IF(C277="","","PID-"&amp;TEXT(ROW()-2,"0000"))</f>
        <v/>
      </c>
      <c r="C277" s="25"/>
      <c r="D277" s="25"/>
      <c r="E277" s="255"/>
      <c r="F277" s="25"/>
      <c r="G277" s="25"/>
    </row>
    <row r="278" spans="2:7">
      <c r="B278" s="25" t="str">
        <f>IF(C278="","","PID-"&amp;TEXT(ROW()-2,"0000"))</f>
        <v/>
      </c>
      <c r="C278" s="25"/>
      <c r="D278" s="25"/>
      <c r="E278" s="255"/>
      <c r="F278" s="25"/>
      <c r="G278" s="25"/>
    </row>
    <row r="279" spans="2:7">
      <c r="B279" s="25" t="str">
        <f>IF(C279="","","PID-"&amp;TEXT(ROW()-2,"0000"))</f>
        <v/>
      </c>
      <c r="C279" s="25"/>
      <c r="D279" s="25"/>
      <c r="E279" s="255"/>
      <c r="F279" s="25"/>
      <c r="G279" s="25"/>
    </row>
    <row r="280" spans="2:7">
      <c r="B280" s="25" t="str">
        <f>IF(C280="","","PID-"&amp;TEXT(ROW()-2,"0000"))</f>
        <v/>
      </c>
      <c r="C280" s="25"/>
      <c r="D280" s="25"/>
      <c r="E280" s="255"/>
      <c r="F280" s="25"/>
      <c r="G280" s="25"/>
    </row>
    <row r="281" spans="2:7">
      <c r="B281" s="25" t="str">
        <f>IF(C281="","","PID-"&amp;TEXT(ROW()-2,"0000"))</f>
        <v/>
      </c>
      <c r="C281" s="25"/>
      <c r="D281" s="25"/>
      <c r="E281" s="255"/>
      <c r="F281" s="25"/>
      <c r="G281" s="25"/>
    </row>
    <row r="282" spans="2:7">
      <c r="B282" s="25" t="str">
        <f>IF(C282="","","PID-"&amp;TEXT(ROW()-2,"0000"))</f>
        <v/>
      </c>
      <c r="C282" s="25"/>
      <c r="D282" s="25"/>
      <c r="E282" s="255"/>
      <c r="F282" s="25"/>
      <c r="G282" s="25"/>
    </row>
    <row r="283" spans="2:7">
      <c r="B283" s="25" t="str">
        <f>IF(C283="","","PID-"&amp;TEXT(ROW()-2,"0000"))</f>
        <v/>
      </c>
      <c r="C283" s="25"/>
      <c r="D283" s="25"/>
      <c r="E283" s="255"/>
      <c r="F283" s="25"/>
      <c r="G283" s="25"/>
    </row>
    <row r="284" spans="2:7">
      <c r="B284" s="25" t="str">
        <f>IF(C284="","","PID-"&amp;TEXT(ROW()-2,"0000"))</f>
        <v/>
      </c>
      <c r="C284" s="25"/>
      <c r="D284" s="25"/>
      <c r="E284" s="255"/>
      <c r="F284" s="25"/>
      <c r="G284" s="25"/>
    </row>
    <row r="285" spans="2:7">
      <c r="B285" s="25" t="str">
        <f>IF(C285="","","PID-"&amp;TEXT(ROW()-2,"0000"))</f>
        <v/>
      </c>
      <c r="C285" s="25"/>
      <c r="D285" s="25"/>
      <c r="E285" s="255"/>
      <c r="F285" s="25"/>
      <c r="G285" s="25"/>
    </row>
    <row r="286" spans="2:7">
      <c r="B286" s="25" t="str">
        <f>IF(C286="","","PID-"&amp;TEXT(ROW()-2,"0000"))</f>
        <v/>
      </c>
      <c r="C286" s="25"/>
      <c r="D286" s="25"/>
      <c r="E286" s="255"/>
      <c r="F286" s="25"/>
      <c r="G286" s="25"/>
    </row>
    <row r="287" spans="2:7">
      <c r="B287" s="25" t="str">
        <f>IF(C287="","","PID-"&amp;TEXT(ROW()-2,"0000"))</f>
        <v/>
      </c>
      <c r="C287" s="25"/>
      <c r="D287" s="25"/>
      <c r="E287" s="255"/>
      <c r="F287" s="25"/>
      <c r="G287" s="25"/>
    </row>
    <row r="288" spans="2:7">
      <c r="B288" s="25" t="str">
        <f>IF(C288="","","PID-"&amp;TEXT(ROW()-2,"0000"))</f>
        <v/>
      </c>
      <c r="C288" s="25"/>
      <c r="D288" s="25"/>
      <c r="E288" s="255"/>
      <c r="F288" s="25"/>
      <c r="G288" s="25"/>
    </row>
    <row r="289" spans="2:7">
      <c r="B289" s="25" t="str">
        <f>IF(C289="","","PID-"&amp;TEXT(ROW()-2,"0000"))</f>
        <v/>
      </c>
      <c r="C289" s="25"/>
      <c r="D289" s="25"/>
      <c r="E289" s="255"/>
      <c r="F289" s="25"/>
      <c r="G289" s="25"/>
    </row>
    <row r="290" spans="2:7">
      <c r="B290" s="25" t="str">
        <f>IF(C290="","","PID-"&amp;TEXT(ROW()-2,"0000"))</f>
        <v/>
      </c>
      <c r="C290" s="25"/>
      <c r="D290" s="25"/>
      <c r="E290" s="255"/>
      <c r="F290" s="25"/>
      <c r="G290" s="25"/>
    </row>
    <row r="291" spans="2:7">
      <c r="B291" s="25" t="str">
        <f>IF(C291="","","PID-"&amp;TEXT(ROW()-2,"0000"))</f>
        <v/>
      </c>
      <c r="C291" s="25"/>
      <c r="D291" s="25"/>
      <c r="E291" s="255"/>
      <c r="F291" s="25"/>
      <c r="G291" s="25"/>
    </row>
    <row r="292" spans="2:7">
      <c r="B292" s="25" t="str">
        <f>IF(C292="","","PID-"&amp;TEXT(ROW()-2,"0000"))</f>
        <v/>
      </c>
      <c r="C292" s="25"/>
      <c r="D292" s="25"/>
      <c r="E292" s="255"/>
      <c r="F292" s="25"/>
      <c r="G292" s="25"/>
    </row>
    <row r="293" spans="2:7">
      <c r="B293" s="25" t="str">
        <f>IF(C293="","","PID-"&amp;TEXT(ROW()-2,"0000"))</f>
        <v/>
      </c>
      <c r="C293" s="25"/>
      <c r="D293" s="25"/>
      <c r="E293" s="255"/>
      <c r="F293" s="25"/>
      <c r="G293" s="25"/>
    </row>
    <row r="294" spans="2:7">
      <c r="B294" s="25" t="str">
        <f>IF(C294="","","PID-"&amp;TEXT(ROW()-2,"0000"))</f>
        <v/>
      </c>
      <c r="C294" s="25"/>
      <c r="D294" s="25"/>
      <c r="E294" s="255"/>
      <c r="F294" s="25"/>
      <c r="G294" s="25"/>
    </row>
    <row r="295" spans="2:7">
      <c r="B295" s="25" t="str">
        <f>IF(C295="","","PID-"&amp;TEXT(ROW()-2,"0000"))</f>
        <v/>
      </c>
      <c r="C295" s="25"/>
      <c r="D295" s="25"/>
      <c r="E295" s="255"/>
      <c r="F295" s="25"/>
      <c r="G295" s="25"/>
    </row>
    <row r="296" spans="2:7">
      <c r="B296" s="25" t="str">
        <f>IF(C296="","","PID-"&amp;TEXT(ROW()-2,"0000"))</f>
        <v/>
      </c>
      <c r="C296" s="25"/>
      <c r="D296" s="25"/>
      <c r="E296" s="255"/>
      <c r="F296" s="25"/>
      <c r="G296" s="25"/>
    </row>
    <row r="297" spans="2:7">
      <c r="B297" s="25" t="str">
        <f>IF(C297="","","PID-"&amp;TEXT(ROW()-2,"0000"))</f>
        <v/>
      </c>
      <c r="C297" s="25"/>
      <c r="D297" s="25"/>
      <c r="E297" s="255"/>
      <c r="F297" s="25"/>
      <c r="G297" s="25"/>
    </row>
    <row r="298" spans="2:7">
      <c r="B298" s="25" t="str">
        <f>IF(C298="","","PID-"&amp;TEXT(ROW()-2,"0000"))</f>
        <v/>
      </c>
      <c r="C298" s="25"/>
      <c r="D298" s="25"/>
      <c r="E298" s="255"/>
      <c r="F298" s="25"/>
      <c r="G298" s="25"/>
    </row>
    <row r="299" spans="2:7">
      <c r="B299" s="25" t="str">
        <f>IF(C299="","","PID-"&amp;TEXT(ROW()-2,"0000"))</f>
        <v/>
      </c>
      <c r="C299" s="25"/>
      <c r="D299" s="25"/>
      <c r="E299" s="255"/>
      <c r="F299" s="25"/>
      <c r="G299" s="25"/>
    </row>
    <row r="300" spans="2:7">
      <c r="B300" s="25" t="str">
        <f>IF(C300="","","PID-"&amp;TEXT(ROW()-2,"0000"))</f>
        <v/>
      </c>
      <c r="C300" s="25"/>
      <c r="D300" s="25"/>
      <c r="E300" s="255"/>
      <c r="F300" s="25"/>
      <c r="G300" s="25"/>
    </row>
    <row r="301" spans="2:7">
      <c r="B301" s="25" t="str">
        <f>IF(C301="","","PID-"&amp;TEXT(ROW()-2,"0000"))</f>
        <v/>
      </c>
      <c r="C301" s="25"/>
      <c r="D301" s="25"/>
      <c r="E301" s="255"/>
      <c r="F301" s="25"/>
      <c r="G301" s="25"/>
    </row>
    <row r="302" spans="2:7">
      <c r="B302" s="25" t="str">
        <f>IF(C302="","","PID-"&amp;TEXT(ROW()-2,"0000"))</f>
        <v/>
      </c>
      <c r="C302" s="25"/>
      <c r="D302" s="25"/>
      <c r="E302" s="255"/>
      <c r="F302" s="25"/>
      <c r="G302" s="25"/>
    </row>
    <row r="303" spans="2:7">
      <c r="B303" s="25" t="str">
        <f>IF(C303="","","PID-"&amp;TEXT(ROW()-2,"0000"))</f>
        <v/>
      </c>
      <c r="C303" s="25"/>
      <c r="D303" s="25"/>
      <c r="E303" s="255"/>
      <c r="F303" s="25"/>
      <c r="G303" s="25"/>
    </row>
    <row r="304" spans="2:7">
      <c r="B304" s="25" t="str">
        <f>IF(C304="","","PID-"&amp;TEXT(ROW()-2,"0000"))</f>
        <v/>
      </c>
      <c r="C304" s="25"/>
      <c r="D304" s="25"/>
      <c r="E304" s="255"/>
      <c r="F304" s="25"/>
      <c r="G304" s="25"/>
    </row>
    <row r="305" spans="2:7">
      <c r="B305" s="25" t="str">
        <f>IF(C305="","","PID-"&amp;TEXT(ROW()-2,"0000"))</f>
        <v/>
      </c>
      <c r="C305" s="25"/>
      <c r="D305" s="25"/>
      <c r="E305" s="255"/>
      <c r="F305" s="25"/>
      <c r="G305" s="25"/>
    </row>
    <row r="306" spans="2:7">
      <c r="B306" s="25" t="str">
        <f>IF(C306="","","PID-"&amp;TEXT(ROW()-2,"0000"))</f>
        <v/>
      </c>
      <c r="C306" s="25"/>
      <c r="D306" s="25"/>
      <c r="E306" s="255"/>
      <c r="F306" s="25"/>
      <c r="G306" s="25"/>
    </row>
    <row r="307" spans="2:7">
      <c r="B307" s="25" t="str">
        <f>IF(C307="","","PID-"&amp;TEXT(ROW()-2,"0000"))</f>
        <v/>
      </c>
      <c r="C307" s="25"/>
      <c r="D307" s="25"/>
      <c r="E307" s="255"/>
      <c r="F307" s="25"/>
      <c r="G307" s="25"/>
    </row>
    <row r="308" spans="2:7">
      <c r="B308" s="25" t="str">
        <f>IF(C308="","","PID-"&amp;TEXT(ROW()-2,"0000"))</f>
        <v/>
      </c>
      <c r="C308" s="25"/>
      <c r="D308" s="25"/>
      <c r="E308" s="255"/>
      <c r="F308" s="25"/>
      <c r="G308" s="25"/>
    </row>
    <row r="309" spans="2:7">
      <c r="B309" s="25" t="str">
        <f>IF(C309="","","PID-"&amp;TEXT(ROW()-2,"0000"))</f>
        <v/>
      </c>
      <c r="C309" s="25"/>
      <c r="D309" s="25"/>
      <c r="E309" s="255"/>
      <c r="F309" s="25"/>
      <c r="G309" s="25"/>
    </row>
    <row r="310" spans="2:7">
      <c r="B310" s="25" t="str">
        <f>IF(C310="","","PID-"&amp;TEXT(ROW()-2,"0000"))</f>
        <v/>
      </c>
      <c r="C310" s="25"/>
      <c r="D310" s="25"/>
      <c r="E310" s="255"/>
      <c r="F310" s="25"/>
      <c r="G310" s="25"/>
    </row>
    <row r="311" spans="2:7">
      <c r="B311" s="25" t="str">
        <f>IF(C311="","","PID-"&amp;TEXT(ROW()-2,"0000"))</f>
        <v/>
      </c>
      <c r="C311" s="25"/>
      <c r="D311" s="25"/>
      <c r="E311" s="255"/>
      <c r="F311" s="25"/>
      <c r="G311" s="25"/>
    </row>
    <row r="312" spans="2:7">
      <c r="B312" s="25" t="str">
        <f>IF(C312="","","PID-"&amp;TEXT(ROW()-2,"0000"))</f>
        <v/>
      </c>
      <c r="C312" s="25"/>
      <c r="D312" s="25"/>
      <c r="E312" s="255"/>
      <c r="F312" s="25"/>
      <c r="G312" s="25"/>
    </row>
    <row r="313" spans="2:7">
      <c r="B313" s="25" t="str">
        <f>IF(C313="","","PID-"&amp;TEXT(ROW()-2,"0000"))</f>
        <v/>
      </c>
      <c r="C313" s="25"/>
      <c r="D313" s="25"/>
      <c r="E313" s="255"/>
      <c r="F313" s="25"/>
      <c r="G313" s="25"/>
    </row>
    <row r="314" spans="2:7">
      <c r="B314" s="25" t="str">
        <f>IF(C314="","","PID-"&amp;TEXT(ROW()-2,"0000"))</f>
        <v/>
      </c>
      <c r="C314" s="25"/>
      <c r="D314" s="25"/>
      <c r="E314" s="255"/>
      <c r="F314" s="25"/>
      <c r="G314" s="25"/>
    </row>
    <row r="315" spans="2:7">
      <c r="B315" s="25" t="str">
        <f>IF(C315="","","PID-"&amp;TEXT(ROW()-2,"0000"))</f>
        <v/>
      </c>
      <c r="C315" s="25"/>
      <c r="D315" s="25"/>
      <c r="E315" s="255"/>
      <c r="F315" s="25"/>
      <c r="G315" s="25"/>
    </row>
    <row r="316" spans="2:7">
      <c r="B316" s="25" t="str">
        <f>IF(C316="","","PID-"&amp;TEXT(ROW()-2,"0000"))</f>
        <v/>
      </c>
      <c r="C316" s="25"/>
      <c r="D316" s="25"/>
      <c r="E316" s="255"/>
      <c r="F316" s="25"/>
      <c r="G316" s="25"/>
    </row>
    <row r="317" spans="2:7">
      <c r="B317" s="25" t="str">
        <f>IF(C317="","","PID-"&amp;TEXT(ROW()-2,"0000"))</f>
        <v/>
      </c>
      <c r="C317" s="25"/>
      <c r="D317" s="25"/>
      <c r="E317" s="255"/>
      <c r="F317" s="25"/>
      <c r="G317" s="25"/>
    </row>
    <row r="318" spans="2:7">
      <c r="B318" s="25" t="str">
        <f>IF(C318="","","PID-"&amp;TEXT(ROW()-2,"0000"))</f>
        <v/>
      </c>
      <c r="C318" s="25"/>
      <c r="D318" s="25"/>
      <c r="E318" s="255"/>
      <c r="F318" s="25"/>
      <c r="G318" s="25"/>
    </row>
    <row r="319" spans="2:7">
      <c r="B319" s="25" t="str">
        <f>IF(C319="","","PID-"&amp;TEXT(ROW()-2,"0000"))</f>
        <v/>
      </c>
      <c r="C319" s="25"/>
      <c r="D319" s="25"/>
      <c r="E319" s="255"/>
      <c r="F319" s="25"/>
      <c r="G319" s="25"/>
    </row>
  </sheetData>
  <mergeCells count="12">
    <mergeCell ref="A134:A145"/>
    <mergeCell ref="A122:A133"/>
    <mergeCell ref="A110:A121"/>
    <mergeCell ref="A98:A109"/>
    <mergeCell ref="A86:A97"/>
    <mergeCell ref="A14:A25"/>
    <mergeCell ref="A2:A13"/>
    <mergeCell ref="A74:A84"/>
    <mergeCell ref="A62:A73"/>
    <mergeCell ref="A50:A61"/>
    <mergeCell ref="A38:A49"/>
    <mergeCell ref="A26:A37"/>
  </mergeCells>
  <conditionalFormatting sqref="D152:E319 E2 E4 E18 E20 E22 E29 E37 E39 E47 E61 E63 E65 E67 E69 E71 E87 E89 E91 E93 E95 E97 E99 E101 E103 E105 E107 E109 E111 E113 E115 E117 E119 E123 E125 E127 E129 E131 E133 E135 E137 E139 D26 E49 E75 E77 E79 E81:E82 E41 E85 E73 BC33 E33">
    <cfRule type="expression" dxfId="125" priority="8">
      <formula>AND($C2&lt;&gt;"",D2="")</formula>
    </cfRule>
  </conditionalFormatting>
  <conditionalFormatting sqref="I26">
    <cfRule type="expression" dxfId="124" priority="7">
      <formula>AND($C26&lt;&gt;"",I26="")</formula>
    </cfRule>
  </conditionalFormatting>
  <conditionalFormatting sqref="E43">
    <cfRule type="expression" dxfId="123" priority="6">
      <formula>AND($C43&lt;&gt;"",E43="")</formula>
    </cfRule>
  </conditionalFormatting>
  <conditionalFormatting sqref="E45">
    <cfRule type="expression" dxfId="122" priority="5">
      <formula>AND($C45&lt;&gt;"",E45="")</formula>
    </cfRule>
  </conditionalFormatting>
  <conditionalFormatting sqref="I31">
    <cfRule type="expression" dxfId="121" priority="4">
      <formula>AND($C31&lt;&gt;"",I31="")</formula>
    </cfRule>
  </conditionalFormatting>
  <conditionalFormatting sqref="BD33">
    <cfRule type="expression" dxfId="120" priority="3">
      <formula>AND($C35&lt;&gt;"",BD33="")</formula>
    </cfRule>
  </conditionalFormatting>
  <conditionalFormatting sqref="I14">
    <cfRule type="expression" dxfId="119" priority="2">
      <formula>AND($C14&lt;&gt;"",I14="")</formula>
    </cfRule>
  </conditionalFormatting>
  <conditionalFormatting sqref="I21">
    <cfRule type="expression" dxfId="118" priority="1">
      <formula>AND($C21&lt;&gt;"",I21="")</formula>
    </cfRule>
  </conditionalFormatting>
  <conditionalFormatting sqref="C152:C319">
    <cfRule type="expression" dxfId="117" priority="9">
      <formula>AND(C152&lt;&gt;"",COUNTIF($C$2:$C$319,C152)&gt;1)</formula>
    </cfRule>
    <cfRule type="expression" dxfId="116" priority="10">
      <formula>AND($C152&lt;&gt;"",C152="")</formula>
    </cfRule>
  </conditionalFormatting>
  <conditionalFormatting sqref="F141 F152:F319">
    <cfRule type="expression" dxfId="115" priority="11">
      <formula>AND(F141&lt;&gt;"",COUNTIF($F$2:$F$319,F141)&gt;1)</formula>
    </cfRule>
    <cfRule type="expression" dxfId="114" priority="12">
      <formula>AND(C141&lt;&gt;"",F141="")</formula>
    </cfRule>
  </conditionalFormatting>
  <dataValidations count="1">
    <dataValidation type="whole" allowBlank="1" errorTitle="Invalid year" error="Enter a year between 2014 and 2030." promptTitle="Publication Year" prompt="Enter the publication year (numeric)." sqref="D152:D319" xr:uid="{5A7DF6DA-A4AA-4B0F-A9D7-6FD4A10EFB95}">
      <formula1>2014</formula1>
      <formula2>2030</formula2>
    </dataValidation>
  </dataValidations>
  <hyperlinks>
    <hyperlink ref="F136" r:id="rId1" xr:uid="{046C9590-1111-41D1-B605-A4513284904A}"/>
    <hyperlink ref="F135" r:id="rId2" xr:uid="{C829E368-4D23-4800-92A2-BC98C36E1363}"/>
    <hyperlink ref="B135" r:id="rId3" xr:uid="{ED1995DB-8726-4039-A6C8-2C3740468C3E}"/>
    <hyperlink ref="F134" r:id="rId4" xr:uid="{AA32FEDE-326A-4685-9D46-A75C033F4D84}"/>
    <hyperlink ref="F133" r:id="rId5" xr:uid="{B956CBF0-D504-4F3E-B6D3-23AB37326430}"/>
    <hyperlink ref="F131" r:id="rId6" xr:uid="{408EE5F0-4E07-4574-B95C-4E171BFBF7CE}"/>
    <hyperlink ref="B131" r:id="rId7" xr:uid="{35B745C9-2B88-4785-A120-24AA97F8DEE6}"/>
    <hyperlink ref="B115" r:id="rId8" xr:uid="{41A72827-878A-4CE7-BCDD-4BD90B837018}"/>
    <hyperlink ref="F118" r:id="rId9" location="Abs1" xr:uid="{D892EAA9-581C-460A-BD20-DF0E95096742}"/>
    <hyperlink ref="B118" r:id="rId10" xr:uid="{14ED8EB8-CBD5-4A63-9023-B26FC5DC2022}"/>
    <hyperlink ref="F117" r:id="rId11" location="Abs1" xr:uid="{0730C103-2BA1-445B-BB16-4701AAF5FEF8}"/>
    <hyperlink ref="B117" r:id="rId12" xr:uid="{3F522799-41C1-40C7-9868-5E25C744D3CD}"/>
    <hyperlink ref="B116" r:id="rId13" xr:uid="{610B208F-F6DA-41DC-AC6E-1F3AB4AE4E01}"/>
    <hyperlink ref="B114" r:id="rId14" xr:uid="{729DA681-CABA-4796-B622-490D4159EA88}"/>
    <hyperlink ref="F115" r:id="rId15" location="Abs1" xr:uid="{37E30133-7E5E-4886-BD21-ABC679C99A8E}"/>
    <hyperlink ref="F114" r:id="rId16" location="Abs1" xr:uid="{564807DE-BEEF-45FD-8D58-32CD9E70A07D}"/>
    <hyperlink ref="F12" r:id="rId17" xr:uid="{2C97304A-5C60-4C8E-91A3-FE46239319FA}"/>
    <hyperlink ref="F113" r:id="rId18" location="Abs1" xr:uid="{7CCE86C7-E238-41A0-82AD-C04AACEE7E2E}"/>
    <hyperlink ref="F13" r:id="rId19" xr:uid="{83E3BD04-5B08-4D0E-A0BA-945E25F38E71}"/>
    <hyperlink ref="B113" r:id="rId20" xr:uid="{9E4B32F3-FEB7-41FF-AFCB-DEEA26C843E3}"/>
    <hyperlink ref="F11" r:id="rId21" xr:uid="{783CEE56-193B-4A3A-80BC-6A59CCEBD465}"/>
    <hyperlink ref="F10" r:id="rId22" xr:uid="{4BBF9568-2942-4A74-908A-1E04C3B60103}"/>
    <hyperlink ref="F9" r:id="rId23" xr:uid="{FCEEF19C-0CEE-45A5-BFC7-DA94973211B5}"/>
    <hyperlink ref="F8" r:id="rId24" xr:uid="{D1D4E2BB-A384-4655-8668-65ABBE2AEE66}"/>
    <hyperlink ref="F7" r:id="rId25" xr:uid="{E369EC4B-3CFC-43FD-8F78-5B86FB29C70E}"/>
    <hyperlink ref="F6" r:id="rId26" xr:uid="{8A314155-62D1-4375-A6BB-DE40213F5BE1}"/>
    <hyperlink ref="B13" r:id="rId27" display="https://arxiv.org/abs/2201.04453like " xr:uid="{9FA9CFB3-AE76-4DB8-8052-FF33CC677C7E}"/>
    <hyperlink ref="B12" r:id="rId28" display="https://arxiv.org/abs/2201.03036" xr:uid="{79587EE9-089F-45FD-9C53-7ED3535846A3}"/>
    <hyperlink ref="B11" r:id="rId29" display="https://arxiv.org/abs/2108.09174" xr:uid="{B1B469B3-FCEB-46DD-998B-FC2DE92CCA1A}"/>
    <hyperlink ref="B10" r:id="rId30" display="https://ecasp.ece.iit.edu/publications/2012-present/2021-10.pdf" xr:uid="{E005BC68-A0B0-4A2A-AD2B-1D2AC7D2E7CA}"/>
    <hyperlink ref="B9" r:id="rId31" display="https://ieeexplore.ieee.org/document/6611022" xr:uid="{498D3ABA-AAFB-41E7-9FF2-640D08D07C2E}"/>
    <hyperlink ref="B8" r:id="rId32" display="https://ojs.aaai.org/index.php/AAAI/article/view/25233?utm_source=chatgpt.com" xr:uid="{92A8D524-3838-4955-BF2E-3538A7E9FE1D}"/>
    <hyperlink ref="B7" r:id="rId33" display="https://pdfs.semanticscholar.org/9dc6/62fe1c66d32fd96ad040285a9ec3af56c912.pdf/1000" xr:uid="{3A80BADB-0458-44E3-903F-EF99E63D596D}"/>
    <hyperlink ref="B6" r:id="rId34" display="https://journals.sagepub.com/doi/10.1177/0145482X19842491" xr:uid="{E5350BD2-B0D0-4218-B6FA-C6AA527BC977}"/>
    <hyperlink ref="F112" r:id="rId35" location="Abs1" xr:uid="{6E26428D-AE7A-4195-9785-167E12DF0808}"/>
    <hyperlink ref="B112" r:id="rId36" xr:uid="{28702FAF-1BBA-4862-9C3C-78FE1C3AA986}"/>
    <hyperlink ref="F111" r:id="rId37" location="Sec12" xr:uid="{0B782063-E284-4E60-8089-75D213503F77}"/>
    <hyperlink ref="B111" r:id="rId38" xr:uid="{97C75441-E1C5-4C02-BD26-21979AA6F404}"/>
    <hyperlink ref="F110" r:id="rId39" xr:uid="{8AFE0B05-AE6A-413A-BB5D-60B4AE40E720}"/>
    <hyperlink ref="B110" r:id="rId40" xr:uid="{C3FCCA46-FA9E-4AF3-84CC-18D257528992}"/>
    <hyperlink ref="F15" r:id="rId41" xr:uid="{BA2A4D48-FEC0-41E6-BF8C-A569EF9B71BC}"/>
    <hyperlink ref="F101" r:id="rId42" xr:uid="{4A29E40B-7E12-472E-B52B-6A29952761F2}"/>
    <hyperlink ref="F100" r:id="rId43" xr:uid="{11F72C97-688D-4793-80DC-4121245654BD}"/>
    <hyperlink ref="F99" r:id="rId44" xr:uid="{82DF5A82-E75A-4536-A7BD-D83237D176DD}"/>
    <hyperlink ref="B99" r:id="rId45" xr:uid="{B4774FFE-92C4-4D84-BA05-3055BEAA0125}"/>
    <hyperlink ref="B98" r:id="rId46" xr:uid="{DB4A0ED8-0078-4F62-A3AD-0D94AA327C18}"/>
    <hyperlink ref="F98" r:id="rId47" xr:uid="{ED4A3432-6A35-4146-A2DC-D75CE341FFF7}"/>
    <hyperlink ref="F18" r:id="rId48" xr:uid="{85B71AC5-6A1D-4EE9-8ADC-FA499137F394}"/>
    <hyperlink ref="B18" r:id="rId49" xr:uid="{3F46B1E3-C803-45B8-8E4A-88792C023A20}"/>
    <hyperlink ref="F21" r:id="rId50" xr:uid="{70007EB7-1DB6-41AE-AC2A-0C78CF18BBF9}"/>
    <hyperlink ref="F36" r:id="rId51" xr:uid="{805D70FC-01EE-4FA1-931D-88D06787AAE8}"/>
    <hyperlink ref="F34" r:id="rId52" xr:uid="{0B337B5A-9646-4367-AABD-09680DEB0815}"/>
    <hyperlink ref="F33" r:id="rId53" xr:uid="{A2AF336C-D279-4B2C-B42F-255EC37F7CB6}"/>
    <hyperlink ref="F32" r:id="rId54" xr:uid="{A4E8920D-611D-43F8-99CC-A6F8E4B02F12}"/>
    <hyperlink ref="B32" r:id="rId55" display="https://doi.org/10.1007/s11042-022-12577-w" xr:uid="{22B2F31B-9C7E-4F4A-9581-CBBA6E5E1DCB}"/>
    <hyperlink ref="F14" r:id="rId56" xr:uid="{078D885D-7F2B-4FB2-A353-F62ADBDA7967}"/>
    <hyperlink ref="F48" r:id="rId57" xr:uid="{3E757A30-0AC9-4F3F-861D-CA6291D34F43}"/>
    <hyperlink ref="B48" r:id="rId58" xr:uid="{B1E781C9-9404-400D-AE69-307CEFAC9A64}"/>
    <hyperlink ref="F47" r:id="rId59" xr:uid="{327EFCE1-940D-4D45-8A0C-4A2003FCB0EE}"/>
    <hyperlink ref="B47" r:id="rId60" xr:uid="{2B693EA6-7CBF-411E-B722-E3A4421DB972}"/>
    <hyperlink ref="B46" r:id="rId61" xr:uid="{B836DDC0-88CE-4E60-9BA2-8168544B9777}"/>
    <hyperlink ref="F89" r:id="rId62" xr:uid="{67581D20-C5CB-44C9-A1FF-88D687A6A8E4}"/>
    <hyperlink ref="F88" r:id="rId63" xr:uid="{27F00591-DC9C-4262-80C6-A9197C5F55AC}"/>
    <hyperlink ref="F87" r:id="rId64" xr:uid="{F7D32E76-58A8-4655-81CE-F75FAE944E0C}"/>
    <hyperlink ref="F86" r:id="rId65" xr:uid="{83737563-65D5-4613-BD0E-8E97D75F3129}"/>
    <hyperlink ref="B86" r:id="rId66" xr:uid="{65D25B01-F065-4FC7-9A24-A625A02B8460}"/>
    <hyperlink ref="F85" r:id="rId67" xr:uid="{564BE689-3EEA-4983-A861-49F541A3C3F7}"/>
    <hyperlink ref="B85" r:id="rId68" xr:uid="{88476C93-2FD4-471D-B210-4BB70C3A52AB}"/>
    <hyperlink ref="F120" r:id="rId69" xr:uid="{5CDEE8B2-4461-4713-A98E-610D248F9B50}"/>
    <hyperlink ref="B120" r:id="rId70" xr:uid="{61D3DBFE-9897-43B1-8EAE-A16600D2DD93}"/>
    <hyperlink ref="B109" r:id="rId71" xr:uid="{D09C04BD-6473-4B78-AA1D-E73C30BC8584}"/>
    <hyperlink ref="F83" r:id="rId72" xr:uid="{27E8A7E6-6492-45D5-B990-2223BCBDA608}"/>
    <hyperlink ref="F45" r:id="rId73" xr:uid="{4BB36D6C-3C58-46EA-A797-B582DD7E0338}"/>
    <hyperlink ref="B45" r:id="rId74" xr:uid="{CE305F4D-A2C6-4996-BA0D-24893BAF2B35}"/>
    <hyperlink ref="F44" r:id="rId75" xr:uid="{A5C33C43-E8D8-417A-A426-7E83C36E0E13}"/>
    <hyperlink ref="B44" r:id="rId76" xr:uid="{A1FEAB34-8BD6-41A6-9352-A19BA76EDE13}"/>
    <hyperlink ref="F43" r:id="rId77" xr:uid="{88F3A37A-41B2-46EB-BC6C-BD716BBC713E}"/>
    <hyperlink ref="F42" r:id="rId78" xr:uid="{01C0F30A-9FBC-40B2-9BA7-F222B0068376}"/>
    <hyperlink ref="B42" r:id="rId79" xr:uid="{3CF980FD-B17D-47C9-AB8E-229DDE9F7E6D}"/>
    <hyperlink ref="F23" r:id="rId80" xr:uid="{31A07DBC-1E0F-4037-BABD-A97FDD832C2D}"/>
    <hyperlink ref="F28" r:id="rId81" xr:uid="{52B7FC8F-A658-43D2-BA17-453C2B6AC7BC}"/>
    <hyperlink ref="F22" r:id="rId82" xr:uid="{05DDCC52-FA8B-4956-B9F3-7163DCF9214B}"/>
    <hyperlink ref="B22" r:id="rId83" xr:uid="{20C8E38D-09A0-446B-ABB2-B82E605BEA7D}"/>
    <hyperlink ref="F20" r:id="rId84" xr:uid="{CFACFC0A-430E-4B1B-B165-FC74CDF19C97}"/>
    <hyperlink ref="B20" r:id="rId85" xr:uid="{BA0C0E87-C672-4F0B-943B-925B113E3FAD}"/>
    <hyperlink ref="F19" r:id="rId86" xr:uid="{46338A8E-298B-4093-A93B-3E254BB14182}"/>
    <hyperlink ref="F31" r:id="rId87" xr:uid="{4E4C185B-5BE4-4A0C-BB7C-B4C45F0EB3C3}"/>
    <hyperlink ref="F29" r:id="rId88" xr:uid="{C5CC6A8E-B93B-407F-9944-31255F80BB5D}"/>
    <hyperlink ref="F5" r:id="rId89" xr:uid="{B95ECFCE-5E87-47F7-9532-B380525F785D}"/>
    <hyperlink ref="B5" r:id="rId90" xr:uid="{327E307D-A7C9-49AD-92A3-8E9CFF094F83}"/>
    <hyperlink ref="F4" r:id="rId91" xr:uid="{89C7AB11-12A0-4752-9671-CA229BECB609}"/>
    <hyperlink ref="B4" r:id="rId92" xr:uid="{A7FADDF6-C741-4D8C-8AE1-7B24F51A45F9}"/>
    <hyperlink ref="F3" r:id="rId93" xr:uid="{1B3668B9-379B-4B9A-9FD4-9A71DA336156}"/>
    <hyperlink ref="B3" r:id="rId94" xr:uid="{FD007D6D-88C1-4053-B4AB-475C7082F287}"/>
    <hyperlink ref="F2" r:id="rId95" xr:uid="{606ECADF-BC13-4C73-9F9E-CECC7B0ADC58}"/>
    <hyperlink ref="F41" r:id="rId96" xr:uid="{59177A3B-FA0C-40A5-9291-B8F057E72167}"/>
    <hyperlink ref="F82" r:id="rId97" xr:uid="{F8FF363F-48A5-4623-B83C-F6AD3C36D54E}"/>
    <hyperlink ref="F40" r:id="rId98" xr:uid="{0BAA13B0-C1D7-497B-B652-E85F8A1735FC}"/>
    <hyperlink ref="F39" r:id="rId99" xr:uid="{3FAEDD99-FB59-4C5E-A8A0-45DAB060B3C6}"/>
    <hyperlink ref="B39" r:id="rId100" xr:uid="{1F07F508-E5B6-4863-AB42-83AA871718BD}"/>
    <hyperlink ref="F67" r:id="rId101" xr:uid="{C906F96B-A294-466B-B5D0-3B7C26AA4D79}"/>
    <hyperlink ref="B67" r:id="rId102" xr:uid="{5D721E2C-12FA-498C-8EDE-3C919427C65B}"/>
    <hyperlink ref="F81" r:id="rId103" xr:uid="{9164B7F2-6E93-41C5-B82B-5F09C01A5D09}"/>
    <hyperlink ref="F80" r:id="rId104" xr:uid="{29528C5D-640B-46BF-B1B7-27FD70F0DE0A}"/>
    <hyperlink ref="F64" r:id="rId105" xr:uid="{DFC3E320-FBEE-464B-B2EC-3A35CD31636C}"/>
    <hyperlink ref="F38" r:id="rId106" xr:uid="{07BBA704-6EEC-4E71-98E9-9A3A0038377A}"/>
    <hyperlink ref="B38" r:id="rId107" xr:uid="{3EB7E2B3-7594-4D1C-B7D4-0236C214C234}"/>
    <hyperlink ref="F79" r:id="rId108" xr:uid="{4FD87D2B-FD31-415D-B8D3-A02DAE6B20E4}"/>
    <hyperlink ref="F63" r:id="rId109" xr:uid="{AB137CF2-98CA-474E-AB75-2595E940853F}"/>
    <hyperlink ref="F62" r:id="rId110" xr:uid="{7AE6F92A-9D4C-406E-A115-3E174F4AE435}"/>
    <hyperlink ref="D62" r:id="rId111" display="10.1016/j.neubiorev.2007.05.010" xr:uid="{8FA4908C-6A34-4F3A-B1B2-5EBF1E10AECB}"/>
    <hyperlink ref="F78" r:id="rId112" xr:uid="{9FFEB0A7-8CF7-4FE5-963E-456DAD126BB2}"/>
    <hyperlink ref="F77" r:id="rId113" xr:uid="{C0966888-A93A-47F0-956D-205058B4D1F8}"/>
    <hyperlink ref="F76" r:id="rId114" xr:uid="{60D01600-1FB4-4077-B70B-C2A5BBB23AEA}"/>
    <hyperlink ref="F75" r:id="rId115" xr:uid="{1AB16786-034D-40DB-9103-DD716E4CC2A9}"/>
    <hyperlink ref="F60" r:id="rId116" xr:uid="{8237B65D-7E92-4618-B81D-F644FFDF9BBD}"/>
    <hyperlink ref="B60" r:id="rId117" xr:uid="{6E137CBA-B7D4-40E3-AF33-A3C63E73DE51}"/>
    <hyperlink ref="B59" r:id="rId118" xr:uid="{D348192C-855C-43B5-A119-4AE13399A98D}"/>
    <hyperlink ref="F37" r:id="rId119" xr:uid="{08ACCFDB-52B1-4880-BE58-C568B303D71C}"/>
    <hyperlink ref="F59" r:id="rId120" xr:uid="{B3444097-54CD-47D0-81F1-377E0C65E35A}"/>
    <hyperlink ref="F58" r:id="rId121" xr:uid="{F50238F7-4140-461F-8EE6-B6AA45F560FD}"/>
    <hyperlink ref="B58" r:id="rId122" xr:uid="{4F0619EA-29D1-4E96-BF2A-AED25B520AC1}"/>
    <hyperlink ref="B37" r:id="rId123" xr:uid="{97EC24CB-A26F-47CC-AE05-4AB58B334A6B}"/>
    <hyperlink ref="B57" r:id="rId124" xr:uid="{8DE79E4F-F0E0-4178-8A5E-9EAD1A0A9EF6}"/>
    <hyperlink ref="F57" r:id="rId125" xr:uid="{8BF3B8E8-EF54-43CA-9249-3F5CCF93F582}"/>
    <hyperlink ref="F56" r:id="rId126" xr:uid="{AD996A4B-2634-4C04-A2D6-81F83FD1A1F9}"/>
    <hyperlink ref="F74" r:id="rId127" xr:uid="{E888B839-A745-4A26-A61C-4BD5CFF26302}"/>
    <hyperlink ref="B55" r:id="rId128" display="10.1177/10711813251360704" xr:uid="{AFFC7AF4-27BB-4176-9194-5F2F3E3B77BA}"/>
    <hyperlink ref="F55" r:id="rId129" xr:uid="{EE99137B-D5ED-40E8-A1B7-EAB0041669C6}"/>
    <hyperlink ref="F26" r:id="rId130" xr:uid="{C2748F0F-C20A-4698-81A6-873624B78C9C}"/>
    <hyperlink ref="B54" r:id="rId131" xr:uid="{4B9CC7BF-94A5-4F79-9698-C0B7E9BA60C6}"/>
    <hyperlink ref="F54" r:id="rId132" xr:uid="{F1769456-D362-4F30-AD3A-06A3AF833EDD}"/>
    <hyperlink ref="B53" r:id="rId133" xr:uid="{BF80114B-75AB-478E-B11C-293C89DC4004}"/>
    <hyperlink ref="F53" r:id="rId134" xr:uid="{7F41CB51-2E20-4165-9F9F-64709C2C62AE}"/>
    <hyperlink ref="F73" r:id="rId135" xr:uid="{C719DA53-B52C-461A-8D04-E653BB0D3C5E}"/>
    <hyperlink ref="B52" r:id="rId136" xr:uid="{5D677F4C-D141-4A47-9743-C25A878AAE4F}"/>
    <hyperlink ref="F52" r:id="rId137" xr:uid="{B7A7E737-3B50-4782-A0EB-4A4246215B74}"/>
    <hyperlink ref="F51" r:id="rId138" xr:uid="{21149ABD-4838-4F10-A940-9680962B53DE}"/>
    <hyperlink ref="F50" r:id="rId139" xr:uid="{50E6E481-F98F-40A7-8E0E-7E734F5814FA}"/>
    <hyperlink ref="F49" r:id="rId140" xr:uid="{B44CBF97-2954-42BB-A2EB-BE1C9B2ED4EC}"/>
    <hyperlink ref="B51" r:id="rId141" xr:uid="{25E40C8F-7094-4EA4-9F96-380144144991}"/>
    <hyperlink ref="B50" r:id="rId142" xr:uid="{3DBD1BE5-7DEB-49F1-BC69-8A6519AECD83}"/>
    <hyperlink ref="F61" r:id="rId143" xr:uid="{D4ECC617-DAF5-4BDD-967C-F6BDE22ABF5A}"/>
    <hyperlink ref="B49" r:id="rId144" xr:uid="{478CACB2-2850-4359-A165-27C52C030310}"/>
    <hyperlink ref="B119" r:id="rId145" xr:uid="{493B93D6-74B6-4ED2-8389-AA33F521F8D2}"/>
    <hyperlink ref="B121" r:id="rId146" xr:uid="{5D857B34-ED03-4FFD-9925-6C40D99EA60A}"/>
    <hyperlink ref="F121" r:id="rId147" xr:uid="{D4C4962F-3367-4C02-98B9-EBB517D43721}"/>
  </hyperlinks>
  <pageMargins left="0.75" right="0.75" top="1" bottom="1" header="0.511811023622047" footer="0.511811023622047"/>
  <pageSetup paperSize="9" orientation="portrait" horizontalDpi="300" verticalDpi="300"/>
  <tableParts count="1">
    <tablePart r:id="rId148"/>
  </tableParts>
  <extLst>
    <ext xmlns:x14="http://schemas.microsoft.com/office/spreadsheetml/2009/9/main" uri="{CCE6A557-97BC-4b89-ADB6-D9C93CAAB3DF}">
      <x14:dataValidations xmlns:xm="http://schemas.microsoft.com/office/excel/2006/main" count="1">
        <x14:dataValidation type="list" allowBlank="1" errorTitle="Invalid entry" error="Please choose a value from the dropdown list." promptTitle="Publisher" prompt="Select the publisher." xr:uid="{F442C46F-A2FC-46EF-AC7D-F8F86DE08345}">
          <x14:formula1>
            <xm:f>Lists!$B$2:$B$11</xm:f>
          </x14:formula1>
          <x14:formula2>
            <xm:f>0</xm:f>
          </x14:formula2>
          <xm:sqref>E139 E2 E4 E137 E135 E133 E131 E14 E16 E18 E20 E22 E85 E26 E119 E29 E31 BC33 E35 E37 E39 E41 E43 E45 E47 E49 E117 E123 E125 E127 E129 E61 E63 E65 E67 E69 E71 E74 E76 E78 E80 E82 E152:E319 E87 E89 E91 E93 E95 E97 E99 E101 E103 E105 E107 E109 E111 E113 E115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C27E1-575C-4BCB-BF80-28A79A1BB043}">
  <sheetPr>
    <tabColor rgb="FF003C71"/>
  </sheetPr>
  <dimension ref="A1:BD319"/>
  <sheetViews>
    <sheetView zoomScaleNormal="100" workbookViewId="0">
      <pane xSplit="1" topLeftCell="B11" activePane="topRight" state="frozen"/>
      <selection pane="topRight" activeCell="B2" sqref="B2"/>
      <selection activeCell="A3" sqref="A3"/>
    </sheetView>
  </sheetViews>
  <sheetFormatPr defaultColWidth="13.42578125" defaultRowHeight="15"/>
  <cols>
    <col min="1" max="1" width="5" customWidth="1"/>
    <col min="2" max="2" width="33.28515625" customWidth="1"/>
    <col min="3" max="3" width="122.28515625" bestFit="1" customWidth="1"/>
    <col min="4" max="4" width="21.5703125" customWidth="1"/>
    <col min="5" max="5" width="17" style="33" bestFit="1" customWidth="1"/>
    <col min="6" max="6" width="78" bestFit="1" customWidth="1"/>
    <col min="7" max="7" width="44.140625" bestFit="1" customWidth="1"/>
    <col min="8" max="8" width="23.140625" customWidth="1"/>
    <col min="9" max="9" width="133" bestFit="1" customWidth="1"/>
    <col min="10" max="10" width="99.140625" bestFit="1" customWidth="1"/>
    <col min="11" max="11" width="221.7109375" bestFit="1" customWidth="1"/>
    <col min="12" max="12" width="99.140625" customWidth="1"/>
    <col min="13" max="13" width="15" customWidth="1"/>
    <col min="14" max="14" width="18" customWidth="1"/>
  </cols>
  <sheetData>
    <row r="1" spans="1:13">
      <c r="B1" s="38" t="s">
        <v>0</v>
      </c>
      <c r="C1" s="38" t="s">
        <v>1</v>
      </c>
      <c r="D1" s="38" t="s">
        <v>2</v>
      </c>
      <c r="E1" s="38" t="s">
        <v>3</v>
      </c>
      <c r="F1" s="38" t="s">
        <v>4</v>
      </c>
      <c r="G1" s="38" t="s">
        <v>5</v>
      </c>
      <c r="H1" s="38" t="s">
        <v>6</v>
      </c>
      <c r="I1" s="38" t="s">
        <v>7</v>
      </c>
      <c r="J1" s="38" t="s">
        <v>8</v>
      </c>
      <c r="K1" s="38" t="s">
        <v>9</v>
      </c>
      <c r="L1" s="38" t="s">
        <v>10</v>
      </c>
      <c r="M1" s="38" t="s">
        <v>11</v>
      </c>
    </row>
    <row r="2" spans="1:13" ht="144">
      <c r="A2" s="354" t="s">
        <v>15</v>
      </c>
      <c r="B2" t="s">
        <v>16</v>
      </c>
      <c r="C2" s="200" t="s">
        <v>17</v>
      </c>
      <c r="D2" s="77">
        <v>2025</v>
      </c>
      <c r="E2" s="132" t="s">
        <v>18</v>
      </c>
      <c r="F2" s="201" t="s">
        <v>19</v>
      </c>
      <c r="G2" s="215" t="s">
        <v>20</v>
      </c>
      <c r="H2" s="105" t="s">
        <v>21</v>
      </c>
      <c r="I2" s="36"/>
      <c r="J2" s="207" t="s">
        <v>22</v>
      </c>
      <c r="K2" s="207" t="s">
        <v>23</v>
      </c>
      <c r="L2" s="207"/>
      <c r="M2" s="207"/>
    </row>
    <row r="3" spans="1:13" ht="86.25">
      <c r="A3" s="354"/>
      <c r="B3" s="191" t="s">
        <v>26</v>
      </c>
      <c r="C3" s="202" t="s">
        <v>27</v>
      </c>
      <c r="D3" s="97">
        <v>2025</v>
      </c>
      <c r="E3" s="97" t="s">
        <v>18</v>
      </c>
      <c r="F3" s="127" t="s">
        <v>28</v>
      </c>
      <c r="G3" s="158" t="s">
        <v>29</v>
      </c>
      <c r="H3" s="105" t="s">
        <v>21</v>
      </c>
      <c r="I3" s="35"/>
      <c r="J3" s="208" t="s">
        <v>30</v>
      </c>
      <c r="K3" s="208" t="s">
        <v>31</v>
      </c>
      <c r="L3" s="208"/>
      <c r="M3" s="208"/>
    </row>
    <row r="4" spans="1:13" ht="86.25">
      <c r="A4" s="354"/>
      <c r="B4" s="190" t="s">
        <v>32</v>
      </c>
      <c r="C4" s="139" t="s">
        <v>33</v>
      </c>
      <c r="D4" s="77">
        <v>2021</v>
      </c>
      <c r="E4" s="77" t="s">
        <v>18</v>
      </c>
      <c r="F4" s="112" t="s">
        <v>34</v>
      </c>
      <c r="G4" s="164" t="s">
        <v>35</v>
      </c>
      <c r="H4" s="105" t="s">
        <v>21</v>
      </c>
      <c r="J4" s="209" t="s">
        <v>36</v>
      </c>
      <c r="K4" s="210" t="s">
        <v>37</v>
      </c>
      <c r="L4" s="210"/>
      <c r="M4" s="209"/>
    </row>
    <row r="5" spans="1:13" ht="86.25">
      <c r="A5" s="354"/>
      <c r="B5" s="191" t="s">
        <v>38</v>
      </c>
      <c r="C5" s="158" t="s">
        <v>39</v>
      </c>
      <c r="D5" s="97">
        <v>2024</v>
      </c>
      <c r="E5" s="97" t="s">
        <v>18</v>
      </c>
      <c r="F5" s="127" t="s">
        <v>40</v>
      </c>
      <c r="G5" s="158" t="s">
        <v>41</v>
      </c>
      <c r="H5" s="105" t="s">
        <v>21</v>
      </c>
      <c r="I5" s="35"/>
      <c r="J5" s="208" t="s">
        <v>42</v>
      </c>
      <c r="K5" s="208" t="s">
        <v>43</v>
      </c>
      <c r="L5" s="208"/>
      <c r="M5" s="208"/>
    </row>
    <row r="6" spans="1:13" ht="86.25">
      <c r="A6" s="354"/>
      <c r="B6" s="190" t="s">
        <v>44</v>
      </c>
      <c r="C6" s="33" t="s">
        <v>45</v>
      </c>
      <c r="D6" s="77">
        <v>2019</v>
      </c>
      <c r="E6" s="33" t="s">
        <v>46</v>
      </c>
      <c r="F6" s="112" t="s">
        <v>47</v>
      </c>
      <c r="G6" s="164" t="s">
        <v>48</v>
      </c>
      <c r="H6" s="198" t="s">
        <v>21</v>
      </c>
      <c r="J6" s="209" t="s">
        <v>49</v>
      </c>
      <c r="K6" s="210" t="s">
        <v>50</v>
      </c>
      <c r="L6" s="210"/>
      <c r="M6" s="209"/>
    </row>
    <row r="7" spans="1:13" ht="16.5" customHeight="1">
      <c r="A7" s="354"/>
      <c r="B7" s="191" t="s">
        <v>51</v>
      </c>
      <c r="C7" s="33" t="s">
        <v>52</v>
      </c>
      <c r="D7" s="97">
        <v>2018</v>
      </c>
      <c r="E7" s="189" t="s">
        <v>53</v>
      </c>
      <c r="F7" s="127" t="s">
        <v>54</v>
      </c>
      <c r="G7" s="97"/>
      <c r="H7" s="104" t="s">
        <v>55</v>
      </c>
      <c r="I7" s="199" t="s">
        <v>56</v>
      </c>
      <c r="J7" s="211"/>
      <c r="K7" s="211"/>
      <c r="L7" s="211"/>
      <c r="M7" s="211"/>
    </row>
    <row r="8" spans="1:13" ht="16.5" customHeight="1">
      <c r="A8" s="354"/>
      <c r="B8" s="190" t="s">
        <v>57</v>
      </c>
      <c r="C8" s="33" t="s">
        <v>58</v>
      </c>
      <c r="D8" s="77">
        <v>2023</v>
      </c>
      <c r="E8" s="189" t="s">
        <v>59</v>
      </c>
      <c r="F8" s="112" t="s">
        <v>60</v>
      </c>
      <c r="G8" s="165"/>
      <c r="H8" s="104" t="s">
        <v>55</v>
      </c>
      <c r="I8" s="33" t="s">
        <v>61</v>
      </c>
      <c r="J8" s="209"/>
      <c r="K8" s="209"/>
      <c r="L8" s="209"/>
      <c r="M8" s="209"/>
    </row>
    <row r="9" spans="1:13" ht="16.5" customHeight="1">
      <c r="A9" s="354"/>
      <c r="B9" s="194" t="s">
        <v>62</v>
      </c>
      <c r="C9" s="204" t="s">
        <v>63</v>
      </c>
      <c r="D9" s="195">
        <v>2013</v>
      </c>
      <c r="E9" s="196" t="s">
        <v>64</v>
      </c>
      <c r="F9" s="127" t="s">
        <v>65</v>
      </c>
      <c r="G9" s="158"/>
      <c r="H9" s="104" t="s">
        <v>55</v>
      </c>
      <c r="I9" s="33" t="s">
        <v>66</v>
      </c>
      <c r="J9" s="211"/>
      <c r="K9" s="211"/>
      <c r="L9" s="211"/>
      <c r="M9" s="211"/>
    </row>
    <row r="10" spans="1:13" ht="159">
      <c r="A10" s="354"/>
      <c r="B10" s="193" t="s">
        <v>67</v>
      </c>
      <c r="C10" s="33" t="s">
        <v>68</v>
      </c>
      <c r="D10" s="77">
        <v>2021</v>
      </c>
      <c r="E10" s="33" t="s">
        <v>64</v>
      </c>
      <c r="F10" s="112" t="s">
        <v>69</v>
      </c>
      <c r="G10" s="164" t="s">
        <v>70</v>
      </c>
      <c r="H10" s="198" t="s">
        <v>21</v>
      </c>
      <c r="I10" s="33"/>
      <c r="J10" s="209" t="s">
        <v>71</v>
      </c>
      <c r="K10" s="210" t="s">
        <v>72</v>
      </c>
      <c r="L10" s="210"/>
      <c r="M10" s="209"/>
    </row>
    <row r="11" spans="1:13" ht="115.5">
      <c r="A11" s="354"/>
      <c r="B11" s="191" t="s">
        <v>73</v>
      </c>
      <c r="C11" s="33" t="s">
        <v>74</v>
      </c>
      <c r="D11" s="97">
        <v>2021</v>
      </c>
      <c r="E11" s="33" t="s">
        <v>75</v>
      </c>
      <c r="F11" s="127" t="s">
        <v>76</v>
      </c>
      <c r="G11" s="158" t="s">
        <v>77</v>
      </c>
      <c r="H11" s="198" t="s">
        <v>21</v>
      </c>
      <c r="I11" s="83"/>
      <c r="J11" s="209" t="s">
        <v>78</v>
      </c>
      <c r="K11" s="208" t="s">
        <v>79</v>
      </c>
      <c r="L11" s="263"/>
      <c r="M11" s="209"/>
    </row>
    <row r="12" spans="1:13" ht="16.5" customHeight="1">
      <c r="A12" s="354"/>
      <c r="B12" s="190" t="s">
        <v>80</v>
      </c>
      <c r="C12" s="33" t="s">
        <v>81</v>
      </c>
      <c r="D12" s="77">
        <v>2022</v>
      </c>
      <c r="E12" s="33" t="s">
        <v>75</v>
      </c>
      <c r="F12" s="205" t="s">
        <v>82</v>
      </c>
      <c r="G12" s="165"/>
      <c r="H12" s="104" t="s">
        <v>55</v>
      </c>
      <c r="I12" s="33" t="s">
        <v>83</v>
      </c>
      <c r="J12" s="209"/>
      <c r="K12" s="209"/>
      <c r="L12" s="209"/>
      <c r="M12" s="209"/>
    </row>
    <row r="13" spans="1:13" ht="115.5">
      <c r="A13" s="354"/>
      <c r="B13" s="192" t="s">
        <v>84</v>
      </c>
      <c r="C13" s="33" t="s">
        <v>85</v>
      </c>
      <c r="D13" s="188">
        <v>2022</v>
      </c>
      <c r="E13" s="33" t="s">
        <v>86</v>
      </c>
      <c r="F13" s="112" t="s">
        <v>87</v>
      </c>
      <c r="G13" s="216" t="s">
        <v>88</v>
      </c>
      <c r="H13" s="198" t="s">
        <v>21</v>
      </c>
      <c r="I13" s="37"/>
      <c r="J13" s="213" t="s">
        <v>89</v>
      </c>
      <c r="K13" s="214" t="s">
        <v>90</v>
      </c>
      <c r="L13" s="261"/>
      <c r="M13" s="213"/>
    </row>
    <row r="14" spans="1:13" ht="45.75" customHeight="1">
      <c r="A14" s="354" t="s">
        <v>91</v>
      </c>
      <c r="B14" s="124" t="s">
        <v>92</v>
      </c>
      <c r="C14" s="139" t="s">
        <v>93</v>
      </c>
      <c r="D14" s="77">
        <v>2025</v>
      </c>
      <c r="E14" s="104" t="s">
        <v>94</v>
      </c>
      <c r="F14" s="125" t="s">
        <v>95</v>
      </c>
      <c r="G14" s="118" t="s">
        <v>96</v>
      </c>
      <c r="H14" s="104" t="s">
        <v>55</v>
      </c>
      <c r="I14" s="77" t="s">
        <v>97</v>
      </c>
      <c r="J14" s="118" t="s">
        <v>96</v>
      </c>
      <c r="K14" s="118" t="s">
        <v>96</v>
      </c>
    </row>
    <row r="15" spans="1:13" ht="45.75">
      <c r="A15" s="355"/>
      <c r="B15" s="126" t="s">
        <v>98</v>
      </c>
      <c r="C15" s="181" t="s">
        <v>99</v>
      </c>
      <c r="D15" s="97">
        <v>2026</v>
      </c>
      <c r="E15" s="240" t="s">
        <v>100</v>
      </c>
      <c r="F15" s="127" t="s">
        <v>101</v>
      </c>
      <c r="G15" s="106"/>
      <c r="H15" s="197" t="s">
        <v>21</v>
      </c>
      <c r="I15" s="35"/>
      <c r="J15" s="35"/>
      <c r="K15" s="35"/>
    </row>
    <row r="16" spans="1:13" ht="15.75" customHeight="1">
      <c r="A16" s="355"/>
      <c r="B16" s="232"/>
      <c r="C16" s="241" t="s">
        <v>628</v>
      </c>
      <c r="D16" s="233"/>
      <c r="E16" s="234"/>
      <c r="F16" s="235"/>
      <c r="G16" s="129"/>
      <c r="H16" s="236" t="s">
        <v>629</v>
      </c>
      <c r="I16" s="77" t="s">
        <v>655</v>
      </c>
      <c r="J16" s="34"/>
      <c r="K16" s="34"/>
    </row>
    <row r="17" spans="1:16" ht="16.5" customHeight="1">
      <c r="A17" s="355"/>
      <c r="B17" s="127"/>
      <c r="C17" s="242" t="s">
        <v>109</v>
      </c>
      <c r="D17" s="97">
        <v>2025</v>
      </c>
      <c r="E17" s="149" t="s">
        <v>110</v>
      </c>
      <c r="F17" s="127"/>
      <c r="G17" s="123"/>
      <c r="H17" s="104" t="s">
        <v>55</v>
      </c>
      <c r="I17" s="77" t="s">
        <v>655</v>
      </c>
      <c r="J17" s="35"/>
      <c r="K17" s="35"/>
    </row>
    <row r="18" spans="1:16" ht="21" customHeight="1">
      <c r="A18" s="355"/>
      <c r="B18" s="41" t="s">
        <v>111</v>
      </c>
      <c r="C18" s="77" t="s">
        <v>112</v>
      </c>
      <c r="D18" s="77">
        <v>2020</v>
      </c>
      <c r="E18" s="77" t="s">
        <v>64</v>
      </c>
      <c r="F18" s="112" t="s">
        <v>113</v>
      </c>
      <c r="G18" s="130"/>
      <c r="H18" s="105" t="s">
        <v>21</v>
      </c>
      <c r="I18" s="34"/>
      <c r="J18" s="34"/>
      <c r="K18" s="34"/>
    </row>
    <row r="19" spans="1:16" ht="30.75" customHeight="1">
      <c r="A19" s="355"/>
      <c r="B19" s="123" t="s">
        <v>117</v>
      </c>
      <c r="C19" s="181" t="s">
        <v>118</v>
      </c>
      <c r="D19" s="103">
        <v>2023</v>
      </c>
      <c r="E19" s="103" t="s">
        <v>64</v>
      </c>
      <c r="F19" s="127" t="s">
        <v>119</v>
      </c>
      <c r="G19" s="123"/>
      <c r="H19" s="105" t="s">
        <v>21</v>
      </c>
      <c r="I19" s="35"/>
      <c r="J19" s="35"/>
      <c r="K19" s="35"/>
    </row>
    <row r="20" spans="1:16" ht="60.75" customHeight="1">
      <c r="A20" s="355"/>
      <c r="B20" s="128" t="s">
        <v>123</v>
      </c>
      <c r="C20" s="139" t="s">
        <v>124</v>
      </c>
      <c r="D20" s="77">
        <v>2023</v>
      </c>
      <c r="E20" s="77" t="s">
        <v>18</v>
      </c>
      <c r="F20" s="112" t="s">
        <v>125</v>
      </c>
      <c r="G20" s="130"/>
      <c r="H20" s="105" t="s">
        <v>21</v>
      </c>
      <c r="I20" s="34"/>
      <c r="J20" s="34"/>
      <c r="K20" s="34"/>
    </row>
    <row r="21" spans="1:16" ht="43.5">
      <c r="A21" s="355"/>
      <c r="B21" s="131" t="s">
        <v>129</v>
      </c>
      <c r="C21" s="181" t="s">
        <v>130</v>
      </c>
      <c r="D21" s="103">
        <v>2026</v>
      </c>
      <c r="E21" s="104" t="s">
        <v>75</v>
      </c>
      <c r="F21" s="127" t="s">
        <v>131</v>
      </c>
      <c r="G21" s="137" t="s">
        <v>96</v>
      </c>
      <c r="H21" s="104" t="s">
        <v>55</v>
      </c>
      <c r="I21" s="243" t="s">
        <v>132</v>
      </c>
      <c r="J21" s="137" t="s">
        <v>96</v>
      </c>
      <c r="K21" s="137" t="s">
        <v>96</v>
      </c>
    </row>
    <row r="22" spans="1:16" ht="30.75" customHeight="1">
      <c r="A22" s="355"/>
      <c r="B22" s="128" t="s">
        <v>133</v>
      </c>
      <c r="C22" s="139" t="s">
        <v>630</v>
      </c>
      <c r="D22" s="77">
        <v>2023</v>
      </c>
      <c r="E22" s="77" t="s">
        <v>135</v>
      </c>
      <c r="F22" s="112" t="s">
        <v>136</v>
      </c>
      <c r="G22" s="130"/>
      <c r="H22" s="104" t="s">
        <v>631</v>
      </c>
      <c r="I22" s="34"/>
      <c r="J22" s="34"/>
      <c r="K22" s="34"/>
    </row>
    <row r="23" spans="1:16" ht="30.75" customHeight="1">
      <c r="A23" s="355"/>
      <c r="B23" s="127" t="s">
        <v>141</v>
      </c>
      <c r="C23" s="181" t="s">
        <v>632</v>
      </c>
      <c r="D23" s="103">
        <v>2025</v>
      </c>
      <c r="E23" s="103" t="s">
        <v>143</v>
      </c>
      <c r="F23" s="127" t="s">
        <v>144</v>
      </c>
      <c r="G23" s="123"/>
      <c r="H23" s="105" t="s">
        <v>21</v>
      </c>
      <c r="I23" s="35"/>
      <c r="J23" s="35"/>
      <c r="K23" s="35"/>
    </row>
    <row r="24" spans="1:16" ht="16.5" customHeight="1">
      <c r="A24" s="355"/>
      <c r="B24" s="139"/>
      <c r="C24" s="139"/>
      <c r="D24" s="244"/>
      <c r="E24" s="180"/>
      <c r="F24" s="180"/>
      <c r="G24" s="180"/>
      <c r="H24" s="180"/>
      <c r="I24" s="180"/>
      <c r="J24" s="180"/>
      <c r="K24" s="180"/>
    </row>
    <row r="25" spans="1:16" s="185" customFormat="1" ht="16.5" customHeight="1">
      <c r="A25" s="356"/>
      <c r="B25" s="182"/>
      <c r="C25" s="245"/>
      <c r="D25" s="182"/>
      <c r="E25" s="182"/>
      <c r="F25" s="182"/>
      <c r="G25" s="182"/>
      <c r="H25" s="183" t="s">
        <v>55</v>
      </c>
      <c r="I25" s="184"/>
      <c r="J25" s="184"/>
      <c r="K25" s="184"/>
      <c r="L25"/>
      <c r="M25"/>
    </row>
    <row r="26" spans="1:16" ht="16.5" customHeight="1">
      <c r="A26" s="354" t="s">
        <v>159</v>
      </c>
      <c r="B26" s="104" t="s">
        <v>160</v>
      </c>
      <c r="C26" s="77" t="s">
        <v>161</v>
      </c>
      <c r="D26" s="77">
        <v>2021</v>
      </c>
      <c r="E26" s="104" t="s">
        <v>162</v>
      </c>
      <c r="F26" s="186" t="s">
        <v>163</v>
      </c>
      <c r="G26" s="118" t="s">
        <v>96</v>
      </c>
      <c r="H26" s="104" t="s">
        <v>55</v>
      </c>
      <c r="I26" s="77" t="s">
        <v>164</v>
      </c>
      <c r="J26" s="118" t="s">
        <v>96</v>
      </c>
      <c r="K26" s="118" t="s">
        <v>96</v>
      </c>
      <c r="N26" s="56"/>
      <c r="O26" s="56"/>
      <c r="P26" s="56"/>
    </row>
    <row r="27" spans="1:16" ht="72">
      <c r="A27" s="355"/>
      <c r="B27" s="127" t="s">
        <v>165</v>
      </c>
      <c r="C27" s="181" t="s">
        <v>166</v>
      </c>
      <c r="D27" s="104">
        <v>2004</v>
      </c>
      <c r="E27" s="181" t="s">
        <v>100</v>
      </c>
      <c r="F27" s="81" t="s">
        <v>167</v>
      </c>
      <c r="G27" s="361" t="s">
        <v>168</v>
      </c>
      <c r="H27" s="105" t="s">
        <v>21</v>
      </c>
      <c r="I27" s="106" t="s">
        <v>169</v>
      </c>
      <c r="J27" s="103" t="s">
        <v>170</v>
      </c>
      <c r="K27" s="102" t="s">
        <v>171</v>
      </c>
      <c r="N27" s="56"/>
      <c r="O27" s="56"/>
      <c r="P27" s="56"/>
    </row>
    <row r="28" spans="1:16" ht="101.25">
      <c r="A28" s="355"/>
      <c r="B28" s="125" t="s">
        <v>172</v>
      </c>
      <c r="C28" s="140" t="s">
        <v>173</v>
      </c>
      <c r="D28" s="140">
        <v>2024</v>
      </c>
      <c r="E28" s="140" t="s">
        <v>18</v>
      </c>
      <c r="F28" s="141" t="s">
        <v>174</v>
      </c>
      <c r="G28" s="142" t="s">
        <v>175</v>
      </c>
      <c r="H28" s="105" t="s">
        <v>21</v>
      </c>
      <c r="I28" s="143" t="s">
        <v>176</v>
      </c>
      <c r="J28" s="140" t="s">
        <v>177</v>
      </c>
      <c r="K28" s="142" t="s">
        <v>178</v>
      </c>
      <c r="N28" s="56"/>
      <c r="O28" s="56"/>
      <c r="P28" s="56"/>
    </row>
    <row r="29" spans="1:16" ht="115.5">
      <c r="A29" s="355"/>
      <c r="B29" s="144" t="s">
        <v>179</v>
      </c>
      <c r="C29" s="243" t="s">
        <v>180</v>
      </c>
      <c r="D29" s="243">
        <v>2021</v>
      </c>
      <c r="E29" s="243" t="s">
        <v>64</v>
      </c>
      <c r="F29" s="145" t="s">
        <v>181</v>
      </c>
      <c r="G29" s="135" t="s">
        <v>182</v>
      </c>
      <c r="H29" s="146" t="s">
        <v>183</v>
      </c>
      <c r="I29" s="147" t="s">
        <v>184</v>
      </c>
      <c r="J29" s="135" t="s">
        <v>185</v>
      </c>
      <c r="K29" s="148" t="s">
        <v>186</v>
      </c>
      <c r="N29" s="56"/>
      <c r="O29" s="56"/>
      <c r="P29" s="56"/>
    </row>
    <row r="30" spans="1:16" ht="26.25" customHeight="1">
      <c r="A30" s="355"/>
      <c r="B30" s="113"/>
      <c r="C30" s="114" t="s">
        <v>187</v>
      </c>
      <c r="D30" s="113"/>
      <c r="E30" s="113"/>
      <c r="F30" s="113"/>
      <c r="G30" s="113"/>
      <c r="H30" s="104" t="s">
        <v>55</v>
      </c>
      <c r="I30" s="113"/>
      <c r="J30" s="104"/>
      <c r="K30" s="104"/>
      <c r="N30" s="56"/>
      <c r="O30" s="56"/>
      <c r="P30" s="56"/>
    </row>
    <row r="31" spans="1:16" ht="16.5" customHeight="1">
      <c r="A31" s="355"/>
      <c r="B31" s="118" t="s">
        <v>96</v>
      </c>
      <c r="C31" s="118" t="s">
        <v>96</v>
      </c>
      <c r="D31" s="118" t="s">
        <v>96</v>
      </c>
      <c r="E31" s="115" t="s">
        <v>94</v>
      </c>
      <c r="F31" s="78" t="s">
        <v>188</v>
      </c>
      <c r="G31" s="118" t="s">
        <v>96</v>
      </c>
      <c r="H31" s="104" t="s">
        <v>55</v>
      </c>
      <c r="I31" s="77" t="s">
        <v>189</v>
      </c>
      <c r="J31" s="118" t="s">
        <v>96</v>
      </c>
      <c r="K31" s="118" t="s">
        <v>96</v>
      </c>
      <c r="N31" s="56"/>
      <c r="O31" s="56"/>
      <c r="P31" s="56"/>
    </row>
    <row r="32" spans="1:16" ht="129.75">
      <c r="A32" s="355"/>
      <c r="B32" s="127" t="s">
        <v>141</v>
      </c>
      <c r="C32" s="103" t="s">
        <v>190</v>
      </c>
      <c r="D32" s="103">
        <v>2025</v>
      </c>
      <c r="E32" s="103" t="s">
        <v>143</v>
      </c>
      <c r="F32" s="81" t="s">
        <v>191</v>
      </c>
      <c r="G32" s="102" t="s">
        <v>192</v>
      </c>
      <c r="H32" s="105" t="s">
        <v>153</v>
      </c>
      <c r="I32" s="106" t="s">
        <v>193</v>
      </c>
      <c r="J32" s="102" t="s">
        <v>194</v>
      </c>
      <c r="K32" s="102" t="s">
        <v>195</v>
      </c>
      <c r="N32" s="56"/>
      <c r="O32" s="56"/>
      <c r="P32" s="56"/>
    </row>
    <row r="33" spans="1:56" ht="159">
      <c r="A33" s="355"/>
      <c r="B33" s="125" t="s">
        <v>196</v>
      </c>
      <c r="C33" s="139" t="s">
        <v>197</v>
      </c>
      <c r="D33" s="77">
        <v>2023</v>
      </c>
      <c r="E33" s="77" t="s">
        <v>198</v>
      </c>
      <c r="F33" s="78" t="s">
        <v>199</v>
      </c>
      <c r="G33" s="111" t="s">
        <v>200</v>
      </c>
      <c r="H33" s="105" t="s">
        <v>153</v>
      </c>
      <c r="I33" s="129" t="s">
        <v>201</v>
      </c>
      <c r="J33" s="110" t="s">
        <v>202</v>
      </c>
      <c r="K33" s="110" t="s">
        <v>203</v>
      </c>
      <c r="N33" s="56"/>
      <c r="O33" s="56"/>
      <c r="P33" s="56"/>
      <c r="BC33" s="246"/>
      <c r="BD33" s="246"/>
    </row>
    <row r="34" spans="1:56" ht="115.5">
      <c r="A34" s="355"/>
      <c r="B34" s="127" t="s">
        <v>204</v>
      </c>
      <c r="C34" s="106" t="s">
        <v>205</v>
      </c>
      <c r="D34" s="103">
        <v>2023</v>
      </c>
      <c r="E34" s="103" t="s">
        <v>18</v>
      </c>
      <c r="F34" s="81" t="s">
        <v>125</v>
      </c>
      <c r="G34" s="102" t="s">
        <v>206</v>
      </c>
      <c r="H34" s="105" t="s">
        <v>153</v>
      </c>
      <c r="I34" s="106" t="s">
        <v>207</v>
      </c>
      <c r="J34" s="103"/>
      <c r="K34" s="106" t="s">
        <v>208</v>
      </c>
      <c r="N34" s="56"/>
      <c r="O34" s="56"/>
      <c r="P34" s="56"/>
    </row>
    <row r="35" spans="1:56" ht="25.5" customHeight="1">
      <c r="A35" s="355"/>
      <c r="B35" s="125" t="s">
        <v>209</v>
      </c>
      <c r="C35" s="77" t="s">
        <v>210</v>
      </c>
      <c r="D35" s="77">
        <v>2023</v>
      </c>
      <c r="E35" s="155" t="s">
        <v>150</v>
      </c>
      <c r="F35" s="118"/>
      <c r="G35" s="118"/>
      <c r="H35" s="105" t="s">
        <v>153</v>
      </c>
      <c r="J35" s="118" t="s">
        <v>96</v>
      </c>
      <c r="K35" s="118" t="s">
        <v>96</v>
      </c>
      <c r="N35" s="56"/>
      <c r="O35" s="56"/>
      <c r="P35" s="56"/>
    </row>
    <row r="36" spans="1:56" ht="129.75">
      <c r="A36" s="355"/>
      <c r="B36" s="127" t="s">
        <v>211</v>
      </c>
      <c r="C36" s="106" t="s">
        <v>212</v>
      </c>
      <c r="D36" s="103">
        <v>2026</v>
      </c>
      <c r="E36" s="103" t="s">
        <v>100</v>
      </c>
      <c r="F36" s="81" t="s">
        <v>151</v>
      </c>
      <c r="G36" s="102" t="s">
        <v>213</v>
      </c>
      <c r="H36" s="105" t="s">
        <v>153</v>
      </c>
      <c r="I36" s="106" t="s">
        <v>214</v>
      </c>
      <c r="J36" s="106" t="s">
        <v>215</v>
      </c>
      <c r="K36" s="106" t="s">
        <v>216</v>
      </c>
      <c r="N36" s="56"/>
      <c r="O36" s="56"/>
      <c r="P36" s="56"/>
    </row>
    <row r="37" spans="1:56" ht="159">
      <c r="A37" s="356"/>
      <c r="B37" s="125" t="s">
        <v>217</v>
      </c>
      <c r="C37" s="43" t="s">
        <v>218</v>
      </c>
      <c r="D37" s="77">
        <v>2020</v>
      </c>
      <c r="E37" s="77" t="s">
        <v>18</v>
      </c>
      <c r="F37" s="78" t="s">
        <v>219</v>
      </c>
      <c r="G37" s="49" t="s">
        <v>220</v>
      </c>
      <c r="H37" s="75" t="s">
        <v>221</v>
      </c>
      <c r="I37" s="49" t="s">
        <v>222</v>
      </c>
      <c r="J37" s="49" t="s">
        <v>223</v>
      </c>
      <c r="K37" s="49" t="s">
        <v>224</v>
      </c>
      <c r="N37" s="56"/>
      <c r="O37" s="56"/>
      <c r="P37" s="56"/>
    </row>
    <row r="38" spans="1:56" s="56" customFormat="1" ht="96" customHeight="1">
      <c r="A38" s="353" t="s">
        <v>225</v>
      </c>
      <c r="B38" s="50" t="s">
        <v>226</v>
      </c>
      <c r="C38" s="99" t="s">
        <v>227</v>
      </c>
      <c r="D38" s="97">
        <v>2023</v>
      </c>
      <c r="E38" s="97" t="s">
        <v>18</v>
      </c>
      <c r="F38" s="81" t="s">
        <v>228</v>
      </c>
      <c r="G38" s="96" t="s">
        <v>229</v>
      </c>
      <c r="H38" s="75" t="s">
        <v>221</v>
      </c>
      <c r="I38" s="94" t="s">
        <v>230</v>
      </c>
      <c r="J38" s="96" t="s">
        <v>231</v>
      </c>
      <c r="K38" s="96" t="s">
        <v>232</v>
      </c>
      <c r="L38"/>
      <c r="M38"/>
    </row>
    <row r="39" spans="1:56" s="56" customFormat="1" ht="141" customHeight="1">
      <c r="A39" s="353"/>
      <c r="B39" s="55" t="s">
        <v>233</v>
      </c>
      <c r="C39" s="43" t="s">
        <v>234</v>
      </c>
      <c r="D39" s="104">
        <v>2010</v>
      </c>
      <c r="E39" s="77" t="s">
        <v>64</v>
      </c>
      <c r="F39" s="78" t="s">
        <v>233</v>
      </c>
      <c r="G39" s="95" t="s">
        <v>235</v>
      </c>
      <c r="H39" s="93" t="s">
        <v>55</v>
      </c>
      <c r="I39" s="49" t="s">
        <v>236</v>
      </c>
      <c r="J39" s="95" t="s">
        <v>235</v>
      </c>
      <c r="K39" s="95" t="s">
        <v>235</v>
      </c>
      <c r="L39"/>
      <c r="M39"/>
    </row>
    <row r="40" spans="1:56" s="56" customFormat="1" ht="87.75" customHeight="1">
      <c r="A40" s="353"/>
      <c r="B40" s="82" t="s">
        <v>237</v>
      </c>
      <c r="C40" s="98" t="s">
        <v>238</v>
      </c>
      <c r="D40" s="97">
        <v>2021</v>
      </c>
      <c r="E40" s="97" t="s">
        <v>239</v>
      </c>
      <c r="F40" s="81" t="s">
        <v>240</v>
      </c>
      <c r="G40" s="96" t="s">
        <v>241</v>
      </c>
      <c r="H40" s="75" t="s">
        <v>221</v>
      </c>
      <c r="I40" s="94" t="s">
        <v>242</v>
      </c>
      <c r="J40" s="96" t="s">
        <v>243</v>
      </c>
      <c r="K40" s="96" t="s">
        <v>244</v>
      </c>
      <c r="L40"/>
      <c r="M40"/>
    </row>
    <row r="41" spans="1:56" ht="81" customHeight="1">
      <c r="A41" s="353"/>
      <c r="B41" s="55" t="s">
        <v>245</v>
      </c>
      <c r="C41" s="40" t="s">
        <v>246</v>
      </c>
      <c r="D41" s="77">
        <v>2023</v>
      </c>
      <c r="E41" s="77" t="s">
        <v>135</v>
      </c>
      <c r="F41" s="112" t="s">
        <v>247</v>
      </c>
      <c r="G41" s="95" t="s">
        <v>248</v>
      </c>
      <c r="H41" s="75" t="s">
        <v>221</v>
      </c>
      <c r="I41" s="169" t="s">
        <v>249</v>
      </c>
      <c r="J41" s="170" t="s">
        <v>250</v>
      </c>
      <c r="K41" s="170" t="s">
        <v>251</v>
      </c>
    </row>
    <row r="42" spans="1:56" ht="73.5" customHeight="1">
      <c r="A42" s="353"/>
      <c r="B42" s="81" t="s">
        <v>252</v>
      </c>
      <c r="C42" s="98" t="s">
        <v>253</v>
      </c>
      <c r="D42" s="97">
        <v>2026</v>
      </c>
      <c r="E42" s="97" t="s">
        <v>100</v>
      </c>
      <c r="F42" s="81" t="s">
        <v>254</v>
      </c>
      <c r="G42" s="96" t="s">
        <v>255</v>
      </c>
      <c r="H42" s="75" t="s">
        <v>221</v>
      </c>
      <c r="I42" s="94" t="s">
        <v>256</v>
      </c>
      <c r="J42" s="99" t="s">
        <v>257</v>
      </c>
      <c r="K42" s="99" t="s">
        <v>258</v>
      </c>
    </row>
    <row r="43" spans="1:56" ht="84.75" customHeight="1">
      <c r="A43" s="353"/>
      <c r="B43" s="55" t="s">
        <v>259</v>
      </c>
      <c r="C43" s="40" t="s">
        <v>260</v>
      </c>
      <c r="D43" s="77">
        <v>2023</v>
      </c>
      <c r="E43" s="77" t="s">
        <v>135</v>
      </c>
      <c r="F43" s="112" t="s">
        <v>261</v>
      </c>
      <c r="G43" s="95" t="s">
        <v>262</v>
      </c>
      <c r="H43" s="75" t="s">
        <v>221</v>
      </c>
      <c r="I43" s="169" t="s">
        <v>263</v>
      </c>
      <c r="J43" s="170" t="s">
        <v>264</v>
      </c>
      <c r="K43" s="170" t="s">
        <v>265</v>
      </c>
    </row>
    <row r="44" spans="1:56" ht="78" customHeight="1">
      <c r="A44" s="353"/>
      <c r="B44" s="47" t="s">
        <v>266</v>
      </c>
      <c r="C44" s="98" t="s">
        <v>267</v>
      </c>
      <c r="D44" s="97">
        <v>2023</v>
      </c>
      <c r="E44" s="97" t="s">
        <v>135</v>
      </c>
      <c r="F44" s="47" t="s">
        <v>268</v>
      </c>
      <c r="G44" s="96" t="s">
        <v>269</v>
      </c>
      <c r="H44" s="75" t="s">
        <v>221</v>
      </c>
      <c r="I44" s="94" t="s">
        <v>270</v>
      </c>
      <c r="J44" s="99" t="s">
        <v>271</v>
      </c>
      <c r="K44" s="99" t="s">
        <v>272</v>
      </c>
    </row>
    <row r="45" spans="1:56" ht="77.25" customHeight="1">
      <c r="A45" s="353"/>
      <c r="B45" s="41" t="s">
        <v>273</v>
      </c>
      <c r="C45" s="40" t="s">
        <v>274</v>
      </c>
      <c r="D45" s="77">
        <v>2025</v>
      </c>
      <c r="E45" s="77" t="s">
        <v>64</v>
      </c>
      <c r="F45" s="45" t="s">
        <v>275</v>
      </c>
      <c r="G45" s="52" t="s">
        <v>276</v>
      </c>
      <c r="H45" s="75" t="s">
        <v>221</v>
      </c>
      <c r="I45" s="171" t="s">
        <v>277</v>
      </c>
      <c r="J45" s="170" t="s">
        <v>278</v>
      </c>
      <c r="K45" s="171" t="s">
        <v>279</v>
      </c>
    </row>
    <row r="46" spans="1:56" ht="89.25" customHeight="1">
      <c r="A46" s="353"/>
      <c r="B46" s="47" t="s">
        <v>280</v>
      </c>
      <c r="C46" s="98" t="s">
        <v>281</v>
      </c>
      <c r="D46" s="172">
        <v>2024</v>
      </c>
      <c r="E46" s="172" t="s">
        <v>162</v>
      </c>
      <c r="F46" s="35"/>
      <c r="G46" s="35"/>
      <c r="H46" s="93" t="s">
        <v>282</v>
      </c>
      <c r="I46" s="122" t="s">
        <v>283</v>
      </c>
      <c r="J46" s="35"/>
      <c r="K46" s="35"/>
    </row>
    <row r="47" spans="1:56" ht="96.75" customHeight="1">
      <c r="A47" s="353"/>
      <c r="B47" s="41" t="s">
        <v>284</v>
      </c>
      <c r="C47" t="s">
        <v>285</v>
      </c>
      <c r="D47" s="104">
        <v>2019</v>
      </c>
      <c r="E47" s="33" t="s">
        <v>18</v>
      </c>
      <c r="F47" s="45" t="s">
        <v>286</v>
      </c>
      <c r="G47" s="34"/>
      <c r="H47" s="93" t="s">
        <v>282</v>
      </c>
      <c r="I47" s="171" t="s">
        <v>287</v>
      </c>
      <c r="J47" s="34"/>
      <c r="K47" s="34"/>
    </row>
    <row r="48" spans="1:56" ht="68.25" customHeight="1">
      <c r="A48" s="353"/>
      <c r="B48" s="47" t="s">
        <v>288</v>
      </c>
      <c r="C48" s="98" t="s">
        <v>289</v>
      </c>
      <c r="D48" s="104">
        <v>2014</v>
      </c>
      <c r="E48" s="104" t="s">
        <v>290</v>
      </c>
      <c r="F48" s="47" t="s">
        <v>291</v>
      </c>
      <c r="G48" s="35"/>
      <c r="H48" s="93" t="s">
        <v>282</v>
      </c>
      <c r="I48" s="122" t="s">
        <v>292</v>
      </c>
      <c r="J48" s="35"/>
      <c r="K48" s="35"/>
    </row>
    <row r="49" spans="1:11" ht="93" customHeight="1">
      <c r="A49" s="353"/>
      <c r="B49" s="55" t="s">
        <v>280</v>
      </c>
      <c r="C49" s="43" t="s">
        <v>281</v>
      </c>
      <c r="D49" s="77">
        <v>2024</v>
      </c>
      <c r="E49" s="77" t="s">
        <v>143</v>
      </c>
      <c r="F49" s="78" t="s">
        <v>293</v>
      </c>
      <c r="G49" s="118"/>
      <c r="H49" s="75" t="s">
        <v>221</v>
      </c>
      <c r="I49" s="117" t="s">
        <v>294</v>
      </c>
      <c r="J49" s="52" t="s">
        <v>295</v>
      </c>
      <c r="K49" s="52" t="s">
        <v>296</v>
      </c>
    </row>
    <row r="50" spans="1:11" ht="168.75" customHeight="1">
      <c r="A50" s="357" t="s">
        <v>297</v>
      </c>
      <c r="B50" s="59" t="s">
        <v>284</v>
      </c>
      <c r="C50" s="46" t="s">
        <v>285</v>
      </c>
      <c r="D50" s="72">
        <v>2019</v>
      </c>
      <c r="E50" s="84" t="s">
        <v>18</v>
      </c>
      <c r="F50" s="61" t="s">
        <v>286</v>
      </c>
      <c r="G50" s="119" t="s">
        <v>96</v>
      </c>
      <c r="H50" s="72" t="s">
        <v>55</v>
      </c>
      <c r="I50" s="247" t="s">
        <v>298</v>
      </c>
      <c r="J50" s="119" t="s">
        <v>96</v>
      </c>
      <c r="K50" s="119" t="s">
        <v>96</v>
      </c>
    </row>
    <row r="51" spans="1:11" ht="66" customHeight="1">
      <c r="A51" s="357"/>
      <c r="B51" s="57" t="s">
        <v>299</v>
      </c>
      <c r="C51" s="51" t="s">
        <v>300</v>
      </c>
      <c r="D51" s="73">
        <v>2014</v>
      </c>
      <c r="E51" s="85" t="s">
        <v>301</v>
      </c>
      <c r="F51" s="58" t="s">
        <v>291</v>
      </c>
      <c r="G51" s="118" t="s">
        <v>96</v>
      </c>
      <c r="H51" s="72" t="s">
        <v>55</v>
      </c>
      <c r="I51" s="49" t="s">
        <v>302</v>
      </c>
      <c r="J51" s="118" t="s">
        <v>96</v>
      </c>
      <c r="K51" s="118" t="s">
        <v>96</v>
      </c>
    </row>
    <row r="52" spans="1:11" ht="30.75">
      <c r="A52" s="357"/>
      <c r="B52" s="59" t="s">
        <v>303</v>
      </c>
      <c r="C52" s="362" t="s">
        <v>304</v>
      </c>
      <c r="D52" s="60">
        <v>2023</v>
      </c>
      <c r="E52" s="84" t="s">
        <v>198</v>
      </c>
      <c r="F52" s="59" t="s">
        <v>305</v>
      </c>
      <c r="G52" s="119" t="s">
        <v>96</v>
      </c>
      <c r="H52" s="72" t="s">
        <v>55</v>
      </c>
      <c r="I52" s="120" t="s">
        <v>633</v>
      </c>
      <c r="J52" s="119" t="s">
        <v>96</v>
      </c>
      <c r="K52" s="119" t="s">
        <v>96</v>
      </c>
    </row>
    <row r="53" spans="1:11" ht="73.5" customHeight="1">
      <c r="A53" s="357"/>
      <c r="B53" s="63" t="s">
        <v>310</v>
      </c>
      <c r="C53" s="53" t="s">
        <v>311</v>
      </c>
      <c r="D53" s="62">
        <v>2022</v>
      </c>
      <c r="E53" s="86" t="s">
        <v>64</v>
      </c>
      <c r="F53" s="57" t="s">
        <v>312</v>
      </c>
      <c r="G53" s="118" t="s">
        <v>96</v>
      </c>
      <c r="H53" s="72" t="s">
        <v>55</v>
      </c>
      <c r="I53" s="43" t="s">
        <v>634</v>
      </c>
      <c r="J53" s="118" t="s">
        <v>96</v>
      </c>
      <c r="K53" s="118" t="s">
        <v>96</v>
      </c>
    </row>
    <row r="54" spans="1:11" ht="91.5">
      <c r="A54" s="357"/>
      <c r="B54" s="59" t="s">
        <v>314</v>
      </c>
      <c r="C54" s="54" t="s">
        <v>315</v>
      </c>
      <c r="D54" s="71" t="s">
        <v>316</v>
      </c>
      <c r="E54" s="84" t="s">
        <v>64</v>
      </c>
      <c r="F54" s="59" t="s">
        <v>317</v>
      </c>
      <c r="G54" s="48"/>
      <c r="H54" s="75" t="s">
        <v>221</v>
      </c>
      <c r="I54" s="121" t="s">
        <v>635</v>
      </c>
      <c r="J54" s="121" t="s">
        <v>320</v>
      </c>
      <c r="K54" s="121" t="s">
        <v>321</v>
      </c>
    </row>
    <row r="55" spans="1:11" ht="57.75" customHeight="1">
      <c r="A55" s="357"/>
      <c r="B55" s="57" t="s">
        <v>322</v>
      </c>
      <c r="C55" s="363" t="s">
        <v>323</v>
      </c>
      <c r="D55" s="62">
        <v>2025</v>
      </c>
      <c r="E55" s="86" t="s">
        <v>324</v>
      </c>
      <c r="F55" s="57" t="s">
        <v>325</v>
      </c>
      <c r="G55" s="34"/>
      <c r="H55" s="34"/>
      <c r="I55" s="34"/>
      <c r="J55" s="34"/>
      <c r="K55" s="34"/>
    </row>
    <row r="56" spans="1:11" ht="69.75" customHeight="1">
      <c r="A56" s="357"/>
      <c r="B56" s="61" t="s">
        <v>327</v>
      </c>
      <c r="C56" s="46" t="s">
        <v>328</v>
      </c>
      <c r="D56" s="70">
        <v>2008</v>
      </c>
      <c r="E56" s="87" t="s">
        <v>18</v>
      </c>
      <c r="F56" s="59" t="s">
        <v>329</v>
      </c>
      <c r="G56" s="48"/>
      <c r="H56" s="35"/>
      <c r="I56" s="35"/>
      <c r="J56" s="35"/>
      <c r="K56" s="35"/>
    </row>
    <row r="57" spans="1:11" ht="59.25" customHeight="1">
      <c r="A57" s="357"/>
      <c r="B57" s="57" t="s">
        <v>331</v>
      </c>
      <c r="C57" s="364" t="s">
        <v>332</v>
      </c>
      <c r="D57" s="64">
        <v>2020</v>
      </c>
      <c r="E57" s="88" t="s">
        <v>198</v>
      </c>
      <c r="F57" s="57" t="s">
        <v>333</v>
      </c>
      <c r="G57" s="34"/>
      <c r="H57" s="34"/>
      <c r="I57" s="34"/>
      <c r="J57" s="34"/>
      <c r="K57" s="34"/>
    </row>
    <row r="58" spans="1:11" ht="45.75" customHeight="1">
      <c r="A58" s="357"/>
      <c r="B58" s="65" t="s">
        <v>335</v>
      </c>
      <c r="C58" s="66" t="s">
        <v>336</v>
      </c>
      <c r="D58" s="67">
        <v>2022</v>
      </c>
      <c r="E58" s="87" t="s">
        <v>143</v>
      </c>
      <c r="F58" s="61" t="s">
        <v>337</v>
      </c>
      <c r="G58" s="35"/>
      <c r="H58" s="35"/>
      <c r="I58" s="35"/>
      <c r="J58" s="35"/>
      <c r="K58" s="35"/>
    </row>
    <row r="59" spans="1:11" ht="66.75" customHeight="1">
      <c r="A59" s="357"/>
      <c r="B59" s="57" t="s">
        <v>342</v>
      </c>
      <c r="C59" s="364" t="s">
        <v>343</v>
      </c>
      <c r="D59" s="365">
        <v>2025</v>
      </c>
      <c r="E59" s="89" t="s">
        <v>94</v>
      </c>
      <c r="F59" s="57" t="s">
        <v>344</v>
      </c>
      <c r="G59" s="118" t="s">
        <v>96</v>
      </c>
      <c r="H59" s="72" t="s">
        <v>55</v>
      </c>
      <c r="I59" s="49" t="s">
        <v>302</v>
      </c>
      <c r="J59" s="118" t="s">
        <v>96</v>
      </c>
      <c r="K59" s="118" t="s">
        <v>96</v>
      </c>
    </row>
    <row r="60" spans="1:11" ht="84.75" customHeight="1">
      <c r="A60" s="357"/>
      <c r="B60" s="68" t="s">
        <v>345</v>
      </c>
      <c r="C60" s="69" t="s">
        <v>346</v>
      </c>
      <c r="D60" s="69">
        <v>2024</v>
      </c>
      <c r="E60" s="90" t="s">
        <v>64</v>
      </c>
      <c r="F60" s="68" t="s">
        <v>347</v>
      </c>
      <c r="G60" s="35"/>
      <c r="H60" s="35"/>
      <c r="I60" s="35"/>
      <c r="J60" s="35"/>
      <c r="K60" s="35"/>
    </row>
    <row r="61" spans="1:11" ht="124.5" customHeight="1">
      <c r="A61" s="357"/>
      <c r="B61" s="57" t="s">
        <v>636</v>
      </c>
      <c r="C61" s="364" t="s">
        <v>637</v>
      </c>
      <c r="D61" s="365">
        <v>2023</v>
      </c>
      <c r="E61" s="33" t="s">
        <v>324</v>
      </c>
      <c r="F61" s="57" t="s">
        <v>638</v>
      </c>
      <c r="G61" s="80" t="s">
        <v>639</v>
      </c>
      <c r="H61" s="75" t="s">
        <v>21</v>
      </c>
      <c r="I61" s="176" t="s">
        <v>640</v>
      </c>
      <c r="J61" s="74" t="s">
        <v>641</v>
      </c>
      <c r="K61" s="74" t="s">
        <v>642</v>
      </c>
    </row>
    <row r="62" spans="1:11" ht="28.5">
      <c r="A62" s="353" t="s">
        <v>352</v>
      </c>
      <c r="B62" s="35" t="s">
        <v>353</v>
      </c>
      <c r="C62" s="98" t="s">
        <v>354</v>
      </c>
      <c r="D62" s="104">
        <v>2007</v>
      </c>
      <c r="E62" s="172" t="s">
        <v>18</v>
      </c>
      <c r="F62" s="47" t="s">
        <v>355</v>
      </c>
      <c r="G62" s="35"/>
      <c r="H62" s="72" t="s">
        <v>55</v>
      </c>
      <c r="I62" s="177"/>
      <c r="J62" s="35"/>
      <c r="K62" s="35"/>
    </row>
    <row r="63" spans="1:11" ht="45.75">
      <c r="A63" s="353"/>
      <c r="B63" s="57" t="s">
        <v>356</v>
      </c>
      <c r="C63" s="173" t="s">
        <v>357</v>
      </c>
      <c r="D63" s="365">
        <v>2024</v>
      </c>
      <c r="E63" s="33" t="s">
        <v>64</v>
      </c>
      <c r="F63" s="45" t="s">
        <v>358</v>
      </c>
      <c r="G63" s="80" t="s">
        <v>359</v>
      </c>
      <c r="H63" s="75" t="s">
        <v>21</v>
      </c>
      <c r="I63" s="176" t="s">
        <v>360</v>
      </c>
      <c r="J63" s="34" t="s">
        <v>361</v>
      </c>
      <c r="K63" s="34" t="s">
        <v>362</v>
      </c>
    </row>
    <row r="64" spans="1:11" ht="57.75">
      <c r="A64" s="353"/>
      <c r="B64" s="35" t="s">
        <v>363</v>
      </c>
      <c r="C64" s="175" t="s">
        <v>364</v>
      </c>
      <c r="D64" s="98" t="s">
        <v>365</v>
      </c>
      <c r="E64" s="172" t="s">
        <v>143</v>
      </c>
      <c r="F64" s="47" t="s">
        <v>366</v>
      </c>
      <c r="G64" s="179" t="s">
        <v>367</v>
      </c>
      <c r="H64" s="75" t="s">
        <v>368</v>
      </c>
      <c r="I64" s="177"/>
      <c r="J64" s="35"/>
      <c r="K64" s="35"/>
    </row>
    <row r="65" spans="1:14" ht="30.75">
      <c r="A65" s="353"/>
      <c r="C65" s="174" t="s">
        <v>369</v>
      </c>
      <c r="D65" s="79">
        <v>45413</v>
      </c>
      <c r="F65" s="34"/>
      <c r="G65" s="34"/>
      <c r="H65" s="72" t="s">
        <v>55</v>
      </c>
      <c r="I65" s="176" t="s">
        <v>370</v>
      </c>
      <c r="J65" s="34"/>
      <c r="K65" s="34"/>
    </row>
    <row r="66" spans="1:14" ht="28.5">
      <c r="A66" s="353"/>
      <c r="B66" s="35"/>
      <c r="C66" s="98" t="s">
        <v>371</v>
      </c>
      <c r="D66" s="178">
        <v>45778</v>
      </c>
      <c r="E66" s="83"/>
      <c r="F66" s="35"/>
      <c r="G66" s="35"/>
      <c r="H66" s="72" t="s">
        <v>55</v>
      </c>
      <c r="I66" s="177" t="s">
        <v>370</v>
      </c>
      <c r="J66" s="35"/>
      <c r="K66" s="35"/>
    </row>
    <row r="67" spans="1:14" ht="30.75">
      <c r="A67" s="353"/>
      <c r="B67" s="41" t="s">
        <v>372</v>
      </c>
      <c r="C67" s="174" t="s">
        <v>373</v>
      </c>
      <c r="D67" s="44">
        <v>45458</v>
      </c>
      <c r="E67" s="33" t="s">
        <v>374</v>
      </c>
      <c r="F67" s="45" t="s">
        <v>375</v>
      </c>
      <c r="G67" s="34"/>
      <c r="H67" s="72" t="s">
        <v>55</v>
      </c>
      <c r="I67" s="176" t="s">
        <v>370</v>
      </c>
      <c r="J67" s="34"/>
      <c r="K67" s="34"/>
    </row>
    <row r="68" spans="1:14" ht="43.5">
      <c r="A68" s="353"/>
      <c r="B68" s="35"/>
      <c r="C68" s="98" t="s">
        <v>376</v>
      </c>
      <c r="D68" s="108">
        <v>40765</v>
      </c>
      <c r="E68" s="172" t="s">
        <v>377</v>
      </c>
      <c r="F68" s="35"/>
      <c r="G68" s="35"/>
      <c r="H68" s="72" t="s">
        <v>55</v>
      </c>
      <c r="I68" s="177" t="s">
        <v>370</v>
      </c>
      <c r="J68" s="35"/>
      <c r="K68" s="35"/>
    </row>
    <row r="69" spans="1:14" ht="16.5">
      <c r="A69" s="353"/>
      <c r="E69" s="33" t="s">
        <v>378</v>
      </c>
      <c r="F69" s="34"/>
      <c r="G69" s="34"/>
      <c r="H69" s="72" t="s">
        <v>55</v>
      </c>
      <c r="I69" s="176" t="s">
        <v>370</v>
      </c>
      <c r="J69" s="34"/>
      <c r="K69" s="34"/>
    </row>
    <row r="70" spans="1:14" ht="16.5">
      <c r="A70" s="353"/>
      <c r="B70" s="35"/>
      <c r="C70" s="35"/>
      <c r="D70" s="35"/>
      <c r="E70" s="83"/>
      <c r="F70" s="35"/>
      <c r="G70" s="35"/>
      <c r="H70" s="72" t="s">
        <v>55</v>
      </c>
      <c r="I70" s="177" t="s">
        <v>370</v>
      </c>
      <c r="J70" s="35"/>
      <c r="K70" s="35"/>
    </row>
    <row r="71" spans="1:14" ht="16.5">
      <c r="A71" s="353"/>
      <c r="F71" s="34"/>
      <c r="G71" s="34"/>
      <c r="H71" s="72" t="s">
        <v>55</v>
      </c>
      <c r="I71" s="176" t="s">
        <v>370</v>
      </c>
      <c r="J71" s="34"/>
      <c r="K71" s="34"/>
    </row>
    <row r="72" spans="1:14" ht="16.5">
      <c r="A72" s="353"/>
      <c r="B72" s="35"/>
      <c r="C72" s="35"/>
      <c r="D72" s="35"/>
      <c r="E72" s="83"/>
      <c r="F72" s="35"/>
      <c r="G72" s="35"/>
      <c r="H72" s="72" t="s">
        <v>55</v>
      </c>
      <c r="I72" s="177" t="s">
        <v>370</v>
      </c>
      <c r="J72" s="35"/>
      <c r="K72" s="35"/>
    </row>
    <row r="73" spans="1:14" ht="43.5">
      <c r="A73" s="353"/>
      <c r="B73" s="55" t="s">
        <v>379</v>
      </c>
      <c r="C73" s="43" t="s">
        <v>380</v>
      </c>
      <c r="D73" s="77">
        <v>2026</v>
      </c>
      <c r="E73" s="77" t="s">
        <v>239</v>
      </c>
      <c r="F73" s="78" t="s">
        <v>381</v>
      </c>
      <c r="G73" s="49" t="s">
        <v>382</v>
      </c>
      <c r="H73" s="75" t="s">
        <v>221</v>
      </c>
      <c r="I73" s="49" t="s">
        <v>383</v>
      </c>
      <c r="J73" s="42" t="s">
        <v>384</v>
      </c>
      <c r="K73" s="35" t="s">
        <v>385</v>
      </c>
    </row>
    <row r="74" spans="1:14" ht="86.25">
      <c r="A74" s="353" t="s">
        <v>386</v>
      </c>
      <c r="B74" s="131" t="s">
        <v>387</v>
      </c>
      <c r="C74" s="158" t="s">
        <v>388</v>
      </c>
      <c r="D74" s="97">
        <v>2025</v>
      </c>
      <c r="E74" s="97" t="s">
        <v>135</v>
      </c>
      <c r="F74" s="127" t="s">
        <v>389</v>
      </c>
      <c r="G74" s="106" t="s">
        <v>390</v>
      </c>
      <c r="H74" s="105" t="s">
        <v>221</v>
      </c>
      <c r="I74" s="106" t="s">
        <v>391</v>
      </c>
      <c r="J74" s="130" t="s">
        <v>392</v>
      </c>
      <c r="K74" s="130" t="s">
        <v>393</v>
      </c>
    </row>
    <row r="75" spans="1:14" ht="72">
      <c r="A75" s="353"/>
      <c r="B75" s="128" t="s">
        <v>394</v>
      </c>
      <c r="C75" s="139" t="s">
        <v>395</v>
      </c>
      <c r="D75" s="77">
        <v>2024</v>
      </c>
      <c r="E75" s="77" t="s">
        <v>135</v>
      </c>
      <c r="F75" s="112" t="s">
        <v>396</v>
      </c>
      <c r="G75" s="95" t="s">
        <v>397</v>
      </c>
      <c r="H75" s="105" t="s">
        <v>221</v>
      </c>
      <c r="I75" s="95" t="s">
        <v>398</v>
      </c>
      <c r="J75" s="123" t="s">
        <v>399</v>
      </c>
      <c r="K75" s="123" t="s">
        <v>400</v>
      </c>
    </row>
    <row r="76" spans="1:14" ht="86.25">
      <c r="A76" s="353"/>
      <c r="B76" s="131" t="s">
        <v>401</v>
      </c>
      <c r="C76" s="158" t="s">
        <v>402</v>
      </c>
      <c r="D76" s="97">
        <v>2023</v>
      </c>
      <c r="E76" s="97" t="s">
        <v>135</v>
      </c>
      <c r="F76" s="127" t="s">
        <v>403</v>
      </c>
      <c r="G76" s="106" t="s">
        <v>404</v>
      </c>
      <c r="H76" s="105" t="s">
        <v>183</v>
      </c>
      <c r="I76" s="106" t="s">
        <v>405</v>
      </c>
      <c r="J76" s="130" t="s">
        <v>406</v>
      </c>
      <c r="K76" s="130" t="s">
        <v>407</v>
      </c>
    </row>
    <row r="77" spans="1:14" ht="57.75">
      <c r="A77" s="353"/>
      <c r="B77" s="128" t="s">
        <v>408</v>
      </c>
      <c r="C77" s="139" t="s">
        <v>409</v>
      </c>
      <c r="D77" s="77">
        <v>2021</v>
      </c>
      <c r="E77" s="77" t="s">
        <v>239</v>
      </c>
      <c r="F77" s="112" t="s">
        <v>410</v>
      </c>
      <c r="G77" s="95" t="s">
        <v>411</v>
      </c>
      <c r="H77" s="105" t="s">
        <v>221</v>
      </c>
      <c r="I77" s="95" t="s">
        <v>412</v>
      </c>
      <c r="J77" s="123" t="s">
        <v>413</v>
      </c>
      <c r="K77" s="123" t="s">
        <v>414</v>
      </c>
      <c r="N77" s="25"/>
    </row>
    <row r="78" spans="1:14" ht="57.75">
      <c r="A78" s="353"/>
      <c r="B78" s="131" t="s">
        <v>415</v>
      </c>
      <c r="C78" s="158" t="s">
        <v>416</v>
      </c>
      <c r="D78" s="97">
        <v>2026</v>
      </c>
      <c r="E78" s="97" t="s">
        <v>135</v>
      </c>
      <c r="F78" s="127" t="s">
        <v>417</v>
      </c>
      <c r="G78" s="106" t="s">
        <v>418</v>
      </c>
      <c r="H78" s="105" t="s">
        <v>221</v>
      </c>
      <c r="I78" s="106" t="s">
        <v>419</v>
      </c>
      <c r="J78" s="130"/>
      <c r="K78" s="130"/>
    </row>
    <row r="79" spans="1:14" ht="60.75" customHeight="1">
      <c r="A79" s="353"/>
      <c r="B79" s="128" t="s">
        <v>420</v>
      </c>
      <c r="C79" s="139" t="s">
        <v>421</v>
      </c>
      <c r="D79" s="77">
        <v>2026</v>
      </c>
      <c r="E79" s="77" t="s">
        <v>135</v>
      </c>
      <c r="F79" s="112" t="s">
        <v>422</v>
      </c>
      <c r="G79" s="95" t="s">
        <v>423</v>
      </c>
      <c r="H79" s="104" t="s">
        <v>424</v>
      </c>
      <c r="I79" s="95"/>
      <c r="J79" s="123"/>
      <c r="K79" s="123"/>
    </row>
    <row r="80" spans="1:14" ht="60.75" customHeight="1">
      <c r="A80" s="353"/>
      <c r="B80" s="131" t="s">
        <v>425</v>
      </c>
      <c r="C80" s="158" t="s">
        <v>426</v>
      </c>
      <c r="D80" s="97">
        <v>2026</v>
      </c>
      <c r="E80" s="97" t="s">
        <v>135</v>
      </c>
      <c r="F80" s="127" t="s">
        <v>427</v>
      </c>
      <c r="G80" s="106" t="s">
        <v>428</v>
      </c>
      <c r="H80" s="105" t="s">
        <v>221</v>
      </c>
      <c r="I80" s="106" t="s">
        <v>429</v>
      </c>
      <c r="J80" s="130"/>
      <c r="K80" s="130"/>
    </row>
    <row r="81" spans="1:11" ht="43.5">
      <c r="A81" s="353"/>
      <c r="B81" s="128" t="s">
        <v>430</v>
      </c>
      <c r="C81" s="139" t="s">
        <v>431</v>
      </c>
      <c r="D81" s="77">
        <v>2026</v>
      </c>
      <c r="E81" s="77" t="s">
        <v>135</v>
      </c>
      <c r="F81" s="112" t="s">
        <v>432</v>
      </c>
      <c r="G81" s="95" t="s">
        <v>433</v>
      </c>
      <c r="H81" s="105" t="s">
        <v>21</v>
      </c>
      <c r="I81" s="95" t="s">
        <v>434</v>
      </c>
      <c r="J81" s="123"/>
      <c r="K81" s="123"/>
    </row>
    <row r="82" spans="1:11" ht="57.75">
      <c r="A82" s="353"/>
      <c r="B82" s="139" t="s">
        <v>435</v>
      </c>
      <c r="C82" s="77" t="s">
        <v>436</v>
      </c>
      <c r="D82" s="77">
        <v>2021</v>
      </c>
      <c r="E82" s="77" t="s">
        <v>135</v>
      </c>
      <c r="F82" s="112" t="s">
        <v>437</v>
      </c>
      <c r="G82" s="159" t="s">
        <v>438</v>
      </c>
      <c r="H82" s="104" t="s">
        <v>424</v>
      </c>
      <c r="I82" s="248" t="s">
        <v>439</v>
      </c>
      <c r="J82" s="130"/>
      <c r="K82" s="130"/>
    </row>
    <row r="83" spans="1:11" ht="43.5">
      <c r="A83" s="353"/>
      <c r="B83" s="123" t="s">
        <v>440</v>
      </c>
      <c r="C83" s="131" t="s">
        <v>441</v>
      </c>
      <c r="D83" s="123">
        <v>2015</v>
      </c>
      <c r="E83" s="123" t="s">
        <v>18</v>
      </c>
      <c r="F83" s="127" t="s">
        <v>442</v>
      </c>
      <c r="G83" s="123" t="s">
        <v>443</v>
      </c>
      <c r="H83" s="105" t="s">
        <v>221</v>
      </c>
      <c r="I83" s="131" t="s">
        <v>444</v>
      </c>
      <c r="J83" s="123" t="s">
        <v>445</v>
      </c>
      <c r="K83" s="123" t="s">
        <v>446</v>
      </c>
    </row>
    <row r="84" spans="1:11" ht="15" customHeight="1">
      <c r="A84" s="353"/>
      <c r="B84" s="249"/>
      <c r="C84" s="249"/>
      <c r="D84" s="249"/>
      <c r="E84" s="249"/>
      <c r="F84" s="124"/>
      <c r="G84" s="124"/>
      <c r="H84" s="105"/>
      <c r="I84" s="124"/>
      <c r="J84" s="124"/>
      <c r="K84" s="124"/>
    </row>
    <row r="85" spans="1:11" ht="45.75">
      <c r="A85" s="250"/>
      <c r="B85" s="162" t="s">
        <v>447</v>
      </c>
      <c r="C85" s="139" t="s">
        <v>448</v>
      </c>
      <c r="D85" s="155">
        <v>2021</v>
      </c>
      <c r="E85" s="77" t="s">
        <v>135</v>
      </c>
      <c r="F85" s="163" t="s">
        <v>449</v>
      </c>
      <c r="G85" s="77" t="s">
        <v>450</v>
      </c>
      <c r="H85" s="105" t="s">
        <v>21</v>
      </c>
      <c r="I85" s="106" t="s">
        <v>451</v>
      </c>
      <c r="J85" s="167" t="s">
        <v>452</v>
      </c>
      <c r="K85" s="168" t="s">
        <v>453</v>
      </c>
    </row>
    <row r="86" spans="1:11" ht="15.75">
      <c r="A86" s="353" t="s">
        <v>454</v>
      </c>
      <c r="B86" s="127" t="s">
        <v>455</v>
      </c>
      <c r="C86" s="123" t="s">
        <v>456</v>
      </c>
      <c r="D86" s="123">
        <v>2024</v>
      </c>
      <c r="E86" s="123" t="s">
        <v>135</v>
      </c>
      <c r="F86" s="166" t="s">
        <v>457</v>
      </c>
      <c r="G86" s="123" t="s">
        <v>458</v>
      </c>
      <c r="H86" s="75" t="s">
        <v>153</v>
      </c>
      <c r="I86" s="97" t="s">
        <v>459</v>
      </c>
      <c r="J86" s="97" t="s">
        <v>460</v>
      </c>
      <c r="K86" s="136" t="s">
        <v>461</v>
      </c>
    </row>
    <row r="87" spans="1:11" ht="43.5">
      <c r="A87" s="353"/>
      <c r="B87" s="77" t="s">
        <v>462</v>
      </c>
      <c r="C87" s="139" t="s">
        <v>463</v>
      </c>
      <c r="D87" s="77">
        <v>2026</v>
      </c>
      <c r="E87" s="77" t="s">
        <v>135</v>
      </c>
      <c r="F87" s="112" t="s">
        <v>464</v>
      </c>
      <c r="G87" s="130" t="s">
        <v>465</v>
      </c>
      <c r="H87" s="105" t="s">
        <v>153</v>
      </c>
      <c r="I87" s="164" t="s">
        <v>466</v>
      </c>
      <c r="J87" s="165" t="s">
        <v>467</v>
      </c>
      <c r="K87" s="165" t="s">
        <v>468</v>
      </c>
    </row>
    <row r="88" spans="1:11" ht="43.5">
      <c r="A88" s="353"/>
      <c r="B88" s="123" t="s">
        <v>469</v>
      </c>
      <c r="C88" s="158" t="s">
        <v>470</v>
      </c>
      <c r="D88" s="97">
        <v>2023</v>
      </c>
      <c r="E88" s="97" t="s">
        <v>135</v>
      </c>
      <c r="F88" s="127" t="s">
        <v>471</v>
      </c>
      <c r="G88" s="97" t="s">
        <v>472</v>
      </c>
      <c r="H88" s="105" t="s">
        <v>153</v>
      </c>
      <c r="I88" s="97" t="s">
        <v>473</v>
      </c>
      <c r="J88" s="97" t="s">
        <v>474</v>
      </c>
      <c r="K88" s="97" t="s">
        <v>475</v>
      </c>
    </row>
    <row r="89" spans="1:11" ht="45.75">
      <c r="A89" s="353"/>
      <c r="B89" s="77" t="s">
        <v>476</v>
      </c>
      <c r="C89" s="139" t="s">
        <v>477</v>
      </c>
      <c r="D89" s="77">
        <v>2026</v>
      </c>
      <c r="E89" s="77" t="s">
        <v>150</v>
      </c>
      <c r="F89" s="112" t="s">
        <v>478</v>
      </c>
      <c r="G89" s="130" t="s">
        <v>479</v>
      </c>
      <c r="H89" s="105" t="s">
        <v>153</v>
      </c>
      <c r="I89" s="164" t="s">
        <v>480</v>
      </c>
      <c r="J89" s="165" t="s">
        <v>481</v>
      </c>
      <c r="K89" s="165" t="s">
        <v>482</v>
      </c>
    </row>
    <row r="90" spans="1:11" ht="16.5">
      <c r="A90" s="353"/>
      <c r="B90" s="35" t="s">
        <v>483</v>
      </c>
      <c r="C90" s="35"/>
      <c r="D90" s="35"/>
      <c r="E90" s="83"/>
      <c r="F90" s="35"/>
      <c r="G90" s="35"/>
      <c r="H90" s="72" t="s">
        <v>55</v>
      </c>
      <c r="I90" s="35"/>
      <c r="J90" s="35"/>
      <c r="K90" s="35"/>
    </row>
    <row r="91" spans="1:11" ht="16.5">
      <c r="A91" s="353"/>
      <c r="B91" t="s">
        <v>483</v>
      </c>
      <c r="F91" s="34"/>
      <c r="G91" s="34"/>
      <c r="H91" s="72" t="s">
        <v>55</v>
      </c>
      <c r="I91" s="34"/>
      <c r="J91" s="34"/>
      <c r="K91" s="34"/>
    </row>
    <row r="92" spans="1:11" ht="16.5">
      <c r="A92" s="353"/>
      <c r="B92" s="35" t="s">
        <v>483</v>
      </c>
      <c r="C92" s="35"/>
      <c r="D92" s="35"/>
      <c r="E92" s="83"/>
      <c r="F92" s="35"/>
      <c r="G92" s="35"/>
      <c r="H92" s="72" t="s">
        <v>55</v>
      </c>
      <c r="I92" s="35"/>
      <c r="J92" s="35"/>
      <c r="K92" s="35"/>
    </row>
    <row r="93" spans="1:11" ht="16.5">
      <c r="A93" s="353"/>
      <c r="B93" t="s">
        <v>483</v>
      </c>
      <c r="F93" s="34"/>
      <c r="G93" s="34"/>
      <c r="H93" s="72" t="s">
        <v>55</v>
      </c>
      <c r="I93" s="34"/>
      <c r="J93" s="34"/>
      <c r="K93" s="34"/>
    </row>
    <row r="94" spans="1:11" ht="16.5">
      <c r="A94" s="353"/>
      <c r="B94" s="35" t="s">
        <v>483</v>
      </c>
      <c r="C94" s="35"/>
      <c r="D94" s="35"/>
      <c r="E94" s="83"/>
      <c r="F94" s="35"/>
      <c r="G94" s="35"/>
      <c r="H94" s="72" t="s">
        <v>55</v>
      </c>
      <c r="I94" s="35"/>
      <c r="J94" s="35"/>
      <c r="K94" s="35"/>
    </row>
    <row r="95" spans="1:11" ht="16.5">
      <c r="A95" s="353"/>
      <c r="B95" t="s">
        <v>483</v>
      </c>
      <c r="F95" s="34"/>
      <c r="G95" s="34"/>
      <c r="H95" s="72" t="s">
        <v>55</v>
      </c>
      <c r="I95" s="34"/>
      <c r="J95" s="34"/>
      <c r="K95" s="34"/>
    </row>
    <row r="96" spans="1:11" ht="16.5">
      <c r="A96" s="353"/>
      <c r="B96" s="35" t="s">
        <v>483</v>
      </c>
      <c r="C96" s="35"/>
      <c r="D96" s="35"/>
      <c r="E96" s="83"/>
      <c r="F96" s="35"/>
      <c r="G96" s="35"/>
      <c r="H96" s="72" t="s">
        <v>55</v>
      </c>
      <c r="I96" s="35"/>
      <c r="J96" s="35"/>
      <c r="K96" s="35"/>
    </row>
    <row r="97" spans="1:11" ht="19.5" customHeight="1">
      <c r="A97" s="358"/>
      <c r="B97" t="s">
        <v>483</v>
      </c>
      <c r="F97" s="34"/>
      <c r="G97" s="34"/>
      <c r="H97" s="72" t="s">
        <v>282</v>
      </c>
      <c r="I97" s="34"/>
      <c r="J97" s="34"/>
      <c r="K97" s="34"/>
    </row>
    <row r="98" spans="1:11" ht="115.5">
      <c r="A98" s="359" t="s">
        <v>484</v>
      </c>
      <c r="B98" s="151" t="s">
        <v>485</v>
      </c>
      <c r="C98" s="152" t="s">
        <v>486</v>
      </c>
      <c r="D98" s="136">
        <v>2026</v>
      </c>
      <c r="E98" s="136" t="s">
        <v>150</v>
      </c>
      <c r="F98" s="127" t="s">
        <v>487</v>
      </c>
      <c r="G98" s="135" t="s">
        <v>488</v>
      </c>
      <c r="H98" s="153" t="s">
        <v>153</v>
      </c>
      <c r="I98" s="251" t="s">
        <v>489</v>
      </c>
      <c r="J98" s="152" t="s">
        <v>490</v>
      </c>
      <c r="K98" s="106" t="s">
        <v>491</v>
      </c>
    </row>
    <row r="99" spans="1:11" ht="57.75">
      <c r="A99" s="353"/>
      <c r="B99" s="128" t="s">
        <v>485</v>
      </c>
      <c r="C99" s="139" t="s">
        <v>492</v>
      </c>
      <c r="D99" s="77">
        <v>2025</v>
      </c>
      <c r="E99" s="77" t="s">
        <v>150</v>
      </c>
      <c r="F99" s="112" t="s">
        <v>487</v>
      </c>
      <c r="G99" s="252" t="s">
        <v>493</v>
      </c>
      <c r="H99" s="105" t="s">
        <v>153</v>
      </c>
      <c r="I99" s="110" t="s">
        <v>494</v>
      </c>
      <c r="J99" s="110" t="s">
        <v>495</v>
      </c>
      <c r="K99" s="110" t="s">
        <v>496</v>
      </c>
    </row>
    <row r="100" spans="1:11" ht="76.5">
      <c r="A100" s="353"/>
      <c r="B100" s="151" t="s">
        <v>497</v>
      </c>
      <c r="C100" s="152" t="s">
        <v>498</v>
      </c>
      <c r="D100" s="104">
        <v>2008</v>
      </c>
      <c r="E100" s="136" t="s">
        <v>18</v>
      </c>
      <c r="F100" s="127" t="s">
        <v>499</v>
      </c>
      <c r="G100" s="121" t="s">
        <v>500</v>
      </c>
      <c r="H100" s="105" t="s">
        <v>153</v>
      </c>
      <c r="I100" s="251" t="s">
        <v>501</v>
      </c>
      <c r="J100" s="152" t="s">
        <v>502</v>
      </c>
      <c r="K100" s="106" t="s">
        <v>503</v>
      </c>
    </row>
    <row r="101" spans="1:11" ht="91.5">
      <c r="A101" s="353"/>
      <c r="B101" s="128" t="s">
        <v>504</v>
      </c>
      <c r="C101" s="77" t="s">
        <v>505</v>
      </c>
      <c r="D101" s="77">
        <v>2020</v>
      </c>
      <c r="E101" s="77" t="s">
        <v>150</v>
      </c>
      <c r="F101" s="112" t="s">
        <v>506</v>
      </c>
      <c r="G101" s="156" t="s">
        <v>507</v>
      </c>
      <c r="H101" s="197" t="s">
        <v>153</v>
      </c>
      <c r="I101" s="110" t="s">
        <v>508</v>
      </c>
      <c r="J101" s="34" t="s">
        <v>656</v>
      </c>
      <c r="K101" s="34" t="s">
        <v>657</v>
      </c>
    </row>
    <row r="102" spans="1:11" ht="45.75">
      <c r="A102" s="353"/>
      <c r="B102" s="35" t="s">
        <v>658</v>
      </c>
      <c r="C102" s="225" t="s">
        <v>659</v>
      </c>
      <c r="D102" s="35">
        <v>2020</v>
      </c>
      <c r="E102" s="275" t="s">
        <v>198</v>
      </c>
      <c r="F102" s="47" t="s">
        <v>660</v>
      </c>
      <c r="G102" s="121" t="s">
        <v>661</v>
      </c>
      <c r="H102" s="276" t="s">
        <v>153</v>
      </c>
      <c r="I102" s="35" t="s">
        <v>662</v>
      </c>
      <c r="J102" s="35" t="s">
        <v>663</v>
      </c>
      <c r="K102" s="35" t="s">
        <v>664</v>
      </c>
    </row>
    <row r="103" spans="1:11" ht="16.5">
      <c r="A103" s="353"/>
      <c r="B103" t="s">
        <v>665</v>
      </c>
      <c r="C103" t="s">
        <v>666</v>
      </c>
      <c r="D103">
        <v>2021</v>
      </c>
      <c r="E103" s="33" t="s">
        <v>198</v>
      </c>
      <c r="F103" s="45" t="s">
        <v>667</v>
      </c>
      <c r="G103" s="34" t="s">
        <v>668</v>
      </c>
      <c r="H103" s="72" t="s">
        <v>153</v>
      </c>
      <c r="I103" s="34" t="s">
        <v>669</v>
      </c>
      <c r="J103" s="34" t="s">
        <v>670</v>
      </c>
      <c r="K103" s="34" t="s">
        <v>671</v>
      </c>
    </row>
    <row r="104" spans="1:11" ht="16.5">
      <c r="A104" s="353"/>
      <c r="B104" s="35" t="s">
        <v>672</v>
      </c>
      <c r="C104" s="35" t="s">
        <v>673</v>
      </c>
      <c r="D104" s="35">
        <v>2021</v>
      </c>
      <c r="E104" s="83" t="s">
        <v>198</v>
      </c>
      <c r="F104" s="47" t="s">
        <v>674</v>
      </c>
      <c r="G104" s="35" t="s">
        <v>675</v>
      </c>
      <c r="H104" s="72" t="s">
        <v>153</v>
      </c>
      <c r="I104" s="35" t="s">
        <v>676</v>
      </c>
      <c r="J104" s="35" t="s">
        <v>677</v>
      </c>
      <c r="K104" s="35" t="s">
        <v>678</v>
      </c>
    </row>
    <row r="105" spans="1:11" ht="16.5">
      <c r="A105" s="353"/>
      <c r="B105" t="s">
        <v>679</v>
      </c>
      <c r="C105" t="s">
        <v>680</v>
      </c>
      <c r="D105">
        <v>2022</v>
      </c>
      <c r="E105" s="33" t="s">
        <v>198</v>
      </c>
      <c r="F105" s="45" t="s">
        <v>681</v>
      </c>
      <c r="G105" s="34" t="s">
        <v>682</v>
      </c>
      <c r="H105" s="72" t="s">
        <v>153</v>
      </c>
      <c r="I105" s="34" t="s">
        <v>683</v>
      </c>
      <c r="J105" s="34" t="s">
        <v>684</v>
      </c>
      <c r="K105" s="34" t="s">
        <v>685</v>
      </c>
    </row>
    <row r="106" spans="1:11" ht="16.5">
      <c r="A106" s="353"/>
      <c r="B106" s="35" t="s">
        <v>686</v>
      </c>
      <c r="C106" s="35" t="s">
        <v>687</v>
      </c>
      <c r="D106" s="35">
        <v>2023</v>
      </c>
      <c r="E106" s="83" t="s">
        <v>198</v>
      </c>
      <c r="F106" s="47" t="s">
        <v>688</v>
      </c>
      <c r="G106" s="35" t="s">
        <v>689</v>
      </c>
      <c r="H106" s="72" t="s">
        <v>153</v>
      </c>
      <c r="I106" s="35" t="s">
        <v>690</v>
      </c>
      <c r="J106" s="35" t="s">
        <v>691</v>
      </c>
      <c r="K106" s="35" t="s">
        <v>692</v>
      </c>
    </row>
    <row r="107" spans="1:11" ht="16.5">
      <c r="A107" s="353"/>
      <c r="B107" t="s">
        <v>693</v>
      </c>
      <c r="C107" t="s">
        <v>694</v>
      </c>
      <c r="D107">
        <v>2024</v>
      </c>
      <c r="E107" s="33" t="s">
        <v>198</v>
      </c>
      <c r="F107" s="45" t="s">
        <v>695</v>
      </c>
      <c r="G107" s="34" t="s">
        <v>696</v>
      </c>
      <c r="H107" s="72" t="s">
        <v>153</v>
      </c>
      <c r="I107" s="34" t="s">
        <v>697</v>
      </c>
      <c r="J107" s="34" t="s">
        <v>698</v>
      </c>
      <c r="K107" s="34" t="s">
        <v>699</v>
      </c>
    </row>
    <row r="108" spans="1:11" ht="16.5">
      <c r="A108" s="353"/>
      <c r="B108" s="35" t="s">
        <v>700</v>
      </c>
      <c r="C108" s="35" t="s">
        <v>701</v>
      </c>
      <c r="D108" s="35">
        <v>2024</v>
      </c>
      <c r="E108" s="83" t="s">
        <v>198</v>
      </c>
      <c r="F108" s="47" t="s">
        <v>702</v>
      </c>
      <c r="G108" s="35" t="s">
        <v>703</v>
      </c>
      <c r="H108" s="72" t="s">
        <v>153</v>
      </c>
      <c r="I108" s="35" t="s">
        <v>704</v>
      </c>
      <c r="J108" s="35" t="s">
        <v>705</v>
      </c>
      <c r="K108" s="35" t="s">
        <v>706</v>
      </c>
    </row>
    <row r="109" spans="1:11" ht="16.5">
      <c r="A109" s="353"/>
      <c r="B109" s="41" t="s">
        <v>707</v>
      </c>
      <c r="C109" s="40" t="s">
        <v>708</v>
      </c>
      <c r="D109" s="44">
        <v>2025</v>
      </c>
      <c r="E109" s="33" t="s">
        <v>198</v>
      </c>
      <c r="F109" s="45" t="s">
        <v>709</v>
      </c>
      <c r="G109" s="34" t="s">
        <v>710</v>
      </c>
      <c r="H109" s="72" t="s">
        <v>153</v>
      </c>
      <c r="I109" s="74" t="s">
        <v>711</v>
      </c>
      <c r="J109" s="34"/>
      <c r="K109" s="34" t="s">
        <v>712</v>
      </c>
    </row>
    <row r="110" spans="1:11" ht="115.5">
      <c r="A110" s="353" t="s">
        <v>509</v>
      </c>
      <c r="B110" s="47" t="s">
        <v>510</v>
      </c>
      <c r="C110" s="227" t="s">
        <v>511</v>
      </c>
      <c r="D110" s="76" t="s">
        <v>512</v>
      </c>
      <c r="E110" s="83" t="s">
        <v>150</v>
      </c>
      <c r="F110" s="230" t="s">
        <v>513</v>
      </c>
      <c r="G110" s="98" t="s">
        <v>514</v>
      </c>
      <c r="H110" s="72" t="s">
        <v>21</v>
      </c>
      <c r="I110" s="227" t="s">
        <v>515</v>
      </c>
      <c r="J110" s="229" t="s">
        <v>516</v>
      </c>
      <c r="K110" s="217" t="s">
        <v>517</v>
      </c>
    </row>
    <row r="111" spans="1:11" ht="16.5">
      <c r="A111" s="353"/>
      <c r="B111" s="41" t="s">
        <v>518</v>
      </c>
      <c r="C111" t="s">
        <v>519</v>
      </c>
      <c r="D111" s="44">
        <v>45886</v>
      </c>
      <c r="E111" s="33" t="s">
        <v>150</v>
      </c>
      <c r="F111" s="223" t="s">
        <v>520</v>
      </c>
      <c r="G111" s="228" t="s">
        <v>521</v>
      </c>
      <c r="H111" s="72" t="s">
        <v>21</v>
      </c>
      <c r="I111" s="228" t="s">
        <v>522</v>
      </c>
      <c r="J111" s="218"/>
      <c r="K111" s="218" t="s">
        <v>523</v>
      </c>
    </row>
    <row r="112" spans="1:11" ht="57.75">
      <c r="A112" s="353"/>
      <c r="B112" s="47" t="s">
        <v>524</v>
      </c>
      <c r="C112" s="35" t="s">
        <v>525</v>
      </c>
      <c r="D112" s="35" t="s">
        <v>526</v>
      </c>
      <c r="E112" s="83" t="s">
        <v>150</v>
      </c>
      <c r="F112" s="222" t="s">
        <v>527</v>
      </c>
      <c r="G112" s="227" t="s">
        <v>528</v>
      </c>
      <c r="H112" s="72" t="s">
        <v>370</v>
      </c>
      <c r="I112" s="217"/>
      <c r="J112" s="98" t="s">
        <v>529</v>
      </c>
      <c r="K112" s="219" t="s">
        <v>530</v>
      </c>
    </row>
    <row r="113" spans="1:11" ht="101.25">
      <c r="A113" s="353"/>
      <c r="B113" s="41" t="s">
        <v>531</v>
      </c>
      <c r="C113" t="s">
        <v>532</v>
      </c>
      <c r="D113" t="s">
        <v>533</v>
      </c>
      <c r="E113" s="33" t="s">
        <v>150</v>
      </c>
      <c r="F113" s="223" t="s">
        <v>534</v>
      </c>
      <c r="G113" s="226" t="s">
        <v>535</v>
      </c>
      <c r="H113" s="72" t="s">
        <v>21</v>
      </c>
      <c r="I113" s="226" t="s">
        <v>536</v>
      </c>
      <c r="J113" s="228" t="s">
        <v>537</v>
      </c>
      <c r="K113" s="220" t="s">
        <v>538</v>
      </c>
    </row>
    <row r="114" spans="1:11" ht="16.5">
      <c r="A114" s="353"/>
      <c r="B114" s="41" t="s">
        <v>539</v>
      </c>
      <c r="C114" s="35" t="s">
        <v>540</v>
      </c>
      <c r="D114" s="76">
        <v>45988</v>
      </c>
      <c r="E114" s="83" t="s">
        <v>150</v>
      </c>
      <c r="F114" s="222" t="s">
        <v>541</v>
      </c>
      <c r="G114" t="s">
        <v>542</v>
      </c>
      <c r="H114" s="72" t="s">
        <v>21</v>
      </c>
      <c r="I114" s="227" t="s">
        <v>543</v>
      </c>
      <c r="J114" t="s">
        <v>544</v>
      </c>
      <c r="K114" s="225" t="s">
        <v>545</v>
      </c>
    </row>
    <row r="115" spans="1:11" ht="152.25">
      <c r="A115" s="353"/>
      <c r="B115" s="253" t="s">
        <v>546</v>
      </c>
      <c r="C115" t="s">
        <v>547</v>
      </c>
      <c r="D115" s="44">
        <v>46006</v>
      </c>
      <c r="E115" s="33" t="s">
        <v>150</v>
      </c>
      <c r="F115" s="45" t="s">
        <v>548</v>
      </c>
      <c r="G115" s="156" t="s">
        <v>549</v>
      </c>
      <c r="H115" s="72" t="s">
        <v>21</v>
      </c>
      <c r="I115" s="224" t="s">
        <v>550</v>
      </c>
      <c r="J115" s="224" t="s">
        <v>551</v>
      </c>
      <c r="K115" s="156" t="s">
        <v>552</v>
      </c>
    </row>
    <row r="116" spans="1:11" ht="16.5">
      <c r="A116" s="353"/>
      <c r="B116" s="47" t="s">
        <v>539</v>
      </c>
      <c r="C116" s="35" t="s">
        <v>540</v>
      </c>
      <c r="D116" s="35"/>
      <c r="E116" s="83"/>
      <c r="F116" s="35"/>
      <c r="G116" s="35"/>
      <c r="H116" s="72" t="s">
        <v>282</v>
      </c>
      <c r="I116" s="35" t="s">
        <v>553</v>
      </c>
      <c r="J116" s="35"/>
      <c r="K116" s="35"/>
    </row>
    <row r="117" spans="1:11" ht="16.5">
      <c r="A117" s="353"/>
      <c r="B117" s="41" t="s">
        <v>554</v>
      </c>
      <c r="C117" t="s">
        <v>555</v>
      </c>
      <c r="D117" t="s">
        <v>556</v>
      </c>
      <c r="E117" s="33" t="s">
        <v>150</v>
      </c>
      <c r="F117" s="45" t="s">
        <v>557</v>
      </c>
      <c r="G117" s="254" t="s">
        <v>558</v>
      </c>
      <c r="H117" s="72" t="s">
        <v>21</v>
      </c>
      <c r="I117" s="224" t="s">
        <v>559</v>
      </c>
      <c r="J117" t="s">
        <v>560</v>
      </c>
      <c r="K117" s="224" t="s">
        <v>561</v>
      </c>
    </row>
    <row r="118" spans="1:11" ht="15.75">
      <c r="A118" s="353"/>
      <c r="B118" s="47" t="s">
        <v>562</v>
      </c>
      <c r="C118" s="225" t="s">
        <v>563</v>
      </c>
      <c r="D118" s="35" t="s">
        <v>564</v>
      </c>
      <c r="E118" s="83" t="s">
        <v>150</v>
      </c>
      <c r="F118" s="41" t="s">
        <v>565</v>
      </c>
      <c r="G118" s="35"/>
      <c r="H118" s="72"/>
      <c r="I118" s="35"/>
      <c r="J118" s="35"/>
      <c r="K118" s="35"/>
    </row>
    <row r="119" spans="1:11" ht="16.5">
      <c r="A119" s="353"/>
      <c r="B119" t="s">
        <v>483</v>
      </c>
      <c r="F119" s="35"/>
      <c r="G119" s="34"/>
      <c r="H119" s="72" t="s">
        <v>282</v>
      </c>
      <c r="I119" s="34"/>
      <c r="J119" s="34"/>
      <c r="K119" s="34"/>
    </row>
    <row r="120" spans="1:11" ht="28.5">
      <c r="A120" s="353"/>
      <c r="B120" s="47" t="s">
        <v>566</v>
      </c>
      <c r="C120" s="42" t="s">
        <v>567</v>
      </c>
      <c r="D120" s="76">
        <v>45924</v>
      </c>
      <c r="E120" s="83" t="s">
        <v>135</v>
      </c>
      <c r="F120" s="47" t="s">
        <v>568</v>
      </c>
      <c r="G120" s="35"/>
      <c r="H120" s="75" t="s">
        <v>282</v>
      </c>
      <c r="I120" s="35" t="s">
        <v>569</v>
      </c>
      <c r="J120" s="35"/>
      <c r="K120" s="35"/>
    </row>
    <row r="121" spans="1:11" ht="45.75">
      <c r="A121" s="353"/>
      <c r="B121" t="s">
        <v>570</v>
      </c>
      <c r="C121" s="40" t="s">
        <v>571</v>
      </c>
      <c r="F121" s="34"/>
      <c r="G121" s="34"/>
      <c r="H121" s="75" t="s">
        <v>21</v>
      </c>
      <c r="I121" s="34"/>
      <c r="J121" s="34"/>
      <c r="K121" s="34"/>
    </row>
    <row r="122" spans="1:11" ht="16.5">
      <c r="A122" s="353" t="s">
        <v>572</v>
      </c>
      <c r="B122" s="35" t="s">
        <v>483</v>
      </c>
      <c r="C122" s="35"/>
      <c r="D122" s="35"/>
      <c r="E122" s="83"/>
      <c r="F122" s="35"/>
      <c r="G122" s="35"/>
      <c r="H122" s="72" t="s">
        <v>282</v>
      </c>
      <c r="I122" s="35" t="s">
        <v>370</v>
      </c>
      <c r="J122" s="35"/>
      <c r="K122" s="35"/>
    </row>
    <row r="123" spans="1:11" ht="16.5">
      <c r="A123" s="353"/>
      <c r="B123" t="s">
        <v>483</v>
      </c>
      <c r="F123" s="34"/>
      <c r="G123" s="34"/>
      <c r="H123" s="72" t="s">
        <v>282</v>
      </c>
      <c r="I123" s="34" t="s">
        <v>370</v>
      </c>
      <c r="J123" s="34"/>
      <c r="K123" s="34"/>
    </row>
    <row r="124" spans="1:11" ht="16.5">
      <c r="A124" s="353"/>
      <c r="B124" s="35" t="s">
        <v>483</v>
      </c>
      <c r="C124" s="35"/>
      <c r="D124" s="35"/>
      <c r="E124" s="83"/>
      <c r="F124" s="35"/>
      <c r="G124" s="35"/>
      <c r="H124" s="72" t="s">
        <v>282</v>
      </c>
      <c r="I124" s="35" t="s">
        <v>370</v>
      </c>
      <c r="J124" s="35"/>
      <c r="K124" s="35"/>
    </row>
    <row r="125" spans="1:11" ht="16.5">
      <c r="A125" s="353"/>
      <c r="B125" t="s">
        <v>483</v>
      </c>
      <c r="F125" s="34"/>
      <c r="G125" s="34"/>
      <c r="H125" s="72" t="s">
        <v>282</v>
      </c>
      <c r="I125" s="34" t="s">
        <v>370</v>
      </c>
      <c r="J125" s="34"/>
      <c r="K125" s="34"/>
    </row>
    <row r="126" spans="1:11" ht="16.5">
      <c r="A126" s="353"/>
      <c r="B126" s="35" t="s">
        <v>483</v>
      </c>
      <c r="C126" s="35"/>
      <c r="D126" s="35"/>
      <c r="E126" s="83"/>
      <c r="F126" s="35"/>
      <c r="G126" s="35"/>
      <c r="H126" s="72" t="s">
        <v>282</v>
      </c>
      <c r="I126" s="35" t="s">
        <v>370</v>
      </c>
      <c r="J126" s="35"/>
      <c r="K126" s="35"/>
    </row>
    <row r="127" spans="1:11" ht="16.5">
      <c r="A127" s="353"/>
      <c r="B127" t="s">
        <v>483</v>
      </c>
      <c r="F127" s="34"/>
      <c r="G127" s="34"/>
      <c r="H127" s="72" t="s">
        <v>282</v>
      </c>
      <c r="I127" s="34" t="s">
        <v>370</v>
      </c>
      <c r="J127" s="34"/>
      <c r="K127" s="34"/>
    </row>
    <row r="128" spans="1:11" ht="57.75">
      <c r="A128" s="353"/>
      <c r="B128" s="35" t="s">
        <v>573</v>
      </c>
      <c r="C128" s="42" t="s">
        <v>650</v>
      </c>
      <c r="D128" s="35"/>
      <c r="E128" s="83"/>
      <c r="F128" s="35"/>
      <c r="G128" s="35"/>
      <c r="H128" s="75" t="s">
        <v>21</v>
      </c>
      <c r="I128" s="35"/>
      <c r="J128" s="35"/>
      <c r="K128" s="35"/>
    </row>
    <row r="129" spans="1:11" ht="30.75">
      <c r="A129" s="353"/>
      <c r="B129" t="s">
        <v>585</v>
      </c>
      <c r="C129" s="40" t="s">
        <v>586</v>
      </c>
      <c r="D129" s="107">
        <v>37967</v>
      </c>
      <c r="F129" s="34"/>
      <c r="G129" s="34"/>
      <c r="H129" s="72" t="s">
        <v>282</v>
      </c>
      <c r="I129" s="34" t="s">
        <v>587</v>
      </c>
      <c r="J129" s="34"/>
      <c r="K129" s="34"/>
    </row>
    <row r="130" spans="1:11" ht="43.5">
      <c r="A130" s="353"/>
      <c r="B130" s="35" t="s">
        <v>483</v>
      </c>
      <c r="C130" s="42" t="s">
        <v>588</v>
      </c>
      <c r="D130" s="35"/>
      <c r="E130" s="83"/>
      <c r="F130" s="35"/>
      <c r="G130" s="35"/>
      <c r="H130" s="72" t="s">
        <v>282</v>
      </c>
      <c r="I130" s="35" t="s">
        <v>587</v>
      </c>
      <c r="J130" s="35"/>
      <c r="K130" s="35"/>
    </row>
    <row r="131" spans="1:11" ht="30.75">
      <c r="A131" s="353"/>
      <c r="B131" s="41" t="s">
        <v>589</v>
      </c>
      <c r="C131" s="40" t="s">
        <v>590</v>
      </c>
      <c r="D131" s="44">
        <v>45088</v>
      </c>
      <c r="E131" s="33" t="s">
        <v>135</v>
      </c>
      <c r="F131" s="45" t="s">
        <v>591</v>
      </c>
      <c r="G131" s="34"/>
      <c r="H131" s="75" t="s">
        <v>153</v>
      </c>
      <c r="I131" s="34"/>
      <c r="J131" s="34"/>
      <c r="K131" s="34"/>
    </row>
    <row r="132" spans="1:11" ht="32.25">
      <c r="A132" s="353"/>
      <c r="B132" s="35" t="s">
        <v>594</v>
      </c>
      <c r="C132" s="72" t="s">
        <v>595</v>
      </c>
      <c r="D132" s="35" t="s">
        <v>596</v>
      </c>
      <c r="E132" s="83" t="s">
        <v>64</v>
      </c>
      <c r="F132" s="35"/>
      <c r="G132" s="35"/>
      <c r="H132" s="72" t="s">
        <v>282</v>
      </c>
      <c r="I132" s="35" t="s">
        <v>597</v>
      </c>
      <c r="J132" s="35"/>
      <c r="K132" s="35"/>
    </row>
    <row r="133" spans="1:11" ht="45.75">
      <c r="A133" s="353"/>
      <c r="B133" t="s">
        <v>598</v>
      </c>
      <c r="C133" s="40" t="s">
        <v>651</v>
      </c>
      <c r="D133" s="40" t="s">
        <v>652</v>
      </c>
      <c r="E133" s="33" t="s">
        <v>653</v>
      </c>
      <c r="F133" s="45" t="s">
        <v>601</v>
      </c>
      <c r="G133" s="34"/>
      <c r="H133" s="75" t="s">
        <v>153</v>
      </c>
      <c r="I133" s="34"/>
      <c r="J133" s="34"/>
      <c r="K133" s="34"/>
    </row>
    <row r="134" spans="1:11" ht="43.5">
      <c r="A134" s="353" t="s">
        <v>572</v>
      </c>
      <c r="B134" s="35" t="s">
        <v>654</v>
      </c>
      <c r="C134" s="42" t="s">
        <v>611</v>
      </c>
      <c r="D134" s="92">
        <v>44287</v>
      </c>
      <c r="E134" s="83" t="s">
        <v>64</v>
      </c>
      <c r="F134" s="47" t="s">
        <v>612</v>
      </c>
      <c r="G134" s="35"/>
      <c r="H134" s="75" t="s">
        <v>153</v>
      </c>
      <c r="I134" s="35"/>
      <c r="J134" s="35"/>
      <c r="K134" s="35"/>
    </row>
    <row r="135" spans="1:11" ht="30.75">
      <c r="A135" s="353"/>
      <c r="B135" s="41" t="s">
        <v>615</v>
      </c>
      <c r="C135" s="40" t="s">
        <v>616</v>
      </c>
      <c r="D135" s="44">
        <v>45800</v>
      </c>
      <c r="E135" s="33" t="s">
        <v>135</v>
      </c>
      <c r="F135" s="45" t="s">
        <v>617</v>
      </c>
      <c r="G135" s="34"/>
      <c r="H135" s="75" t="s">
        <v>153</v>
      </c>
      <c r="I135" s="34"/>
      <c r="J135" s="34"/>
      <c r="K135" s="34"/>
    </row>
    <row r="136" spans="1:11" ht="16.5">
      <c r="A136" s="353"/>
      <c r="B136" s="35" t="s">
        <v>619</v>
      </c>
      <c r="C136" s="35" t="s">
        <v>620</v>
      </c>
      <c r="D136" s="107">
        <v>40148</v>
      </c>
      <c r="E136" s="83" t="s">
        <v>621</v>
      </c>
      <c r="F136" s="47" t="s">
        <v>622</v>
      </c>
      <c r="G136" s="35"/>
      <c r="H136" s="72" t="s">
        <v>282</v>
      </c>
      <c r="I136" s="35" t="s">
        <v>587</v>
      </c>
      <c r="J136" s="35"/>
      <c r="K136" s="35"/>
    </row>
    <row r="137" spans="1:11" ht="16.5">
      <c r="A137" s="353"/>
      <c r="B137" t="s">
        <v>483</v>
      </c>
      <c r="F137" s="34"/>
      <c r="G137" s="34"/>
      <c r="H137" s="72" t="s">
        <v>282</v>
      </c>
      <c r="I137" s="34"/>
      <c r="J137" s="34"/>
      <c r="K137" s="34"/>
    </row>
    <row r="138" spans="1:11">
      <c r="A138" s="353"/>
      <c r="B138" s="35"/>
      <c r="C138" s="35"/>
      <c r="D138" s="35"/>
      <c r="E138" s="83"/>
      <c r="F138" s="35"/>
      <c r="G138" s="35"/>
      <c r="H138" s="35"/>
      <c r="I138" s="35"/>
      <c r="J138" s="35"/>
      <c r="K138" s="35"/>
    </row>
    <row r="139" spans="1:11">
      <c r="A139" s="353"/>
      <c r="F139" s="34"/>
      <c r="G139" s="34"/>
      <c r="H139" s="34"/>
      <c r="I139" s="34"/>
      <c r="J139" s="34"/>
      <c r="K139" s="34"/>
    </row>
    <row r="140" spans="1:11">
      <c r="A140" s="353"/>
      <c r="B140" s="35"/>
      <c r="C140" s="35"/>
      <c r="D140" s="35"/>
      <c r="E140" s="83"/>
      <c r="F140" s="35"/>
      <c r="G140" s="35"/>
      <c r="H140" s="35"/>
      <c r="I140" s="35"/>
      <c r="J140" s="35"/>
      <c r="K140" s="35"/>
    </row>
    <row r="141" spans="1:11">
      <c r="A141" s="353"/>
      <c r="D141" s="34"/>
      <c r="E141" s="91"/>
      <c r="F141" s="34"/>
      <c r="G141" s="28"/>
    </row>
    <row r="142" spans="1:11">
      <c r="A142" s="353"/>
    </row>
    <row r="143" spans="1:11">
      <c r="A143" s="353"/>
    </row>
    <row r="144" spans="1:11">
      <c r="A144" s="353"/>
    </row>
    <row r="145" spans="1:7">
      <c r="A145" s="353"/>
    </row>
    <row r="152" spans="1:7">
      <c r="B152" s="25" t="str">
        <f>IF(C152="","","PID-"&amp;TEXT(ROW()-2,"0000"))</f>
        <v/>
      </c>
      <c r="D152" s="25"/>
      <c r="F152" s="25"/>
      <c r="G152" s="25"/>
    </row>
    <row r="153" spans="1:7">
      <c r="B153" s="25" t="str">
        <f>IF(C153="","","PID-"&amp;TEXT(ROW()-2,"0000"))</f>
        <v/>
      </c>
      <c r="D153" s="25"/>
      <c r="F153" s="25"/>
      <c r="G153" s="25"/>
    </row>
    <row r="154" spans="1:7">
      <c r="B154" s="25" t="str">
        <f>IF(C154="","","PID-"&amp;TEXT(ROW()-2,"0000"))</f>
        <v/>
      </c>
      <c r="D154" s="25"/>
      <c r="F154" s="25"/>
      <c r="G154" s="25"/>
    </row>
    <row r="155" spans="1:7">
      <c r="B155" s="25" t="str">
        <f>IF(C155="","","PID-"&amp;TEXT(ROW()-2,"0000"))</f>
        <v/>
      </c>
      <c r="D155" s="25"/>
      <c r="F155" s="25"/>
      <c r="G155" s="25"/>
    </row>
    <row r="156" spans="1:7">
      <c r="B156" s="25" t="str">
        <f>IF(C156="","","PID-"&amp;TEXT(ROW()-2,"0000"))</f>
        <v/>
      </c>
      <c r="D156" s="25"/>
      <c r="F156" s="25"/>
      <c r="G156" s="25"/>
    </row>
    <row r="157" spans="1:7">
      <c r="B157" s="25" t="str">
        <f>IF(C157="","","PID-"&amp;TEXT(ROW()-2,"0000"))</f>
        <v/>
      </c>
      <c r="D157" s="25"/>
      <c r="F157" s="25"/>
      <c r="G157" s="25"/>
    </row>
    <row r="158" spans="1:7">
      <c r="B158" s="25" t="str">
        <f>IF(C158="","","PID-"&amp;TEXT(ROW()-2,"0000"))</f>
        <v/>
      </c>
      <c r="C158" s="25"/>
      <c r="D158" s="25"/>
      <c r="F158" s="25"/>
      <c r="G158" s="25"/>
    </row>
    <row r="159" spans="1:7">
      <c r="B159" s="25" t="str">
        <f>IF(C159="","","PID-"&amp;TEXT(ROW()-2,"0000"))</f>
        <v/>
      </c>
      <c r="C159" s="25"/>
      <c r="D159" s="25"/>
      <c r="E159" s="255"/>
      <c r="F159" s="25"/>
      <c r="G159" s="25"/>
    </row>
    <row r="160" spans="1:7">
      <c r="B160" s="25" t="str">
        <f>IF(C160="","","PID-"&amp;TEXT(ROW()-2,"0000"))</f>
        <v/>
      </c>
      <c r="C160" s="25"/>
      <c r="D160" s="25"/>
      <c r="E160" s="255"/>
      <c r="F160" s="25"/>
      <c r="G160" s="25"/>
    </row>
    <row r="161" spans="2:7">
      <c r="B161" s="25" t="str">
        <f>IF(C161="","","PID-"&amp;TEXT(ROW()-2,"0000"))</f>
        <v/>
      </c>
      <c r="C161" s="25"/>
      <c r="D161" s="25"/>
      <c r="E161" s="255"/>
      <c r="F161" s="25"/>
      <c r="G161" s="25"/>
    </row>
    <row r="162" spans="2:7">
      <c r="B162" s="25" t="str">
        <f>IF(C162="","","PID-"&amp;TEXT(ROW()-2,"0000"))</f>
        <v/>
      </c>
      <c r="C162" s="25"/>
      <c r="D162" s="25"/>
      <c r="E162" s="255"/>
      <c r="F162" s="25"/>
      <c r="G162" s="25"/>
    </row>
    <row r="163" spans="2:7">
      <c r="B163" s="25" t="str">
        <f>IF(C163="","","PID-"&amp;TEXT(ROW()-2,"0000"))</f>
        <v/>
      </c>
      <c r="C163" s="25"/>
      <c r="D163" s="25"/>
      <c r="E163" s="255"/>
      <c r="F163" s="25"/>
      <c r="G163" s="25"/>
    </row>
    <row r="164" spans="2:7">
      <c r="B164" s="25" t="str">
        <f>IF(C164="","","PID-"&amp;TEXT(ROW()-2,"0000"))</f>
        <v/>
      </c>
      <c r="C164" s="25"/>
      <c r="D164" s="25"/>
      <c r="E164" s="255"/>
      <c r="F164" s="25"/>
      <c r="G164" s="25"/>
    </row>
    <row r="165" spans="2:7">
      <c r="B165" s="25" t="str">
        <f>IF(C165="","","PID-"&amp;TEXT(ROW()-2,"0000"))</f>
        <v/>
      </c>
      <c r="C165" s="25"/>
      <c r="D165" s="25"/>
      <c r="E165" s="255"/>
      <c r="F165" s="25"/>
      <c r="G165" s="25"/>
    </row>
    <row r="166" spans="2:7">
      <c r="B166" s="25" t="str">
        <f>IF(C166="","","PID-"&amp;TEXT(ROW()-2,"0000"))</f>
        <v/>
      </c>
      <c r="C166" s="25"/>
      <c r="D166" s="25"/>
      <c r="E166" s="255"/>
      <c r="F166" s="25"/>
      <c r="G166" s="25"/>
    </row>
    <row r="167" spans="2:7">
      <c r="B167" s="25" t="str">
        <f>IF(C167="","","PID-"&amp;TEXT(ROW()-2,"0000"))</f>
        <v/>
      </c>
      <c r="C167" s="25"/>
      <c r="D167" s="25"/>
      <c r="E167" s="255"/>
      <c r="F167" s="25"/>
      <c r="G167" s="25"/>
    </row>
    <row r="168" spans="2:7">
      <c r="B168" s="25" t="str">
        <f>IF(C168="","","PID-"&amp;TEXT(ROW()-2,"0000"))</f>
        <v/>
      </c>
      <c r="C168" s="25"/>
      <c r="D168" s="25"/>
      <c r="E168" s="255"/>
      <c r="F168" s="25"/>
      <c r="G168" s="25"/>
    </row>
    <row r="169" spans="2:7">
      <c r="B169" s="25" t="str">
        <f>IF(C169="","","PID-"&amp;TEXT(ROW()-2,"0000"))</f>
        <v/>
      </c>
      <c r="C169" s="25"/>
      <c r="D169" s="25"/>
      <c r="E169" s="255"/>
      <c r="F169" s="25"/>
      <c r="G169" s="25"/>
    </row>
    <row r="170" spans="2:7">
      <c r="B170" s="25" t="str">
        <f>IF(C170="","","PID-"&amp;TEXT(ROW()-2,"0000"))</f>
        <v/>
      </c>
      <c r="C170" s="25"/>
      <c r="D170" s="25"/>
      <c r="E170" s="255"/>
      <c r="F170" s="25"/>
      <c r="G170" s="25"/>
    </row>
    <row r="171" spans="2:7">
      <c r="B171" s="25" t="str">
        <f>IF(C171="","","PID-"&amp;TEXT(ROW()-2,"0000"))</f>
        <v/>
      </c>
      <c r="C171" s="25"/>
      <c r="D171" s="25"/>
      <c r="E171" s="255"/>
      <c r="F171" s="25"/>
      <c r="G171" s="25"/>
    </row>
    <row r="172" spans="2:7">
      <c r="B172" s="25" t="str">
        <f>IF(C172="","","PID-"&amp;TEXT(ROW()-2,"0000"))</f>
        <v/>
      </c>
      <c r="C172" s="25"/>
      <c r="D172" s="25"/>
      <c r="E172" s="255"/>
      <c r="F172" s="25"/>
      <c r="G172" s="25"/>
    </row>
    <row r="173" spans="2:7">
      <c r="B173" s="25" t="str">
        <f>IF(C173="","","PID-"&amp;TEXT(ROW()-2,"0000"))</f>
        <v/>
      </c>
      <c r="C173" s="25"/>
      <c r="D173" s="25"/>
      <c r="E173" s="255"/>
      <c r="F173" s="25"/>
      <c r="G173" s="25"/>
    </row>
    <row r="174" spans="2:7">
      <c r="B174" s="25" t="str">
        <f>IF(C174="","","PID-"&amp;TEXT(ROW()-2,"0000"))</f>
        <v/>
      </c>
      <c r="C174" s="25"/>
      <c r="D174" s="25"/>
      <c r="E174" s="255"/>
      <c r="F174" s="25"/>
      <c r="G174" s="25"/>
    </row>
    <row r="175" spans="2:7">
      <c r="B175" s="25" t="str">
        <f>IF(C175="","","PID-"&amp;TEXT(ROW()-2,"0000"))</f>
        <v/>
      </c>
      <c r="C175" s="25"/>
      <c r="D175" s="25"/>
      <c r="E175" s="255"/>
      <c r="F175" s="25"/>
      <c r="G175" s="25"/>
    </row>
    <row r="176" spans="2:7">
      <c r="B176" s="25" t="str">
        <f>IF(C176="","","PID-"&amp;TEXT(ROW()-2,"0000"))</f>
        <v/>
      </c>
      <c r="C176" s="25"/>
      <c r="D176" s="25"/>
      <c r="E176" s="255"/>
      <c r="F176" s="25"/>
      <c r="G176" s="25"/>
    </row>
    <row r="177" spans="2:7">
      <c r="B177" s="25" t="str">
        <f>IF(C177="","","PID-"&amp;TEXT(ROW()-2,"0000"))</f>
        <v/>
      </c>
      <c r="C177" s="25"/>
      <c r="D177" s="25"/>
      <c r="E177" s="255"/>
      <c r="F177" s="25"/>
      <c r="G177" s="25"/>
    </row>
    <row r="178" spans="2:7">
      <c r="B178" s="25" t="str">
        <f>IF(C178="","","PID-"&amp;TEXT(ROW()-2,"0000"))</f>
        <v/>
      </c>
      <c r="C178" s="25"/>
      <c r="D178" s="25"/>
      <c r="E178" s="255"/>
      <c r="F178" s="25"/>
      <c r="G178" s="25"/>
    </row>
    <row r="179" spans="2:7">
      <c r="B179" s="25" t="str">
        <f>IF(C179="","","PID-"&amp;TEXT(ROW()-2,"0000"))</f>
        <v/>
      </c>
      <c r="C179" s="25"/>
      <c r="D179" s="25"/>
      <c r="E179" s="255"/>
      <c r="F179" s="25"/>
      <c r="G179" s="25"/>
    </row>
    <row r="180" spans="2:7">
      <c r="B180" s="25" t="str">
        <f>IF(C180="","","PID-"&amp;TEXT(ROW()-2,"0000"))</f>
        <v/>
      </c>
      <c r="C180" s="25"/>
      <c r="D180" s="25"/>
      <c r="E180" s="255"/>
      <c r="F180" s="25"/>
      <c r="G180" s="25"/>
    </row>
    <row r="181" spans="2:7">
      <c r="B181" s="25" t="str">
        <f>IF(C181="","","PID-"&amp;TEXT(ROW()-2,"0000"))</f>
        <v/>
      </c>
      <c r="C181" s="25"/>
      <c r="D181" s="25"/>
      <c r="E181" s="255"/>
      <c r="F181" s="25"/>
      <c r="G181" s="25"/>
    </row>
    <row r="182" spans="2:7">
      <c r="B182" s="25" t="str">
        <f>IF(C182="","","PID-"&amp;TEXT(ROW()-2,"0000"))</f>
        <v/>
      </c>
      <c r="C182" s="25"/>
      <c r="D182" s="25"/>
      <c r="E182" s="255"/>
      <c r="F182" s="25"/>
      <c r="G182" s="25"/>
    </row>
    <row r="183" spans="2:7">
      <c r="B183" s="25" t="str">
        <f>IF(C183="","","PID-"&amp;TEXT(ROW()-2,"0000"))</f>
        <v/>
      </c>
      <c r="C183" s="25"/>
      <c r="D183" s="25"/>
      <c r="E183" s="255"/>
      <c r="F183" s="25"/>
      <c r="G183" s="25"/>
    </row>
    <row r="184" spans="2:7">
      <c r="B184" s="25" t="str">
        <f>IF(C184="","","PID-"&amp;TEXT(ROW()-2,"0000"))</f>
        <v/>
      </c>
      <c r="C184" s="25"/>
      <c r="D184" s="25"/>
      <c r="E184" s="255"/>
      <c r="F184" s="25"/>
      <c r="G184" s="25"/>
    </row>
    <row r="185" spans="2:7">
      <c r="B185" s="25" t="str">
        <f>IF(C185="","","PID-"&amp;TEXT(ROW()-2,"0000"))</f>
        <v/>
      </c>
      <c r="C185" s="25"/>
      <c r="D185" s="25"/>
      <c r="E185" s="255"/>
      <c r="F185" s="25"/>
      <c r="G185" s="25"/>
    </row>
    <row r="186" spans="2:7">
      <c r="B186" s="25" t="str">
        <f>IF(C186="","","PID-"&amp;TEXT(ROW()-2,"0000"))</f>
        <v/>
      </c>
      <c r="C186" s="25"/>
      <c r="D186" s="25"/>
      <c r="E186" s="255"/>
      <c r="F186" s="25"/>
      <c r="G186" s="25"/>
    </row>
    <row r="187" spans="2:7">
      <c r="B187" s="25" t="str">
        <f>IF(C187="","","PID-"&amp;TEXT(ROW()-2,"0000"))</f>
        <v/>
      </c>
      <c r="C187" s="25"/>
      <c r="D187" s="25"/>
      <c r="E187" s="255"/>
      <c r="F187" s="25"/>
      <c r="G187" s="25"/>
    </row>
    <row r="188" spans="2:7">
      <c r="B188" s="25" t="str">
        <f>IF(C188="","","PID-"&amp;TEXT(ROW()-2,"0000"))</f>
        <v/>
      </c>
      <c r="C188" s="25"/>
      <c r="D188" s="25"/>
      <c r="E188" s="255"/>
      <c r="F188" s="25"/>
      <c r="G188" s="25"/>
    </row>
    <row r="189" spans="2:7">
      <c r="B189" s="25" t="str">
        <f>IF(C189="","","PID-"&amp;TEXT(ROW()-2,"0000"))</f>
        <v/>
      </c>
      <c r="C189" s="25"/>
      <c r="D189" s="25"/>
      <c r="E189" s="255"/>
      <c r="F189" s="25"/>
      <c r="G189" s="25"/>
    </row>
    <row r="190" spans="2:7">
      <c r="B190" s="25" t="str">
        <f>IF(C190="","","PID-"&amp;TEXT(ROW()-2,"0000"))</f>
        <v/>
      </c>
      <c r="C190" s="25"/>
      <c r="D190" s="25"/>
      <c r="E190" s="255"/>
      <c r="F190" s="25"/>
      <c r="G190" s="25"/>
    </row>
    <row r="191" spans="2:7">
      <c r="B191" s="25" t="str">
        <f>IF(C191="","","PID-"&amp;TEXT(ROW()-2,"0000"))</f>
        <v/>
      </c>
      <c r="C191" s="25"/>
      <c r="D191" s="25"/>
      <c r="E191" s="255"/>
      <c r="F191" s="25"/>
      <c r="G191" s="25"/>
    </row>
    <row r="192" spans="2:7">
      <c r="B192" s="25" t="str">
        <f>IF(C192="","","PID-"&amp;TEXT(ROW()-2,"0000"))</f>
        <v/>
      </c>
      <c r="C192" s="25"/>
      <c r="D192" s="25"/>
      <c r="E192" s="255"/>
      <c r="F192" s="25"/>
      <c r="G192" s="25"/>
    </row>
    <row r="193" spans="2:7">
      <c r="B193" s="25" t="str">
        <f>IF(C193="","","PID-"&amp;TEXT(ROW()-2,"0000"))</f>
        <v/>
      </c>
      <c r="C193" s="25"/>
      <c r="D193" s="25"/>
      <c r="E193" s="255"/>
      <c r="F193" s="25"/>
      <c r="G193" s="25"/>
    </row>
    <row r="194" spans="2:7">
      <c r="B194" s="25" t="str">
        <f>IF(C194="","","PID-"&amp;TEXT(ROW()-2,"0000"))</f>
        <v/>
      </c>
      <c r="C194" s="25"/>
      <c r="D194" s="25"/>
      <c r="E194" s="255"/>
      <c r="F194" s="25"/>
      <c r="G194" s="25"/>
    </row>
    <row r="195" spans="2:7">
      <c r="B195" s="25" t="str">
        <f>IF(C195="","","PID-"&amp;TEXT(ROW()-2,"0000"))</f>
        <v/>
      </c>
      <c r="C195" s="25"/>
      <c r="D195" s="25"/>
      <c r="E195" s="255"/>
      <c r="F195" s="25"/>
      <c r="G195" s="25"/>
    </row>
    <row r="196" spans="2:7">
      <c r="B196" s="25" t="str">
        <f>IF(C196="","","PID-"&amp;TEXT(ROW()-2,"0000"))</f>
        <v/>
      </c>
      <c r="C196" s="25"/>
      <c r="D196" s="25"/>
      <c r="E196" s="255"/>
      <c r="F196" s="25"/>
      <c r="G196" s="25"/>
    </row>
    <row r="197" spans="2:7">
      <c r="B197" s="25" t="str">
        <f>IF(C197="","","PID-"&amp;TEXT(ROW()-2,"0000"))</f>
        <v/>
      </c>
      <c r="C197" s="25"/>
      <c r="D197" s="25"/>
      <c r="E197" s="255"/>
      <c r="F197" s="25"/>
      <c r="G197" s="25"/>
    </row>
    <row r="198" spans="2:7">
      <c r="B198" s="25" t="str">
        <f>IF(C198="","","PID-"&amp;TEXT(ROW()-2,"0000"))</f>
        <v/>
      </c>
      <c r="C198" s="25"/>
      <c r="D198" s="25"/>
      <c r="E198" s="255"/>
      <c r="F198" s="25"/>
      <c r="G198" s="25"/>
    </row>
    <row r="199" spans="2:7">
      <c r="B199" s="25" t="str">
        <f>IF(C199="","","PID-"&amp;TEXT(ROW()-2,"0000"))</f>
        <v/>
      </c>
      <c r="C199" s="25"/>
      <c r="D199" s="25"/>
      <c r="E199" s="255"/>
      <c r="F199" s="25"/>
      <c r="G199" s="25"/>
    </row>
    <row r="200" spans="2:7">
      <c r="B200" s="25" t="str">
        <f>IF(C200="","","PID-"&amp;TEXT(ROW()-2,"0000"))</f>
        <v/>
      </c>
      <c r="C200" s="25"/>
      <c r="D200" s="25"/>
      <c r="E200" s="255"/>
      <c r="F200" s="25"/>
      <c r="G200" s="25"/>
    </row>
    <row r="201" spans="2:7">
      <c r="B201" s="25" t="str">
        <f>IF(C201="","","PID-"&amp;TEXT(ROW()-2,"0000"))</f>
        <v/>
      </c>
      <c r="C201" s="25"/>
      <c r="D201" s="25"/>
      <c r="E201" s="255"/>
      <c r="F201" s="25"/>
      <c r="G201" s="25"/>
    </row>
    <row r="202" spans="2:7">
      <c r="B202" s="25" t="str">
        <f>IF(C202="","","PID-"&amp;TEXT(ROW()-2,"0000"))</f>
        <v/>
      </c>
      <c r="C202" s="25"/>
      <c r="D202" s="25"/>
      <c r="E202" s="255"/>
      <c r="F202" s="25"/>
      <c r="G202" s="25"/>
    </row>
    <row r="203" spans="2:7">
      <c r="B203" s="25" t="str">
        <f>IF(C203="","","PID-"&amp;TEXT(ROW()-2,"0000"))</f>
        <v/>
      </c>
      <c r="C203" s="25"/>
      <c r="D203" s="25"/>
      <c r="E203" s="255"/>
      <c r="F203" s="25"/>
      <c r="G203" s="25"/>
    </row>
    <row r="204" spans="2:7">
      <c r="B204" s="25" t="str">
        <f>IF(C204="","","PID-"&amp;TEXT(ROW()-2,"0000"))</f>
        <v/>
      </c>
      <c r="C204" s="25"/>
      <c r="D204" s="25"/>
      <c r="E204" s="255"/>
      <c r="F204" s="25"/>
      <c r="G204" s="25"/>
    </row>
    <row r="205" spans="2:7">
      <c r="B205" s="25" t="str">
        <f>IF(C205="","","PID-"&amp;TEXT(ROW()-2,"0000"))</f>
        <v/>
      </c>
      <c r="C205" s="25"/>
      <c r="D205" s="25"/>
      <c r="E205" s="255"/>
      <c r="F205" s="25"/>
      <c r="G205" s="25"/>
    </row>
    <row r="206" spans="2:7">
      <c r="B206" s="25" t="str">
        <f>IF(C206="","","PID-"&amp;TEXT(ROW()-2,"0000"))</f>
        <v/>
      </c>
      <c r="C206" s="25"/>
      <c r="D206" s="25"/>
      <c r="E206" s="255"/>
      <c r="F206" s="25"/>
      <c r="G206" s="25"/>
    </row>
    <row r="207" spans="2:7">
      <c r="B207" s="25" t="str">
        <f>IF(C207="","","PID-"&amp;TEXT(ROW()-2,"0000"))</f>
        <v/>
      </c>
      <c r="C207" s="25"/>
      <c r="D207" s="25"/>
      <c r="E207" s="255"/>
      <c r="F207" s="25"/>
      <c r="G207" s="25"/>
    </row>
    <row r="208" spans="2:7">
      <c r="B208" s="25" t="str">
        <f>IF(C208="","","PID-"&amp;TEXT(ROW()-2,"0000"))</f>
        <v/>
      </c>
      <c r="C208" s="25"/>
      <c r="D208" s="25"/>
      <c r="E208" s="255"/>
      <c r="F208" s="25"/>
      <c r="G208" s="25"/>
    </row>
    <row r="209" spans="2:7">
      <c r="B209" s="25" t="str">
        <f>IF(C209="","","PID-"&amp;TEXT(ROW()-2,"0000"))</f>
        <v/>
      </c>
      <c r="C209" s="25"/>
      <c r="D209" s="25"/>
      <c r="E209" s="255"/>
      <c r="F209" s="25"/>
      <c r="G209" s="25"/>
    </row>
    <row r="210" spans="2:7">
      <c r="B210" s="25" t="str">
        <f>IF(C210="","","PID-"&amp;TEXT(ROW()-2,"0000"))</f>
        <v/>
      </c>
      <c r="C210" s="25"/>
      <c r="D210" s="25"/>
      <c r="E210" s="255"/>
      <c r="F210" s="25"/>
      <c r="G210" s="25"/>
    </row>
    <row r="211" spans="2:7">
      <c r="B211" s="25" t="str">
        <f>IF(C211="","","PID-"&amp;TEXT(ROW()-2,"0000"))</f>
        <v/>
      </c>
      <c r="C211" s="25"/>
      <c r="D211" s="25"/>
      <c r="E211" s="255"/>
      <c r="F211" s="25"/>
      <c r="G211" s="25"/>
    </row>
    <row r="212" spans="2:7">
      <c r="B212" s="25" t="str">
        <f>IF(C212="","","PID-"&amp;TEXT(ROW()-2,"0000"))</f>
        <v/>
      </c>
      <c r="C212" s="25"/>
      <c r="D212" s="25"/>
      <c r="E212" s="255"/>
      <c r="F212" s="25"/>
      <c r="G212" s="25"/>
    </row>
    <row r="213" spans="2:7">
      <c r="B213" s="25" t="str">
        <f>IF(C213="","","PID-"&amp;TEXT(ROW()-2,"0000"))</f>
        <v/>
      </c>
      <c r="C213" s="25"/>
      <c r="D213" s="25"/>
      <c r="E213" s="255"/>
      <c r="F213" s="25"/>
      <c r="G213" s="25"/>
    </row>
    <row r="214" spans="2:7">
      <c r="B214" s="25" t="str">
        <f>IF(C214="","","PID-"&amp;TEXT(ROW()-2,"0000"))</f>
        <v/>
      </c>
      <c r="C214" s="25"/>
      <c r="D214" s="25"/>
      <c r="E214" s="255"/>
      <c r="F214" s="25"/>
      <c r="G214" s="25"/>
    </row>
    <row r="215" spans="2:7">
      <c r="B215" s="25" t="str">
        <f>IF(C215="","","PID-"&amp;TEXT(ROW()-2,"0000"))</f>
        <v/>
      </c>
      <c r="C215" s="25"/>
      <c r="D215" s="25"/>
      <c r="E215" s="255"/>
      <c r="F215" s="25"/>
      <c r="G215" s="25"/>
    </row>
    <row r="216" spans="2:7">
      <c r="B216" s="25" t="str">
        <f>IF(C216="","","PID-"&amp;TEXT(ROW()-2,"0000"))</f>
        <v/>
      </c>
      <c r="C216" s="25"/>
      <c r="D216" s="25"/>
      <c r="E216" s="255"/>
      <c r="F216" s="25"/>
      <c r="G216" s="25"/>
    </row>
    <row r="217" spans="2:7">
      <c r="B217" s="25" t="str">
        <f>IF(C217="","","PID-"&amp;TEXT(ROW()-2,"0000"))</f>
        <v/>
      </c>
      <c r="C217" s="25"/>
      <c r="D217" s="25"/>
      <c r="E217" s="255"/>
      <c r="F217" s="25"/>
      <c r="G217" s="25"/>
    </row>
    <row r="218" spans="2:7">
      <c r="B218" s="25" t="str">
        <f>IF(C218="","","PID-"&amp;TEXT(ROW()-2,"0000"))</f>
        <v/>
      </c>
      <c r="C218" s="25"/>
      <c r="D218" s="25"/>
      <c r="E218" s="255"/>
      <c r="F218" s="25"/>
      <c r="G218" s="25"/>
    </row>
    <row r="219" spans="2:7">
      <c r="B219" s="25" t="str">
        <f>IF(C219="","","PID-"&amp;TEXT(ROW()-2,"0000"))</f>
        <v/>
      </c>
      <c r="C219" s="25"/>
      <c r="D219" s="25"/>
      <c r="E219" s="255"/>
      <c r="F219" s="25"/>
      <c r="G219" s="25"/>
    </row>
    <row r="220" spans="2:7">
      <c r="B220" s="25" t="str">
        <f>IF(C220="","","PID-"&amp;TEXT(ROW()-2,"0000"))</f>
        <v/>
      </c>
      <c r="C220" s="25"/>
      <c r="D220" s="25"/>
      <c r="E220" s="255"/>
      <c r="F220" s="25"/>
      <c r="G220" s="25"/>
    </row>
    <row r="221" spans="2:7">
      <c r="B221" s="25" t="str">
        <f>IF(C221="","","PID-"&amp;TEXT(ROW()-2,"0000"))</f>
        <v/>
      </c>
      <c r="C221" s="25"/>
      <c r="D221" s="25"/>
      <c r="E221" s="255"/>
      <c r="F221" s="25"/>
      <c r="G221" s="25"/>
    </row>
    <row r="222" spans="2:7">
      <c r="B222" s="25" t="str">
        <f>IF(C222="","","PID-"&amp;TEXT(ROW()-2,"0000"))</f>
        <v/>
      </c>
      <c r="C222" s="25"/>
      <c r="D222" s="25"/>
      <c r="E222" s="255"/>
      <c r="F222" s="25"/>
      <c r="G222" s="25"/>
    </row>
    <row r="223" spans="2:7">
      <c r="B223" s="25" t="str">
        <f>IF(C223="","","PID-"&amp;TEXT(ROW()-2,"0000"))</f>
        <v/>
      </c>
      <c r="C223" s="25"/>
      <c r="D223" s="25"/>
      <c r="E223" s="255"/>
      <c r="F223" s="25"/>
      <c r="G223" s="25"/>
    </row>
    <row r="224" spans="2:7">
      <c r="B224" s="25" t="str">
        <f>IF(C224="","","PID-"&amp;TEXT(ROW()-2,"0000"))</f>
        <v/>
      </c>
      <c r="C224" s="25"/>
      <c r="D224" s="25"/>
      <c r="E224" s="255"/>
      <c r="F224" s="25"/>
      <c r="G224" s="25"/>
    </row>
    <row r="225" spans="2:7">
      <c r="B225" s="25" t="str">
        <f>IF(C225="","","PID-"&amp;TEXT(ROW()-2,"0000"))</f>
        <v/>
      </c>
      <c r="C225" s="25"/>
      <c r="D225" s="25"/>
      <c r="E225" s="255"/>
      <c r="F225" s="25"/>
      <c r="G225" s="25"/>
    </row>
    <row r="226" spans="2:7">
      <c r="B226" s="25" t="str">
        <f>IF(C226="","","PID-"&amp;TEXT(ROW()-2,"0000"))</f>
        <v/>
      </c>
      <c r="C226" s="25"/>
      <c r="D226" s="25"/>
      <c r="E226" s="255"/>
      <c r="F226" s="25"/>
      <c r="G226" s="25"/>
    </row>
    <row r="227" spans="2:7">
      <c r="B227" s="25" t="str">
        <f>IF(C227="","","PID-"&amp;TEXT(ROW()-2,"0000"))</f>
        <v/>
      </c>
      <c r="C227" s="25"/>
      <c r="D227" s="25"/>
      <c r="E227" s="255"/>
      <c r="F227" s="25"/>
      <c r="G227" s="25"/>
    </row>
    <row r="228" spans="2:7">
      <c r="B228" s="25" t="str">
        <f>IF(C228="","","PID-"&amp;TEXT(ROW()-2,"0000"))</f>
        <v/>
      </c>
      <c r="C228" s="25"/>
      <c r="D228" s="25"/>
      <c r="E228" s="255"/>
      <c r="F228" s="25"/>
      <c r="G228" s="25"/>
    </row>
    <row r="229" spans="2:7">
      <c r="B229" s="25" t="str">
        <f>IF(C229="","","PID-"&amp;TEXT(ROW()-2,"0000"))</f>
        <v/>
      </c>
      <c r="C229" s="25"/>
      <c r="D229" s="25"/>
      <c r="E229" s="255"/>
      <c r="F229" s="25"/>
      <c r="G229" s="25"/>
    </row>
    <row r="230" spans="2:7">
      <c r="B230" s="25" t="str">
        <f>IF(C230="","","PID-"&amp;TEXT(ROW()-2,"0000"))</f>
        <v/>
      </c>
      <c r="C230" s="25"/>
      <c r="D230" s="25"/>
      <c r="E230" s="255"/>
      <c r="F230" s="25"/>
      <c r="G230" s="25"/>
    </row>
    <row r="231" spans="2:7">
      <c r="B231" s="25" t="str">
        <f>IF(C231="","","PID-"&amp;TEXT(ROW()-2,"0000"))</f>
        <v/>
      </c>
      <c r="C231" s="25"/>
      <c r="D231" s="25"/>
      <c r="E231" s="255"/>
      <c r="F231" s="25"/>
      <c r="G231" s="25"/>
    </row>
    <row r="232" spans="2:7">
      <c r="B232" s="25" t="str">
        <f>IF(C232="","","PID-"&amp;TEXT(ROW()-2,"0000"))</f>
        <v/>
      </c>
      <c r="C232" s="25"/>
      <c r="D232" s="25"/>
      <c r="E232" s="255"/>
      <c r="F232" s="25"/>
      <c r="G232" s="25"/>
    </row>
    <row r="233" spans="2:7">
      <c r="B233" s="25" t="str">
        <f>IF(C233="","","PID-"&amp;TEXT(ROW()-2,"0000"))</f>
        <v/>
      </c>
      <c r="C233" s="25"/>
      <c r="D233" s="25"/>
      <c r="E233" s="255"/>
      <c r="F233" s="25"/>
      <c r="G233" s="25"/>
    </row>
    <row r="234" spans="2:7">
      <c r="B234" s="25" t="str">
        <f>IF(C234="","","PID-"&amp;TEXT(ROW()-2,"0000"))</f>
        <v/>
      </c>
      <c r="C234" s="25"/>
      <c r="D234" s="25"/>
      <c r="E234" s="255"/>
      <c r="F234" s="25"/>
      <c r="G234" s="25"/>
    </row>
    <row r="235" spans="2:7">
      <c r="B235" s="25" t="str">
        <f>IF(C235="","","PID-"&amp;TEXT(ROW()-2,"0000"))</f>
        <v/>
      </c>
      <c r="C235" s="25"/>
      <c r="D235" s="25"/>
      <c r="E235" s="255"/>
      <c r="F235" s="25"/>
      <c r="G235" s="25"/>
    </row>
    <row r="236" spans="2:7">
      <c r="B236" s="25" t="str">
        <f>IF(C236="","","PID-"&amp;TEXT(ROW()-2,"0000"))</f>
        <v/>
      </c>
      <c r="C236" s="25"/>
      <c r="D236" s="25"/>
      <c r="E236" s="255"/>
      <c r="F236" s="25"/>
      <c r="G236" s="25"/>
    </row>
    <row r="237" spans="2:7">
      <c r="B237" s="25" t="str">
        <f>IF(C237="","","PID-"&amp;TEXT(ROW()-2,"0000"))</f>
        <v/>
      </c>
      <c r="C237" s="25"/>
      <c r="D237" s="25"/>
      <c r="E237" s="255"/>
      <c r="F237" s="25"/>
      <c r="G237" s="25"/>
    </row>
    <row r="238" spans="2:7">
      <c r="B238" s="25" t="str">
        <f>IF(C238="","","PID-"&amp;TEXT(ROW()-2,"0000"))</f>
        <v/>
      </c>
      <c r="C238" s="25"/>
      <c r="D238" s="25"/>
      <c r="E238" s="255"/>
      <c r="F238" s="25"/>
      <c r="G238" s="25"/>
    </row>
    <row r="239" spans="2:7">
      <c r="B239" s="25" t="str">
        <f>IF(C239="","","PID-"&amp;TEXT(ROW()-2,"0000"))</f>
        <v/>
      </c>
      <c r="C239" s="25"/>
      <c r="D239" s="25"/>
      <c r="E239" s="255"/>
      <c r="F239" s="25"/>
      <c r="G239" s="25"/>
    </row>
    <row r="240" spans="2:7">
      <c r="B240" s="25" t="str">
        <f>IF(C240="","","PID-"&amp;TEXT(ROW()-2,"0000"))</f>
        <v/>
      </c>
      <c r="C240" s="25"/>
      <c r="D240" s="25"/>
      <c r="E240" s="255"/>
      <c r="F240" s="25"/>
      <c r="G240" s="25"/>
    </row>
    <row r="241" spans="2:7">
      <c r="B241" s="25" t="str">
        <f>IF(C241="","","PID-"&amp;TEXT(ROW()-2,"0000"))</f>
        <v/>
      </c>
      <c r="C241" s="25"/>
      <c r="D241" s="25"/>
      <c r="E241" s="255"/>
      <c r="F241" s="25"/>
      <c r="G241" s="25"/>
    </row>
    <row r="242" spans="2:7">
      <c r="B242" s="25" t="str">
        <f>IF(C242="","","PID-"&amp;TEXT(ROW()-2,"0000"))</f>
        <v/>
      </c>
      <c r="C242" s="25"/>
      <c r="D242" s="25"/>
      <c r="E242" s="255"/>
      <c r="F242" s="25"/>
      <c r="G242" s="25"/>
    </row>
    <row r="243" spans="2:7">
      <c r="B243" s="25" t="str">
        <f>IF(C243="","","PID-"&amp;TEXT(ROW()-2,"0000"))</f>
        <v/>
      </c>
      <c r="C243" s="25"/>
      <c r="D243" s="25"/>
      <c r="E243" s="255"/>
      <c r="F243" s="25"/>
      <c r="G243" s="25"/>
    </row>
    <row r="244" spans="2:7">
      <c r="B244" s="25" t="str">
        <f>IF(C244="","","PID-"&amp;TEXT(ROW()-2,"0000"))</f>
        <v/>
      </c>
      <c r="C244" s="25"/>
      <c r="D244" s="25"/>
      <c r="E244" s="255"/>
      <c r="F244" s="25"/>
      <c r="G244" s="25"/>
    </row>
    <row r="245" spans="2:7">
      <c r="B245" s="25" t="str">
        <f>IF(C245="","","PID-"&amp;TEXT(ROW()-2,"0000"))</f>
        <v/>
      </c>
      <c r="C245" s="25"/>
      <c r="D245" s="25"/>
      <c r="E245" s="255"/>
      <c r="F245" s="25"/>
      <c r="G245" s="25"/>
    </row>
    <row r="246" spans="2:7">
      <c r="B246" s="25" t="str">
        <f>IF(C246="","","PID-"&amp;TEXT(ROW()-2,"0000"))</f>
        <v/>
      </c>
      <c r="C246" s="25"/>
      <c r="D246" s="25"/>
      <c r="E246" s="255"/>
      <c r="F246" s="25"/>
      <c r="G246" s="25"/>
    </row>
    <row r="247" spans="2:7">
      <c r="B247" s="25" t="str">
        <f>IF(C247="","","PID-"&amp;TEXT(ROW()-2,"0000"))</f>
        <v/>
      </c>
      <c r="C247" s="25"/>
      <c r="D247" s="25"/>
      <c r="E247" s="255"/>
      <c r="F247" s="25"/>
      <c r="G247" s="25"/>
    </row>
    <row r="248" spans="2:7">
      <c r="B248" s="25" t="str">
        <f>IF(C248="","","PID-"&amp;TEXT(ROW()-2,"0000"))</f>
        <v/>
      </c>
      <c r="C248" s="25"/>
      <c r="D248" s="25"/>
      <c r="E248" s="255"/>
      <c r="F248" s="25"/>
      <c r="G248" s="25"/>
    </row>
    <row r="249" spans="2:7">
      <c r="B249" s="25" t="str">
        <f>IF(C249="","","PID-"&amp;TEXT(ROW()-2,"0000"))</f>
        <v/>
      </c>
      <c r="C249" s="25"/>
      <c r="D249" s="25"/>
      <c r="E249" s="255"/>
      <c r="F249" s="25"/>
      <c r="G249" s="25"/>
    </row>
    <row r="250" spans="2:7">
      <c r="B250" s="25" t="str">
        <f>IF(C250="","","PID-"&amp;TEXT(ROW()-2,"0000"))</f>
        <v/>
      </c>
      <c r="C250" s="25"/>
      <c r="D250" s="25"/>
      <c r="E250" s="255"/>
      <c r="F250" s="25"/>
      <c r="G250" s="25"/>
    </row>
    <row r="251" spans="2:7">
      <c r="B251" s="25" t="str">
        <f>IF(C251="","","PID-"&amp;TEXT(ROW()-2,"0000"))</f>
        <v/>
      </c>
      <c r="C251" s="25"/>
      <c r="D251" s="25"/>
      <c r="E251" s="255"/>
      <c r="F251" s="25"/>
      <c r="G251" s="25"/>
    </row>
    <row r="252" spans="2:7">
      <c r="B252" s="25" t="str">
        <f>IF(C252="","","PID-"&amp;TEXT(ROW()-2,"0000"))</f>
        <v/>
      </c>
      <c r="C252" s="25"/>
      <c r="D252" s="25"/>
      <c r="E252" s="255"/>
      <c r="F252" s="25"/>
      <c r="G252" s="25"/>
    </row>
    <row r="253" spans="2:7">
      <c r="B253" s="25" t="str">
        <f>IF(C253="","","PID-"&amp;TEXT(ROW()-2,"0000"))</f>
        <v/>
      </c>
      <c r="C253" s="25"/>
      <c r="D253" s="25"/>
      <c r="E253" s="255"/>
      <c r="F253" s="25"/>
      <c r="G253" s="25"/>
    </row>
    <row r="254" spans="2:7">
      <c r="B254" s="25" t="str">
        <f>IF(C254="","","PID-"&amp;TEXT(ROW()-2,"0000"))</f>
        <v/>
      </c>
      <c r="C254" s="25"/>
      <c r="D254" s="25"/>
      <c r="E254" s="255"/>
      <c r="F254" s="25"/>
      <c r="G254" s="25"/>
    </row>
    <row r="255" spans="2:7">
      <c r="B255" s="25" t="str">
        <f>IF(C255="","","PID-"&amp;TEXT(ROW()-2,"0000"))</f>
        <v/>
      </c>
      <c r="C255" s="25"/>
      <c r="D255" s="25"/>
      <c r="E255" s="255"/>
      <c r="F255" s="25"/>
      <c r="G255" s="25"/>
    </row>
    <row r="256" spans="2:7">
      <c r="B256" s="25" t="str">
        <f>IF(C256="","","PID-"&amp;TEXT(ROW()-2,"0000"))</f>
        <v/>
      </c>
      <c r="C256" s="25"/>
      <c r="D256" s="25"/>
      <c r="E256" s="255"/>
      <c r="F256" s="25"/>
      <c r="G256" s="25"/>
    </row>
    <row r="257" spans="2:7">
      <c r="B257" s="25" t="str">
        <f>IF(C257="","","PID-"&amp;TEXT(ROW()-2,"0000"))</f>
        <v/>
      </c>
      <c r="C257" s="25"/>
      <c r="D257" s="25"/>
      <c r="E257" s="255"/>
      <c r="F257" s="25"/>
      <c r="G257" s="25"/>
    </row>
    <row r="258" spans="2:7">
      <c r="B258" s="25" t="str">
        <f>IF(C258="","","PID-"&amp;TEXT(ROW()-2,"0000"))</f>
        <v/>
      </c>
      <c r="C258" s="25"/>
      <c r="D258" s="25"/>
      <c r="E258" s="255"/>
      <c r="F258" s="25"/>
      <c r="G258" s="25"/>
    </row>
    <row r="259" spans="2:7">
      <c r="B259" s="25" t="str">
        <f>IF(C259="","","PID-"&amp;TEXT(ROW()-2,"0000"))</f>
        <v/>
      </c>
      <c r="C259" s="25"/>
      <c r="D259" s="25"/>
      <c r="E259" s="255"/>
      <c r="F259" s="25"/>
      <c r="G259" s="25"/>
    </row>
    <row r="260" spans="2:7">
      <c r="B260" s="25" t="str">
        <f>IF(C260="","","PID-"&amp;TEXT(ROW()-2,"0000"))</f>
        <v/>
      </c>
      <c r="C260" s="25"/>
      <c r="D260" s="25"/>
      <c r="E260" s="255"/>
      <c r="F260" s="25"/>
      <c r="G260" s="25"/>
    </row>
    <row r="261" spans="2:7">
      <c r="B261" s="25" t="str">
        <f>IF(C261="","","PID-"&amp;TEXT(ROW()-2,"0000"))</f>
        <v/>
      </c>
      <c r="C261" s="25"/>
      <c r="D261" s="25"/>
      <c r="E261" s="255"/>
      <c r="F261" s="25"/>
      <c r="G261" s="25"/>
    </row>
    <row r="262" spans="2:7">
      <c r="B262" s="25" t="str">
        <f>IF(C262="","","PID-"&amp;TEXT(ROW()-2,"0000"))</f>
        <v/>
      </c>
      <c r="C262" s="25"/>
      <c r="D262" s="25"/>
      <c r="E262" s="255"/>
      <c r="F262" s="25"/>
      <c r="G262" s="25"/>
    </row>
    <row r="263" spans="2:7">
      <c r="B263" s="25" t="str">
        <f>IF(C263="","","PID-"&amp;TEXT(ROW()-2,"0000"))</f>
        <v/>
      </c>
      <c r="C263" s="25"/>
      <c r="D263" s="25"/>
      <c r="E263" s="255"/>
      <c r="F263" s="25"/>
      <c r="G263" s="25"/>
    </row>
    <row r="264" spans="2:7">
      <c r="B264" s="25" t="str">
        <f>IF(C264="","","PID-"&amp;TEXT(ROW()-2,"0000"))</f>
        <v/>
      </c>
      <c r="C264" s="25"/>
      <c r="D264" s="25"/>
      <c r="E264" s="255"/>
      <c r="F264" s="25"/>
      <c r="G264" s="25"/>
    </row>
    <row r="265" spans="2:7">
      <c r="B265" s="25" t="str">
        <f>IF(C265="","","PID-"&amp;TEXT(ROW()-2,"0000"))</f>
        <v/>
      </c>
      <c r="C265" s="25"/>
      <c r="D265" s="25"/>
      <c r="E265" s="255"/>
      <c r="F265" s="25"/>
      <c r="G265" s="25"/>
    </row>
    <row r="266" spans="2:7">
      <c r="B266" s="25" t="str">
        <f>IF(C266="","","PID-"&amp;TEXT(ROW()-2,"0000"))</f>
        <v/>
      </c>
      <c r="C266" s="25"/>
      <c r="D266" s="25"/>
      <c r="E266" s="255"/>
      <c r="F266" s="25"/>
      <c r="G266" s="25"/>
    </row>
    <row r="267" spans="2:7">
      <c r="B267" s="25" t="str">
        <f>IF(C267="","","PID-"&amp;TEXT(ROW()-2,"0000"))</f>
        <v/>
      </c>
      <c r="C267" s="25"/>
      <c r="D267" s="25"/>
      <c r="E267" s="255"/>
      <c r="F267" s="25"/>
      <c r="G267" s="25"/>
    </row>
    <row r="268" spans="2:7">
      <c r="B268" s="25" t="str">
        <f>IF(C268="","","PID-"&amp;TEXT(ROW()-2,"0000"))</f>
        <v/>
      </c>
      <c r="C268" s="25"/>
      <c r="D268" s="25"/>
      <c r="E268" s="255"/>
      <c r="F268" s="25"/>
      <c r="G268" s="25"/>
    </row>
    <row r="269" spans="2:7">
      <c r="B269" s="25" t="str">
        <f>IF(C269="","","PID-"&amp;TEXT(ROW()-2,"0000"))</f>
        <v/>
      </c>
      <c r="C269" s="25"/>
      <c r="D269" s="25"/>
      <c r="E269" s="255"/>
      <c r="F269" s="25"/>
      <c r="G269" s="25"/>
    </row>
    <row r="270" spans="2:7">
      <c r="B270" s="25" t="str">
        <f>IF(C270="","","PID-"&amp;TEXT(ROW()-2,"0000"))</f>
        <v/>
      </c>
      <c r="C270" s="25"/>
      <c r="D270" s="25"/>
      <c r="E270" s="255"/>
      <c r="F270" s="25"/>
      <c r="G270" s="25"/>
    </row>
    <row r="271" spans="2:7">
      <c r="B271" s="25" t="str">
        <f>IF(C271="","","PID-"&amp;TEXT(ROW()-2,"0000"))</f>
        <v/>
      </c>
      <c r="C271" s="25"/>
      <c r="D271" s="25"/>
      <c r="E271" s="255"/>
      <c r="F271" s="25"/>
      <c r="G271" s="25"/>
    </row>
    <row r="272" spans="2:7">
      <c r="B272" s="25" t="str">
        <f>IF(C272="","","PID-"&amp;TEXT(ROW()-2,"0000"))</f>
        <v/>
      </c>
      <c r="C272" s="25"/>
      <c r="D272" s="25"/>
      <c r="E272" s="255"/>
      <c r="F272" s="25"/>
      <c r="G272" s="25"/>
    </row>
    <row r="273" spans="2:7">
      <c r="B273" s="25" t="str">
        <f>IF(C273="","","PID-"&amp;TEXT(ROW()-2,"0000"))</f>
        <v/>
      </c>
      <c r="C273" s="25"/>
      <c r="D273" s="25"/>
      <c r="E273" s="255"/>
      <c r="F273" s="25"/>
      <c r="G273" s="25"/>
    </row>
    <row r="274" spans="2:7">
      <c r="B274" s="25" t="str">
        <f>IF(C274="","","PID-"&amp;TEXT(ROW()-2,"0000"))</f>
        <v/>
      </c>
      <c r="C274" s="25"/>
      <c r="D274" s="25"/>
      <c r="E274" s="255"/>
      <c r="F274" s="25"/>
      <c r="G274" s="25"/>
    </row>
    <row r="275" spans="2:7">
      <c r="B275" s="25" t="str">
        <f>IF(C275="","","PID-"&amp;TEXT(ROW()-2,"0000"))</f>
        <v/>
      </c>
      <c r="C275" s="25"/>
      <c r="D275" s="25"/>
      <c r="E275" s="255"/>
      <c r="F275" s="25"/>
      <c r="G275" s="25"/>
    </row>
    <row r="276" spans="2:7">
      <c r="B276" s="25" t="str">
        <f>IF(C276="","","PID-"&amp;TEXT(ROW()-2,"0000"))</f>
        <v/>
      </c>
      <c r="C276" s="25"/>
      <c r="D276" s="25"/>
      <c r="E276" s="255"/>
      <c r="F276" s="25"/>
      <c r="G276" s="25"/>
    </row>
    <row r="277" spans="2:7">
      <c r="B277" s="25" t="str">
        <f>IF(C277="","","PID-"&amp;TEXT(ROW()-2,"0000"))</f>
        <v/>
      </c>
      <c r="C277" s="25"/>
      <c r="D277" s="25"/>
      <c r="E277" s="255"/>
      <c r="F277" s="25"/>
      <c r="G277" s="25"/>
    </row>
    <row r="278" spans="2:7">
      <c r="B278" s="25" t="str">
        <f>IF(C278="","","PID-"&amp;TEXT(ROW()-2,"0000"))</f>
        <v/>
      </c>
      <c r="C278" s="25"/>
      <c r="D278" s="25"/>
      <c r="E278" s="255"/>
      <c r="F278" s="25"/>
      <c r="G278" s="25"/>
    </row>
    <row r="279" spans="2:7">
      <c r="B279" s="25" t="str">
        <f>IF(C279="","","PID-"&amp;TEXT(ROW()-2,"0000"))</f>
        <v/>
      </c>
      <c r="C279" s="25"/>
      <c r="D279" s="25"/>
      <c r="E279" s="255"/>
      <c r="F279" s="25"/>
      <c r="G279" s="25"/>
    </row>
    <row r="280" spans="2:7">
      <c r="B280" s="25" t="str">
        <f>IF(C280="","","PID-"&amp;TEXT(ROW()-2,"0000"))</f>
        <v/>
      </c>
      <c r="C280" s="25"/>
      <c r="D280" s="25"/>
      <c r="E280" s="255"/>
      <c r="F280" s="25"/>
      <c r="G280" s="25"/>
    </row>
    <row r="281" spans="2:7">
      <c r="B281" s="25" t="str">
        <f>IF(C281="","","PID-"&amp;TEXT(ROW()-2,"0000"))</f>
        <v/>
      </c>
      <c r="C281" s="25"/>
      <c r="D281" s="25"/>
      <c r="E281" s="255"/>
      <c r="F281" s="25"/>
      <c r="G281" s="25"/>
    </row>
    <row r="282" spans="2:7">
      <c r="B282" s="25" t="str">
        <f>IF(C282="","","PID-"&amp;TEXT(ROW()-2,"0000"))</f>
        <v/>
      </c>
      <c r="C282" s="25"/>
      <c r="D282" s="25"/>
      <c r="E282" s="255"/>
      <c r="F282" s="25"/>
      <c r="G282" s="25"/>
    </row>
    <row r="283" spans="2:7">
      <c r="B283" s="25" t="str">
        <f>IF(C283="","","PID-"&amp;TEXT(ROW()-2,"0000"))</f>
        <v/>
      </c>
      <c r="C283" s="25"/>
      <c r="D283" s="25"/>
      <c r="E283" s="255"/>
      <c r="F283" s="25"/>
      <c r="G283" s="25"/>
    </row>
    <row r="284" spans="2:7">
      <c r="B284" s="25" t="str">
        <f>IF(C284="","","PID-"&amp;TEXT(ROW()-2,"0000"))</f>
        <v/>
      </c>
      <c r="C284" s="25"/>
      <c r="D284" s="25"/>
      <c r="E284" s="255"/>
      <c r="F284" s="25"/>
      <c r="G284" s="25"/>
    </row>
    <row r="285" spans="2:7">
      <c r="B285" s="25" t="str">
        <f>IF(C285="","","PID-"&amp;TEXT(ROW()-2,"0000"))</f>
        <v/>
      </c>
      <c r="C285" s="25"/>
      <c r="D285" s="25"/>
      <c r="E285" s="255"/>
      <c r="F285" s="25"/>
      <c r="G285" s="25"/>
    </row>
    <row r="286" spans="2:7">
      <c r="B286" s="25" t="str">
        <f>IF(C286="","","PID-"&amp;TEXT(ROW()-2,"0000"))</f>
        <v/>
      </c>
      <c r="C286" s="25"/>
      <c r="D286" s="25"/>
      <c r="E286" s="255"/>
      <c r="F286" s="25"/>
      <c r="G286" s="25"/>
    </row>
    <row r="287" spans="2:7">
      <c r="B287" s="25" t="str">
        <f>IF(C287="","","PID-"&amp;TEXT(ROW()-2,"0000"))</f>
        <v/>
      </c>
      <c r="C287" s="25"/>
      <c r="D287" s="25"/>
      <c r="E287" s="255"/>
      <c r="F287" s="25"/>
      <c r="G287" s="25"/>
    </row>
    <row r="288" spans="2:7">
      <c r="B288" s="25" t="str">
        <f>IF(C288="","","PID-"&amp;TEXT(ROW()-2,"0000"))</f>
        <v/>
      </c>
      <c r="C288" s="25"/>
      <c r="D288" s="25"/>
      <c r="E288" s="255"/>
      <c r="F288" s="25"/>
      <c r="G288" s="25"/>
    </row>
    <row r="289" spans="2:7">
      <c r="B289" s="25" t="str">
        <f>IF(C289="","","PID-"&amp;TEXT(ROW()-2,"0000"))</f>
        <v/>
      </c>
      <c r="C289" s="25"/>
      <c r="D289" s="25"/>
      <c r="E289" s="255"/>
      <c r="F289" s="25"/>
      <c r="G289" s="25"/>
    </row>
    <row r="290" spans="2:7">
      <c r="B290" s="25" t="str">
        <f>IF(C290="","","PID-"&amp;TEXT(ROW()-2,"0000"))</f>
        <v/>
      </c>
      <c r="C290" s="25"/>
      <c r="D290" s="25"/>
      <c r="E290" s="255"/>
      <c r="F290" s="25"/>
      <c r="G290" s="25"/>
    </row>
    <row r="291" spans="2:7">
      <c r="B291" s="25" t="str">
        <f>IF(C291="","","PID-"&amp;TEXT(ROW()-2,"0000"))</f>
        <v/>
      </c>
      <c r="C291" s="25"/>
      <c r="D291" s="25"/>
      <c r="E291" s="255"/>
      <c r="F291" s="25"/>
      <c r="G291" s="25"/>
    </row>
    <row r="292" spans="2:7">
      <c r="B292" s="25" t="str">
        <f>IF(C292="","","PID-"&amp;TEXT(ROW()-2,"0000"))</f>
        <v/>
      </c>
      <c r="C292" s="25"/>
      <c r="D292" s="25"/>
      <c r="E292" s="255"/>
      <c r="F292" s="25"/>
      <c r="G292" s="25"/>
    </row>
    <row r="293" spans="2:7">
      <c r="B293" s="25" t="str">
        <f>IF(C293="","","PID-"&amp;TEXT(ROW()-2,"0000"))</f>
        <v/>
      </c>
      <c r="C293" s="25"/>
      <c r="D293" s="25"/>
      <c r="E293" s="255"/>
      <c r="F293" s="25"/>
      <c r="G293" s="25"/>
    </row>
    <row r="294" spans="2:7">
      <c r="B294" s="25" t="str">
        <f>IF(C294="","","PID-"&amp;TEXT(ROW()-2,"0000"))</f>
        <v/>
      </c>
      <c r="C294" s="25"/>
      <c r="D294" s="25"/>
      <c r="E294" s="255"/>
      <c r="F294" s="25"/>
      <c r="G294" s="25"/>
    </row>
    <row r="295" spans="2:7">
      <c r="B295" s="25" t="str">
        <f>IF(C295="","","PID-"&amp;TEXT(ROW()-2,"0000"))</f>
        <v/>
      </c>
      <c r="C295" s="25"/>
      <c r="D295" s="25"/>
      <c r="E295" s="255"/>
      <c r="F295" s="25"/>
      <c r="G295" s="25"/>
    </row>
    <row r="296" spans="2:7">
      <c r="B296" s="25" t="str">
        <f>IF(C296="","","PID-"&amp;TEXT(ROW()-2,"0000"))</f>
        <v/>
      </c>
      <c r="C296" s="25"/>
      <c r="D296" s="25"/>
      <c r="E296" s="255"/>
      <c r="F296" s="25"/>
      <c r="G296" s="25"/>
    </row>
    <row r="297" spans="2:7">
      <c r="B297" s="25" t="str">
        <f>IF(C297="","","PID-"&amp;TEXT(ROW()-2,"0000"))</f>
        <v/>
      </c>
      <c r="C297" s="25"/>
      <c r="D297" s="25"/>
      <c r="E297" s="255"/>
      <c r="F297" s="25"/>
      <c r="G297" s="25"/>
    </row>
    <row r="298" spans="2:7">
      <c r="B298" s="25" t="str">
        <f>IF(C298="","","PID-"&amp;TEXT(ROW()-2,"0000"))</f>
        <v/>
      </c>
      <c r="C298" s="25"/>
      <c r="D298" s="25"/>
      <c r="E298" s="255"/>
      <c r="F298" s="25"/>
      <c r="G298" s="25"/>
    </row>
    <row r="299" spans="2:7">
      <c r="B299" s="25" t="str">
        <f>IF(C299="","","PID-"&amp;TEXT(ROW()-2,"0000"))</f>
        <v/>
      </c>
      <c r="C299" s="25"/>
      <c r="D299" s="25"/>
      <c r="E299" s="255"/>
      <c r="F299" s="25"/>
      <c r="G299" s="25"/>
    </row>
    <row r="300" spans="2:7">
      <c r="B300" s="25" t="str">
        <f>IF(C300="","","PID-"&amp;TEXT(ROW()-2,"0000"))</f>
        <v/>
      </c>
      <c r="C300" s="25"/>
      <c r="D300" s="25"/>
      <c r="E300" s="255"/>
      <c r="F300" s="25"/>
      <c r="G300" s="25"/>
    </row>
    <row r="301" spans="2:7">
      <c r="B301" s="25" t="str">
        <f>IF(C301="","","PID-"&amp;TEXT(ROW()-2,"0000"))</f>
        <v/>
      </c>
      <c r="C301" s="25"/>
      <c r="D301" s="25"/>
      <c r="E301" s="255"/>
      <c r="F301" s="25"/>
      <c r="G301" s="25"/>
    </row>
    <row r="302" spans="2:7">
      <c r="B302" s="25" t="str">
        <f>IF(C302="","","PID-"&amp;TEXT(ROW()-2,"0000"))</f>
        <v/>
      </c>
      <c r="C302" s="25"/>
      <c r="D302" s="25"/>
      <c r="E302" s="255"/>
      <c r="F302" s="25"/>
      <c r="G302" s="25"/>
    </row>
    <row r="303" spans="2:7">
      <c r="B303" s="25" t="str">
        <f>IF(C303="","","PID-"&amp;TEXT(ROW()-2,"0000"))</f>
        <v/>
      </c>
      <c r="C303" s="25"/>
      <c r="D303" s="25"/>
      <c r="E303" s="255"/>
      <c r="F303" s="25"/>
      <c r="G303" s="25"/>
    </row>
    <row r="304" spans="2:7">
      <c r="B304" s="25" t="str">
        <f>IF(C304="","","PID-"&amp;TEXT(ROW()-2,"0000"))</f>
        <v/>
      </c>
      <c r="C304" s="25"/>
      <c r="D304" s="25"/>
      <c r="E304" s="255"/>
      <c r="F304" s="25"/>
      <c r="G304" s="25"/>
    </row>
    <row r="305" spans="2:7">
      <c r="B305" s="25" t="str">
        <f>IF(C305="","","PID-"&amp;TEXT(ROW()-2,"0000"))</f>
        <v/>
      </c>
      <c r="C305" s="25"/>
      <c r="D305" s="25"/>
      <c r="E305" s="255"/>
      <c r="F305" s="25"/>
      <c r="G305" s="25"/>
    </row>
    <row r="306" spans="2:7">
      <c r="B306" s="25" t="str">
        <f>IF(C306="","","PID-"&amp;TEXT(ROW()-2,"0000"))</f>
        <v/>
      </c>
      <c r="C306" s="25"/>
      <c r="D306" s="25"/>
      <c r="E306" s="255"/>
      <c r="F306" s="25"/>
      <c r="G306" s="25"/>
    </row>
    <row r="307" spans="2:7">
      <c r="B307" s="25" t="str">
        <f>IF(C307="","","PID-"&amp;TEXT(ROW()-2,"0000"))</f>
        <v/>
      </c>
      <c r="C307" s="25"/>
      <c r="D307" s="25"/>
      <c r="E307" s="255"/>
      <c r="F307" s="25"/>
      <c r="G307" s="25"/>
    </row>
    <row r="308" spans="2:7">
      <c r="B308" s="25" t="str">
        <f>IF(C308="","","PID-"&amp;TEXT(ROW()-2,"0000"))</f>
        <v/>
      </c>
      <c r="C308" s="25"/>
      <c r="D308" s="25"/>
      <c r="E308" s="255"/>
      <c r="F308" s="25"/>
      <c r="G308" s="25"/>
    </row>
    <row r="309" spans="2:7">
      <c r="B309" s="25" t="str">
        <f>IF(C309="","","PID-"&amp;TEXT(ROW()-2,"0000"))</f>
        <v/>
      </c>
      <c r="C309" s="25"/>
      <c r="D309" s="25"/>
      <c r="E309" s="255"/>
      <c r="F309" s="25"/>
      <c r="G309" s="25"/>
    </row>
    <row r="310" spans="2:7">
      <c r="B310" s="25" t="str">
        <f>IF(C310="","","PID-"&amp;TEXT(ROW()-2,"0000"))</f>
        <v/>
      </c>
      <c r="C310" s="25"/>
      <c r="D310" s="25"/>
      <c r="E310" s="255"/>
      <c r="F310" s="25"/>
      <c r="G310" s="25"/>
    </row>
    <row r="311" spans="2:7">
      <c r="B311" s="25" t="str">
        <f>IF(C311="","","PID-"&amp;TEXT(ROW()-2,"0000"))</f>
        <v/>
      </c>
      <c r="C311" s="25"/>
      <c r="D311" s="25"/>
      <c r="E311" s="255"/>
      <c r="F311" s="25"/>
      <c r="G311" s="25"/>
    </row>
    <row r="312" spans="2:7">
      <c r="B312" s="25" t="str">
        <f>IF(C312="","","PID-"&amp;TEXT(ROW()-2,"0000"))</f>
        <v/>
      </c>
      <c r="C312" s="25"/>
      <c r="D312" s="25"/>
      <c r="E312" s="255"/>
      <c r="F312" s="25"/>
      <c r="G312" s="25"/>
    </row>
    <row r="313" spans="2:7">
      <c r="B313" s="25" t="str">
        <f>IF(C313="","","PID-"&amp;TEXT(ROW()-2,"0000"))</f>
        <v/>
      </c>
      <c r="C313" s="25"/>
      <c r="D313" s="25"/>
      <c r="E313" s="255"/>
      <c r="F313" s="25"/>
      <c r="G313" s="25"/>
    </row>
    <row r="314" spans="2:7">
      <c r="B314" s="25" t="str">
        <f>IF(C314="","","PID-"&amp;TEXT(ROW()-2,"0000"))</f>
        <v/>
      </c>
      <c r="C314" s="25"/>
      <c r="D314" s="25"/>
      <c r="E314" s="255"/>
      <c r="F314" s="25"/>
      <c r="G314" s="25"/>
    </row>
    <row r="315" spans="2:7">
      <c r="B315" s="25" t="str">
        <f>IF(C315="","","PID-"&amp;TEXT(ROW()-2,"0000"))</f>
        <v/>
      </c>
      <c r="C315" s="25"/>
      <c r="D315" s="25"/>
      <c r="E315" s="255"/>
      <c r="F315" s="25"/>
      <c r="G315" s="25"/>
    </row>
    <row r="316" spans="2:7">
      <c r="B316" s="25" t="str">
        <f>IF(C316="","","PID-"&amp;TEXT(ROW()-2,"0000"))</f>
        <v/>
      </c>
      <c r="C316" s="25"/>
      <c r="D316" s="25"/>
      <c r="E316" s="255"/>
      <c r="F316" s="25"/>
      <c r="G316" s="25"/>
    </row>
    <row r="317" spans="2:7">
      <c r="B317" s="25" t="str">
        <f>IF(C317="","","PID-"&amp;TEXT(ROW()-2,"0000"))</f>
        <v/>
      </c>
      <c r="C317" s="25"/>
      <c r="D317" s="25"/>
      <c r="E317" s="255"/>
      <c r="F317" s="25"/>
      <c r="G317" s="25"/>
    </row>
    <row r="318" spans="2:7">
      <c r="B318" s="25" t="str">
        <f>IF(C318="","","PID-"&amp;TEXT(ROW()-2,"0000"))</f>
        <v/>
      </c>
      <c r="C318" s="25"/>
      <c r="D318" s="25"/>
      <c r="E318" s="255"/>
      <c r="F318" s="25"/>
      <c r="G318" s="25"/>
    </row>
    <row r="319" spans="2:7">
      <c r="B319" s="25" t="str">
        <f>IF(C319="","","PID-"&amp;TEXT(ROW()-2,"0000"))</f>
        <v/>
      </c>
      <c r="C319" s="25"/>
      <c r="D319" s="25"/>
      <c r="E319" s="255"/>
      <c r="F319" s="25"/>
      <c r="G319" s="25"/>
    </row>
  </sheetData>
  <mergeCells count="12">
    <mergeCell ref="A134:A145"/>
    <mergeCell ref="A2:A13"/>
    <mergeCell ref="A14:A25"/>
    <mergeCell ref="A26:A37"/>
    <mergeCell ref="A38:A49"/>
    <mergeCell ref="A50:A61"/>
    <mergeCell ref="A62:A73"/>
    <mergeCell ref="A74:A84"/>
    <mergeCell ref="A86:A97"/>
    <mergeCell ref="A98:A109"/>
    <mergeCell ref="A110:A121"/>
    <mergeCell ref="A122:A133"/>
  </mergeCells>
  <conditionalFormatting sqref="D152:E319 E2 E4 E18 E20 E22 E29 E37 E39 E47 E61 E63 E65 E67 E69 E71 E87 E89 E91 E93 E95 E97 E99 E101 E103 E105 E107 E109 E111 E113 E115 E117 E119 E121 E123 E125 E127 E129 E131 E133 E135 E137 E139 D26 E49 E75 E77 E79 E81:E82 E41 E85 E73 BC33 E33">
    <cfRule type="expression" dxfId="112" priority="9">
      <formula>AND($C2&lt;&gt;"",D2="")</formula>
    </cfRule>
  </conditionalFormatting>
  <conditionalFormatting sqref="I26">
    <cfRule type="expression" dxfId="111" priority="8">
      <formula>AND($C26&lt;&gt;"",I26="")</formula>
    </cfRule>
  </conditionalFormatting>
  <conditionalFormatting sqref="E43">
    <cfRule type="expression" dxfId="110" priority="7">
      <formula>AND($C43&lt;&gt;"",E43="")</formula>
    </cfRule>
  </conditionalFormatting>
  <conditionalFormatting sqref="E45">
    <cfRule type="expression" dxfId="109" priority="6">
      <formula>AND($C45&lt;&gt;"",E45="")</formula>
    </cfRule>
  </conditionalFormatting>
  <conditionalFormatting sqref="I31">
    <cfRule type="expression" dxfId="108" priority="5">
      <formula>AND($C31&lt;&gt;"",I31="")</formula>
    </cfRule>
  </conditionalFormatting>
  <conditionalFormatting sqref="BD33">
    <cfRule type="expression" dxfId="107" priority="4">
      <formula>AND($C35&lt;&gt;"",BD33="")</formula>
    </cfRule>
  </conditionalFormatting>
  <conditionalFormatting sqref="I14">
    <cfRule type="expression" dxfId="106" priority="3">
      <formula>AND($C14&lt;&gt;"",I14="")</formula>
    </cfRule>
  </conditionalFormatting>
  <conditionalFormatting sqref="I21">
    <cfRule type="expression" dxfId="105" priority="2">
      <formula>AND($C21&lt;&gt;"",I21="")</formula>
    </cfRule>
  </conditionalFormatting>
  <conditionalFormatting sqref="C152:C319">
    <cfRule type="expression" dxfId="104" priority="10">
      <formula>AND(C152&lt;&gt;"",COUNTIF($C$2:$C$319,C152)&gt;1)</formula>
    </cfRule>
    <cfRule type="expression" dxfId="103" priority="11">
      <formula>AND($C152&lt;&gt;"",C152="")</formula>
    </cfRule>
  </conditionalFormatting>
  <conditionalFormatting sqref="F141 F152:F319">
    <cfRule type="expression" dxfId="102" priority="12">
      <formula>AND(F141&lt;&gt;"",COUNTIF($F$2:$F$319,F141)&gt;1)</formula>
    </cfRule>
    <cfRule type="expression" dxfId="101" priority="13">
      <formula>AND(C141&lt;&gt;"",F141="")</formula>
    </cfRule>
  </conditionalFormatting>
  <conditionalFormatting sqref="I16:I17">
    <cfRule type="expression" dxfId="100" priority="1">
      <formula>AND($C16&lt;&gt;"",I16="")</formula>
    </cfRule>
  </conditionalFormatting>
  <dataValidations count="1">
    <dataValidation type="whole" allowBlank="1" errorTitle="Invalid year" error="Enter a year between 2014 and 2030." promptTitle="Publication Year" prompt="Enter the publication year (numeric)." sqref="D152:D319" xr:uid="{1DF60936-97D4-492A-B331-FD90CEA1A86C}">
      <formula1>2014</formula1>
      <formula2>2030</formula2>
    </dataValidation>
  </dataValidations>
  <hyperlinks>
    <hyperlink ref="B49" r:id="rId1" xr:uid="{E5763C34-51B4-46D2-BC23-A74180634848}"/>
    <hyperlink ref="F61" r:id="rId2" xr:uid="{6352890A-5FC0-4591-AA4D-E0F85045C188}"/>
    <hyperlink ref="B50" r:id="rId3" xr:uid="{F4573041-D292-4ABE-8445-BDE91B681A2B}"/>
    <hyperlink ref="B51" r:id="rId4" xr:uid="{2298ABBB-6DB8-4CCE-871F-ECFF66837B8C}"/>
    <hyperlink ref="F49" r:id="rId5" xr:uid="{DC4CE0D9-428D-47E0-BC35-1AE408E9709D}"/>
    <hyperlink ref="F50" r:id="rId6" xr:uid="{88DFF40F-6108-4297-85FC-59F4814928B7}"/>
    <hyperlink ref="F51" r:id="rId7" xr:uid="{F160D844-19DE-4A4B-AD6D-34B7FF7F9692}"/>
    <hyperlink ref="F52" r:id="rId8" xr:uid="{88DE1890-F266-4AF3-BF5D-781E14AC505D}"/>
    <hyperlink ref="B52" r:id="rId9" xr:uid="{BFBA387D-40A7-4095-AE4E-76B4F86BB55A}"/>
    <hyperlink ref="F73" r:id="rId10" xr:uid="{1CCC303A-F65C-4118-88BF-DD7EA860FBCB}"/>
    <hyperlink ref="F53" r:id="rId11" xr:uid="{7E6F7CD6-F6F6-49F3-8848-00EACC202AB4}"/>
    <hyperlink ref="B53" r:id="rId12" xr:uid="{4C13890A-3B20-44F2-BE3D-DD1526089902}"/>
    <hyperlink ref="F54" r:id="rId13" xr:uid="{B50F4C0C-2EEB-46A9-B431-1AB1046EC888}"/>
    <hyperlink ref="B54" r:id="rId14" xr:uid="{F0231808-E9C6-4093-A1CF-B00BC825AD9E}"/>
    <hyperlink ref="F26" r:id="rId15" xr:uid="{B302AEE0-AAC6-492B-9E4F-454A62C05734}"/>
    <hyperlink ref="F55" r:id="rId16" xr:uid="{03BE2055-CBA8-401E-BF62-7CBCC71362E9}"/>
    <hyperlink ref="B55" r:id="rId17" display="10.1177/10711813251360704" xr:uid="{010A1E1C-B438-4811-B0AF-91C87C84A961}"/>
    <hyperlink ref="F74" r:id="rId18" xr:uid="{DEEB9036-CAB2-4555-8B25-B52575B27416}"/>
    <hyperlink ref="F56" r:id="rId19" xr:uid="{5429B93A-F7F9-49E0-A870-0FEEA64FF4C7}"/>
    <hyperlink ref="F57" r:id="rId20" xr:uid="{3A99AF98-7926-4DF4-B9C4-00FCD0C084EB}"/>
    <hyperlink ref="B57" r:id="rId21" xr:uid="{0E189BBD-9235-475E-A2B5-5D01AF988307}"/>
    <hyperlink ref="B37" r:id="rId22" xr:uid="{C9567C4A-818D-4418-9CED-F8BDBB9C53A2}"/>
    <hyperlink ref="B58" r:id="rId23" xr:uid="{3C88F908-8C91-48BB-8CB1-B0FF1AFD5B36}"/>
    <hyperlink ref="F58" r:id="rId24" xr:uid="{3EA7984D-5416-4603-BD40-5973D4E2F7AF}"/>
    <hyperlink ref="F59" r:id="rId25" xr:uid="{9C3F1663-4311-4D30-9AAD-915C4EC717AD}"/>
    <hyperlink ref="F37" r:id="rId26" xr:uid="{812B3202-D745-4AB6-9561-4C463EB10A06}"/>
    <hyperlink ref="B59" r:id="rId27" xr:uid="{1ACB30D1-C897-4406-AE83-F6927CCE450D}"/>
    <hyperlink ref="B60" r:id="rId28" xr:uid="{F250676D-191C-4CC7-BC64-18C68904F709}"/>
    <hyperlink ref="F60" r:id="rId29" xr:uid="{B4B3707D-9FF3-4532-8425-710DA6B50E5C}"/>
    <hyperlink ref="F75" r:id="rId30" xr:uid="{BB22E580-EEFF-464E-8C2D-90867F9B9165}"/>
    <hyperlink ref="F76" r:id="rId31" xr:uid="{2F9AAE2C-2C9E-4049-AAED-B6C2F03AD982}"/>
    <hyperlink ref="F77" r:id="rId32" xr:uid="{16313544-7023-46F0-81CE-A296E9D4F81E}"/>
    <hyperlink ref="F78" r:id="rId33" xr:uid="{987B8FEA-7AC6-4124-8642-C76B8EBAF86D}"/>
    <hyperlink ref="D62" r:id="rId34" display="10.1016/j.neubiorev.2007.05.010" xr:uid="{06920501-1CF4-43F3-B808-CCFFFE0E87A3}"/>
    <hyperlink ref="F62" r:id="rId35" xr:uid="{322DBD7B-D30D-4EE4-A461-B2B023EFD51F}"/>
    <hyperlink ref="F63" r:id="rId36" xr:uid="{5BCBB728-6BDC-486D-A663-709D4535B535}"/>
    <hyperlink ref="F79" r:id="rId37" xr:uid="{3CDDF813-0C78-4928-A1A1-897296CBC4DB}"/>
    <hyperlink ref="B38" r:id="rId38" xr:uid="{3E1622DC-BDCA-46C1-9952-F3F9A7F9E029}"/>
    <hyperlink ref="F38" r:id="rId39" xr:uid="{9FDCBFD4-8AE4-44A2-9444-6997B61200D9}"/>
    <hyperlink ref="F64" r:id="rId40" xr:uid="{C8B4A0A6-1584-44BF-B2F9-44A14D1B4FC8}"/>
    <hyperlink ref="F80" r:id="rId41" xr:uid="{263F263E-2BAB-403E-A377-5D2E9F6CAE6F}"/>
    <hyperlink ref="F81" r:id="rId42" xr:uid="{13D16B1E-8620-4A7D-B834-60DE4AD1C8B1}"/>
    <hyperlink ref="B67" r:id="rId43" xr:uid="{88908F3F-7615-4424-BF61-F4EDC03E412E}"/>
    <hyperlink ref="F67" r:id="rId44" xr:uid="{210B8FBA-6324-469D-A3EC-E2BD0C248C4E}"/>
    <hyperlink ref="B39" r:id="rId45" xr:uid="{69B5ABE0-5DAF-44A4-A094-04E449A40CB8}"/>
    <hyperlink ref="F39" r:id="rId46" xr:uid="{938CEA36-D637-4095-9392-6FF80569A53E}"/>
    <hyperlink ref="B131" r:id="rId47" xr:uid="{36026914-9FEE-4FEB-B4C5-08B7446D2C02}"/>
    <hyperlink ref="F40" r:id="rId48" xr:uid="{2004B39C-29F2-427F-9D3B-2160D7588029}"/>
    <hyperlink ref="F131" r:id="rId49" xr:uid="{20227ED2-7C5B-49B7-9F9B-5D8A9EE26544}"/>
    <hyperlink ref="F133" r:id="rId50" xr:uid="{015E8C88-81C5-40F5-B9CD-97E9F2B3A476}"/>
    <hyperlink ref="F134" r:id="rId51" xr:uid="{74B7D876-CF6C-4AFD-888C-3B668A0AFE64}"/>
    <hyperlink ref="B135" r:id="rId52" xr:uid="{CBB9C9E1-095C-4391-8790-D87D3BFD13A0}"/>
    <hyperlink ref="F135" r:id="rId53" xr:uid="{255815F7-09E6-42AB-88C7-1A32DD41D5C2}"/>
    <hyperlink ref="F136" r:id="rId54" xr:uid="{CC97B946-928A-4778-A0BA-EB8D98ADDE8C}"/>
    <hyperlink ref="F82" r:id="rId55" xr:uid="{9C7A385F-C5B2-411D-AD33-42D98BADB18D}"/>
    <hyperlink ref="F41" r:id="rId56" xr:uid="{27B228C5-BB16-4113-8B56-868A5478738C}"/>
    <hyperlink ref="F2" r:id="rId57" xr:uid="{B36B6E59-6856-4639-8A5B-1018C9478BF2}"/>
    <hyperlink ref="B3" r:id="rId58" xr:uid="{CD9434D6-BF3B-40D0-AD1B-55333177E4E2}"/>
    <hyperlink ref="F3" r:id="rId59" xr:uid="{B414FE1D-AFBD-449D-85AB-E7F25B81F364}"/>
    <hyperlink ref="B4" r:id="rId60" xr:uid="{2F13C0F8-6DDD-459A-94CC-5923A41FE29B}"/>
    <hyperlink ref="F4" r:id="rId61" xr:uid="{07B8FB62-CB1C-4580-A76E-2F7B5C647890}"/>
    <hyperlink ref="B5" r:id="rId62" xr:uid="{BD238DF4-7438-42EB-91C5-5EE59A0EDE31}"/>
    <hyperlink ref="F5" r:id="rId63" xr:uid="{994C37E4-34D8-46B7-B699-5D05993D9534}"/>
    <hyperlink ref="F29" r:id="rId64" xr:uid="{1013DCC9-1B87-4FFC-97D9-6BF0E4D89E0F}"/>
    <hyperlink ref="F31" r:id="rId65" xr:uid="{FDADD43F-0DF0-44B4-9B60-9746AFB2CC2F}"/>
    <hyperlink ref="F19" r:id="rId66" xr:uid="{4B1E6BA1-8904-4188-AC2F-F8DEE739866B}"/>
    <hyperlink ref="B20" r:id="rId67" xr:uid="{916E1FF9-DBA0-4694-8C68-6A8FFE66C06A}"/>
    <hyperlink ref="F20" r:id="rId68" xr:uid="{D289E222-8418-4A6C-9C1C-88DD10871796}"/>
    <hyperlink ref="B22" r:id="rId69" xr:uid="{7FBBD843-F0CC-44B4-8EC1-FD85A52CBF17}"/>
    <hyperlink ref="F22" r:id="rId70" xr:uid="{72E04898-B1CF-4562-A963-C5B41F9787A9}"/>
    <hyperlink ref="F28" r:id="rId71" xr:uid="{AD66A577-5496-4267-8676-82964A5E7694}"/>
    <hyperlink ref="F23" r:id="rId72" xr:uid="{A8197705-9DA3-4AF2-BD88-84B41FF8F104}"/>
    <hyperlink ref="B42" r:id="rId73" xr:uid="{2A829FFF-F66B-4C55-9B5D-C1773A69C320}"/>
    <hyperlink ref="F42" r:id="rId74" xr:uid="{C8B441A8-FC2E-4D0C-A7CB-16EEA9BD9186}"/>
    <hyperlink ref="F43" r:id="rId75" xr:uid="{5600B8EF-3220-4494-A379-2179178B34B9}"/>
    <hyperlink ref="B44" r:id="rId76" xr:uid="{04512C48-791A-45BF-9567-41251124B47D}"/>
    <hyperlink ref="F44" r:id="rId77" xr:uid="{CD835529-DC33-413A-98D4-3C43668793C5}"/>
    <hyperlink ref="B45" r:id="rId78" xr:uid="{EFD03019-81BD-4508-8CEB-07DE285FD33D}"/>
    <hyperlink ref="F45" r:id="rId79" xr:uid="{F46EB434-AB56-4AC2-BAAB-8424F0739884}"/>
    <hyperlink ref="F83" r:id="rId80" xr:uid="{C97593F7-1B3C-49B0-BEC3-3DFC5DD1F233}"/>
    <hyperlink ref="B109" r:id="rId81" xr:uid="{DD835D89-1A55-490F-8F7C-B0009A8FC384}"/>
    <hyperlink ref="B120" r:id="rId82" xr:uid="{602E7FD8-AFD2-4B53-BD13-32FBBCE7FC98}"/>
    <hyperlink ref="F120" r:id="rId83" xr:uid="{70F42138-1259-4A86-9BDE-E85258DB3B9D}"/>
    <hyperlink ref="B85" r:id="rId84" xr:uid="{42BF94B3-E126-4DFE-9AFE-964FC5486E8E}"/>
    <hyperlink ref="F85" r:id="rId85" xr:uid="{11AFA7DA-CDDB-4EBC-A88E-1CF9F6CF9499}"/>
    <hyperlink ref="B86" r:id="rId86" xr:uid="{CB329E84-4F9B-466D-82E7-0C0E7F055580}"/>
    <hyperlink ref="F86" r:id="rId87" xr:uid="{F883BC65-6CF4-4DA3-A733-87D3A67E5CB4}"/>
    <hyperlink ref="F87" r:id="rId88" xr:uid="{D120E029-DF48-420F-B827-5FD28B3B3D1B}"/>
    <hyperlink ref="F88" r:id="rId89" xr:uid="{E1D2B52C-8287-4CC2-B7E5-5E6D17F8DFEE}"/>
    <hyperlink ref="F89" r:id="rId90" xr:uid="{715F89B4-B76A-4BD5-B287-C44AB2E0059D}"/>
    <hyperlink ref="B46" r:id="rId91" xr:uid="{A37763EF-4739-4D93-AE32-4C0179905784}"/>
    <hyperlink ref="B47" r:id="rId92" xr:uid="{D52539C3-A7E8-4A7B-875F-FFA47D9C82C6}"/>
    <hyperlink ref="F47" r:id="rId93" xr:uid="{DC2A3A08-0E27-43F3-B876-23529DE3D2B2}"/>
    <hyperlink ref="B48" r:id="rId94" xr:uid="{8C77A085-1422-4FF2-9CFC-90FDF67E0892}"/>
    <hyperlink ref="F48" r:id="rId95" xr:uid="{A81EC550-0FFC-4356-AF7F-52B3C6173DEE}"/>
    <hyperlink ref="F14" r:id="rId96" xr:uid="{7A6AEAE9-8927-41E0-BD20-B419FB7C7F31}"/>
    <hyperlink ref="B32" r:id="rId97" display="https://doi.org/10.1007/s11042-022-12577-w" xr:uid="{1F4FA7A2-3E86-4618-B10E-BF2A37FF968F}"/>
    <hyperlink ref="F32" r:id="rId98" xr:uid="{35AF3571-750A-4A3C-B751-9F6FF292F61D}"/>
    <hyperlink ref="F33" r:id="rId99" xr:uid="{D143D5C6-92C3-49D6-A69B-4823992416D8}"/>
    <hyperlink ref="F34" r:id="rId100" xr:uid="{90AA43DE-4A8B-44AD-9204-9449F36FA1CA}"/>
    <hyperlink ref="F36" r:id="rId101" xr:uid="{4AC28D3B-5BDA-46A9-84D6-FFAF679D023F}"/>
    <hyperlink ref="F21" r:id="rId102" xr:uid="{B710C5F0-93DD-4CD0-8B57-2E526C48D9E7}"/>
    <hyperlink ref="B18" r:id="rId103" xr:uid="{C0259897-04E6-49AB-B174-259D5A5E30BF}"/>
    <hyperlink ref="F18" r:id="rId104" xr:uid="{DD4CB7E3-A3D7-45BF-8F28-2E270FE78D6F}"/>
    <hyperlink ref="F98" r:id="rId105" xr:uid="{564B83D9-C32E-49C2-BAAE-B0284A93A820}"/>
    <hyperlink ref="B99" r:id="rId106" xr:uid="{0A53BF91-FC0F-418F-BD89-7CAF08668935}"/>
    <hyperlink ref="F99" r:id="rId107" xr:uid="{B0CE2581-6E65-459B-A726-AFE73E021DFA}"/>
    <hyperlink ref="F100" r:id="rId108" xr:uid="{B75DE4A6-A68F-4BF9-8133-497E5EB4F567}"/>
    <hyperlink ref="F101" r:id="rId109" xr:uid="{FB373599-AD36-4561-BB3E-08B66EE3C63C}"/>
    <hyperlink ref="F15" r:id="rId110" xr:uid="{D1863809-B442-468E-869C-EC32B124DE5D}"/>
    <hyperlink ref="B110" r:id="rId111" xr:uid="{7A1FF052-0FAE-4E02-A8AD-9CD778BEE4DE}"/>
    <hyperlink ref="F110" r:id="rId112" xr:uid="{A45D0F8C-FDEF-469D-8A62-A0FF49726876}"/>
    <hyperlink ref="B111" r:id="rId113" xr:uid="{DD5E6EB2-2FC4-4288-A36D-88120BF125FA}"/>
    <hyperlink ref="F111" r:id="rId114" location="Sec12" xr:uid="{02889939-2F71-4427-A9DB-7D5ABA311075}"/>
    <hyperlink ref="B112" r:id="rId115" xr:uid="{47ED8081-9ED4-497C-A75A-7064D7AB8FA0}"/>
    <hyperlink ref="F112" r:id="rId116" location="Abs1" xr:uid="{AD48A5C4-CDD4-4948-B0DB-D6C0369CC120}"/>
    <hyperlink ref="B6" r:id="rId117" display="https://journals.sagepub.com/doi/10.1177/0145482X19842491" xr:uid="{EA491BEA-08E1-4BDA-82DC-0A4DFC0B767C}"/>
    <hyperlink ref="B7" r:id="rId118" display="https://pdfs.semanticscholar.org/9dc6/62fe1c66d32fd96ad040285a9ec3af56c912.pdf/1000" xr:uid="{D9B77907-0CBA-4AB0-A4AF-32378AD3B8AA}"/>
    <hyperlink ref="B8" r:id="rId119" display="https://ojs.aaai.org/index.php/AAAI/article/view/25233?utm_source=chatgpt.com" xr:uid="{B07836AB-0A47-40A6-8A8C-4E0980D40758}"/>
    <hyperlink ref="B9" r:id="rId120" display="https://ieeexplore.ieee.org/document/6611022" xr:uid="{1716D2BA-D525-43E8-87E5-7A74E57C278A}"/>
    <hyperlink ref="B10" r:id="rId121" display="https://ecasp.ece.iit.edu/publications/2012-present/2021-10.pdf" xr:uid="{343B0B0D-9C52-429C-8470-DF8B6B1DE08E}"/>
    <hyperlink ref="B11" r:id="rId122" display="https://arxiv.org/abs/2108.09174" xr:uid="{83B3F01C-4114-46A7-8BF8-430FABCF0A87}"/>
    <hyperlink ref="B12" r:id="rId123" display="https://arxiv.org/abs/2201.03036" xr:uid="{B076F6DB-2A6F-43FC-8DD2-42BE1712D228}"/>
    <hyperlink ref="B13" r:id="rId124" display="https://arxiv.org/abs/2201.04453like " xr:uid="{8795CBE5-A196-49B9-8D42-FE04C3851E1A}"/>
    <hyperlink ref="F6" r:id="rId125" xr:uid="{B3E102E9-BF89-43B7-99C1-2AEFF25E82F2}"/>
    <hyperlink ref="F7" r:id="rId126" xr:uid="{7CC3B3B2-D4BC-4BEC-BFA8-A7838EF5B551}"/>
    <hyperlink ref="F8" r:id="rId127" xr:uid="{C975F91D-FA43-4E25-846C-35741966DACA}"/>
    <hyperlink ref="F9" r:id="rId128" xr:uid="{689A0C4A-75E3-422F-9DAD-33C5ECAA2C92}"/>
    <hyperlink ref="F10" r:id="rId129" xr:uid="{DED3A8F0-819A-4C73-AE3A-E470B795A3F3}"/>
    <hyperlink ref="F11" r:id="rId130" xr:uid="{868B27A1-051E-49ED-9CE7-8E2D971C8689}"/>
    <hyperlink ref="B113" r:id="rId131" xr:uid="{9C3FBFFF-F87F-4A7B-A42D-601B0A4C88B7}"/>
    <hyperlink ref="F13" r:id="rId132" xr:uid="{873F5BD1-239A-4774-A9A0-2E5A53222C2B}"/>
    <hyperlink ref="F113" r:id="rId133" location="Abs1" xr:uid="{068EEDC3-6A8F-427D-A9C0-7DE031EBE062}"/>
    <hyperlink ref="F12" r:id="rId134" xr:uid="{BF03F7C4-5121-42BC-8678-E3904BB735A1}"/>
    <hyperlink ref="F114" r:id="rId135" location="Abs1" xr:uid="{866B8A23-F31C-471F-9279-29546D71DED0}"/>
    <hyperlink ref="F115" r:id="rId136" location="Abs1" xr:uid="{88E51A89-7112-4313-8579-6C25BF79F540}"/>
    <hyperlink ref="B114" r:id="rId137" xr:uid="{D88A8B0F-80C1-4D74-BA26-5E3716451F1D}"/>
    <hyperlink ref="B116" r:id="rId138" xr:uid="{C6DD1E50-C164-49B5-AB65-DA7237760BCB}"/>
    <hyperlink ref="B117" r:id="rId139" xr:uid="{EB015A40-B154-4949-82AA-21256FB6733A}"/>
    <hyperlink ref="F117" r:id="rId140" location="Abs1" xr:uid="{B404660A-7FFB-4D87-9FE5-3FBDA04C3BC7}"/>
    <hyperlink ref="B118" r:id="rId141" xr:uid="{7D612D17-D5E5-49AA-80ED-F95F5944BB4C}"/>
    <hyperlink ref="F118" r:id="rId142" location="Abs1" xr:uid="{B4DA6A90-0919-4AA4-9409-D4E49739D9A8}"/>
    <hyperlink ref="F102" r:id="rId143" xr:uid="{655B3854-2497-45EB-BB0A-384E16A83EA6}"/>
    <hyperlink ref="F103" r:id="rId144" xr:uid="{3C27C8CF-02BC-4439-9CC9-93E3DA80FB32}"/>
    <hyperlink ref="F104" r:id="rId145" xr:uid="{A3D6BE45-AE30-46E2-A4F2-146C90ACB899}"/>
    <hyperlink ref="F105" r:id="rId146" xr:uid="{8D25EA8A-73E4-44EB-A96C-30E635584E45}"/>
    <hyperlink ref="F106" r:id="rId147" xr:uid="{24899FEF-3AF0-4541-96DB-0BB14F7EE2E4}"/>
    <hyperlink ref="F107" r:id="rId148" xr:uid="{9D8F72A0-D240-4B32-ADFE-21B4D6918ECA}"/>
    <hyperlink ref="F108" r:id="rId149" xr:uid="{C3CDD4A8-BBB4-4BE8-931C-2C948DC29A34}"/>
    <hyperlink ref="F109" r:id="rId150" xr:uid="{6F2394FD-7632-4268-B25F-DD99F40CED52}"/>
    <hyperlink ref="B98" r:id="rId151" xr:uid="{FAAF4733-A99B-4E74-9387-F4C532B36FEF}"/>
  </hyperlinks>
  <pageMargins left="0.75" right="0.75" top="1" bottom="1" header="0.511811023622047" footer="0.511811023622047"/>
  <pageSetup paperSize="9" orientation="portrait" horizontalDpi="300" verticalDpi="300"/>
  <tableParts count="1">
    <tablePart r:id="rId152"/>
  </tableParts>
  <extLst>
    <ext xmlns:x14="http://schemas.microsoft.com/office/spreadsheetml/2009/9/main" uri="{CCE6A557-97BC-4b89-ADB6-D9C93CAAB3DF}">
      <x14:dataValidations xmlns:xm="http://schemas.microsoft.com/office/excel/2006/main" count="1">
        <x14:dataValidation type="list" allowBlank="1" errorTitle="Invalid entry" error="Please choose a value from the dropdown list." promptTitle="Publisher" prompt="Select the publisher." xr:uid="{A1331CF2-E6E6-4DB4-9244-176FBD286429}">
          <x14:formula1>
            <xm:f>Lists!$B$2:$B$11</xm:f>
          </x14:formula1>
          <x14:formula2>
            <xm:f>0</xm:f>
          </x14:formula2>
          <xm:sqref>E139 E2 E4 E137 E135 E133 E131 E14 E16 E18 E20 E22 E85 E26 E119 E29 E31 BC33 E35 E37 E39 E41 E43 E45 E47 E49 E121 E123 E125 E127 E129 E61 E63 E65 E67 E69 E71 E74 E76 E78 E80 E82 E152:E319 E87 E89 E91 E93 E95 E97 E99 E101 E103 E105 E107 E109 E111 E113 E115 E117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0D173-2B78-4E2D-9F6F-61A9914A0946}">
  <sheetPr>
    <tabColor rgb="FF003C71"/>
  </sheetPr>
  <dimension ref="A1:BD319"/>
  <sheetViews>
    <sheetView zoomScaleNormal="100" workbookViewId="0">
      <pane xSplit="1" topLeftCell="B80" activePane="topRight" state="frozen"/>
      <selection pane="topRight" activeCell="K2" sqref="K2"/>
      <selection activeCell="A3" sqref="A3"/>
    </sheetView>
  </sheetViews>
  <sheetFormatPr defaultColWidth="13.42578125" defaultRowHeight="15"/>
  <cols>
    <col min="1" max="1" width="5" customWidth="1"/>
    <col min="2" max="2" width="33.28515625" customWidth="1"/>
    <col min="3" max="3" width="122.28515625" bestFit="1" customWidth="1"/>
    <col min="4" max="4" width="21.5703125" customWidth="1"/>
    <col min="5" max="5" width="17" style="33" bestFit="1" customWidth="1"/>
    <col min="6" max="6" width="78" bestFit="1" customWidth="1"/>
    <col min="7" max="7" width="44.140625" bestFit="1" customWidth="1"/>
    <col min="8" max="8" width="23.140625" customWidth="1"/>
    <col min="9" max="9" width="133" bestFit="1" customWidth="1"/>
    <col min="10" max="10" width="99.140625" bestFit="1" customWidth="1"/>
    <col min="11" max="11" width="221.7109375" bestFit="1" customWidth="1"/>
    <col min="12" max="12" width="99.140625" customWidth="1"/>
    <col min="13" max="13" width="15" customWidth="1"/>
    <col min="14" max="14" width="18" customWidth="1"/>
  </cols>
  <sheetData>
    <row r="1" spans="1:13">
      <c r="B1" s="38" t="s">
        <v>0</v>
      </c>
      <c r="C1" s="38" t="s">
        <v>1</v>
      </c>
      <c r="D1" s="38" t="s">
        <v>2</v>
      </c>
      <c r="E1" s="38" t="s">
        <v>3</v>
      </c>
      <c r="F1" s="38" t="s">
        <v>4</v>
      </c>
      <c r="G1" s="38" t="s">
        <v>713</v>
      </c>
      <c r="H1" s="38" t="s">
        <v>6</v>
      </c>
      <c r="I1" s="38" t="s">
        <v>7</v>
      </c>
      <c r="J1" s="38" t="s">
        <v>8</v>
      </c>
      <c r="K1" s="38" t="s">
        <v>714</v>
      </c>
      <c r="L1" s="38" t="s">
        <v>10</v>
      </c>
      <c r="M1" s="38" t="s">
        <v>11</v>
      </c>
    </row>
    <row r="2" spans="1:13" ht="15.75">
      <c r="A2" s="354"/>
      <c r="C2" s="200"/>
      <c r="D2" s="77"/>
      <c r="E2" s="132"/>
      <c r="F2" s="201"/>
      <c r="G2" s="215"/>
      <c r="H2" s="105"/>
      <c r="I2" s="36"/>
      <c r="J2" s="207"/>
      <c r="K2" s="207"/>
      <c r="L2" s="207"/>
      <c r="M2" s="207"/>
    </row>
    <row r="3" spans="1:13" ht="15.75">
      <c r="A3" s="354"/>
      <c r="B3" s="191"/>
      <c r="C3" s="202"/>
      <c r="D3" s="97"/>
      <c r="E3" s="97"/>
      <c r="F3" s="127"/>
      <c r="G3" s="158"/>
      <c r="H3" s="105"/>
      <c r="I3" s="35"/>
      <c r="J3" s="208"/>
      <c r="K3" s="208"/>
      <c r="L3" s="208"/>
      <c r="M3" s="208"/>
    </row>
    <row r="4" spans="1:13" ht="15.75">
      <c r="A4" s="354"/>
      <c r="B4" s="190"/>
      <c r="C4" s="139"/>
      <c r="D4" s="77"/>
      <c r="E4" s="77"/>
      <c r="F4" s="112"/>
      <c r="G4" s="164"/>
      <c r="H4" s="105"/>
      <c r="J4" s="209"/>
      <c r="K4" s="210"/>
      <c r="L4" s="210"/>
      <c r="M4" s="209"/>
    </row>
    <row r="5" spans="1:13" ht="15.75">
      <c r="A5" s="354"/>
      <c r="B5" s="191"/>
      <c r="C5" s="158"/>
      <c r="D5" s="97"/>
      <c r="E5" s="97"/>
      <c r="F5" s="127"/>
      <c r="G5" s="158"/>
      <c r="H5" s="105"/>
      <c r="I5" s="35"/>
      <c r="J5" s="208"/>
      <c r="K5" s="208"/>
      <c r="L5" s="208"/>
      <c r="M5" s="208"/>
    </row>
    <row r="6" spans="1:13" ht="15.75">
      <c r="A6" s="354"/>
      <c r="B6" s="190"/>
      <c r="C6" s="33"/>
      <c r="D6" s="77"/>
      <c r="F6" s="112"/>
      <c r="G6" s="164"/>
      <c r="H6" s="198"/>
      <c r="J6" s="209"/>
      <c r="K6" s="210"/>
      <c r="L6" s="210"/>
      <c r="M6" s="209"/>
    </row>
    <row r="7" spans="1:13" ht="16.5" customHeight="1">
      <c r="A7" s="354"/>
      <c r="B7" s="191"/>
      <c r="C7" s="33"/>
      <c r="D7" s="97"/>
      <c r="E7" s="189"/>
      <c r="F7" s="127"/>
      <c r="G7" s="97"/>
      <c r="H7" s="104"/>
      <c r="I7" s="199"/>
      <c r="J7" s="211"/>
      <c r="K7" s="211"/>
      <c r="L7" s="211"/>
      <c r="M7" s="211"/>
    </row>
    <row r="8" spans="1:13" ht="16.5" customHeight="1">
      <c r="A8" s="354"/>
      <c r="B8" s="190"/>
      <c r="C8" s="33"/>
      <c r="D8" s="77"/>
      <c r="E8" s="189"/>
      <c r="F8" s="112"/>
      <c r="G8" s="165"/>
      <c r="H8" s="104"/>
      <c r="I8" s="33"/>
      <c r="J8" s="209"/>
      <c r="K8" s="209"/>
      <c r="L8" s="209"/>
      <c r="M8" s="209"/>
    </row>
    <row r="9" spans="1:13" ht="16.5" customHeight="1">
      <c r="A9" s="354"/>
      <c r="B9" s="194"/>
      <c r="C9" s="204"/>
      <c r="D9" s="195"/>
      <c r="E9" s="196"/>
      <c r="F9" s="127"/>
      <c r="G9" s="158"/>
      <c r="H9" s="104"/>
      <c r="I9" s="33"/>
      <c r="J9" s="211"/>
      <c r="K9" s="211"/>
      <c r="L9" s="211"/>
      <c r="M9" s="211"/>
    </row>
    <row r="10" spans="1:13" ht="15.75">
      <c r="A10" s="354"/>
      <c r="B10" s="193"/>
      <c r="C10" s="33"/>
      <c r="D10" s="77"/>
      <c r="F10" s="112"/>
      <c r="G10" s="164"/>
      <c r="H10" s="198"/>
      <c r="I10" s="33"/>
      <c r="J10" s="209"/>
      <c r="K10" s="210"/>
      <c r="L10" s="210"/>
      <c r="M10" s="209"/>
    </row>
    <row r="11" spans="1:13" ht="15.75">
      <c r="A11" s="354"/>
      <c r="B11" s="191"/>
      <c r="C11" s="33"/>
      <c r="D11" s="97"/>
      <c r="F11" s="127"/>
      <c r="G11" s="158"/>
      <c r="H11" s="198"/>
      <c r="I11" s="83"/>
      <c r="J11" s="209"/>
      <c r="K11" s="208"/>
      <c r="L11" s="263"/>
      <c r="M11" s="209"/>
    </row>
    <row r="12" spans="1:13" ht="16.5" customHeight="1">
      <c r="A12" s="354"/>
      <c r="B12" s="190"/>
      <c r="C12" s="33"/>
      <c r="D12" s="77"/>
      <c r="F12" s="205"/>
      <c r="G12" s="165"/>
      <c r="H12" s="104"/>
      <c r="I12" s="33"/>
      <c r="J12" s="209"/>
      <c r="K12" s="209"/>
      <c r="L12" s="209"/>
      <c r="M12" s="209"/>
    </row>
    <row r="13" spans="1:13" ht="15.75">
      <c r="A13" s="354"/>
      <c r="B13" s="192"/>
      <c r="C13" s="33"/>
      <c r="D13" s="188"/>
      <c r="F13" s="112"/>
      <c r="G13" s="216"/>
      <c r="H13" s="198"/>
      <c r="I13" s="37"/>
      <c r="J13" s="213"/>
      <c r="K13" s="214"/>
      <c r="L13" s="261"/>
      <c r="M13" s="213"/>
    </row>
    <row r="14" spans="1:13" ht="45.75" customHeight="1">
      <c r="A14" s="354"/>
      <c r="B14" s="124"/>
      <c r="C14" s="139"/>
      <c r="D14" s="77"/>
      <c r="E14" s="104"/>
      <c r="F14" s="125"/>
      <c r="G14" s="118"/>
      <c r="H14" s="104"/>
      <c r="I14" s="77"/>
      <c r="J14" s="118"/>
      <c r="K14" s="118"/>
    </row>
    <row r="15" spans="1:13" ht="15.75">
      <c r="A15" s="355"/>
      <c r="B15" s="126"/>
      <c r="C15" s="181"/>
      <c r="D15" s="97"/>
      <c r="E15" s="240"/>
      <c r="F15" s="127"/>
      <c r="G15" s="106"/>
      <c r="H15" s="197"/>
      <c r="I15" s="35"/>
      <c r="J15" s="35"/>
      <c r="K15" s="35"/>
    </row>
    <row r="16" spans="1:13" ht="15.75" customHeight="1">
      <c r="A16" s="355"/>
      <c r="B16" s="232"/>
      <c r="C16" s="241"/>
      <c r="D16" s="233"/>
      <c r="E16" s="234"/>
      <c r="F16" s="235"/>
      <c r="G16" s="129"/>
      <c r="H16" s="236"/>
      <c r="I16" s="34"/>
      <c r="J16" s="34"/>
      <c r="K16" s="34"/>
    </row>
    <row r="17" spans="1:16" ht="16.5" customHeight="1">
      <c r="A17" s="355"/>
      <c r="B17" s="127"/>
      <c r="C17" s="242"/>
      <c r="D17" s="97"/>
      <c r="E17" s="149"/>
      <c r="F17" s="127"/>
      <c r="G17" s="123"/>
      <c r="H17" s="104"/>
      <c r="I17" s="35"/>
      <c r="J17" s="35"/>
      <c r="K17" s="35"/>
    </row>
    <row r="18" spans="1:16" ht="21" customHeight="1">
      <c r="A18" s="355"/>
      <c r="B18" s="41"/>
      <c r="C18" s="77"/>
      <c r="D18" s="77"/>
      <c r="E18" s="77"/>
      <c r="F18" s="112"/>
      <c r="G18" s="130"/>
      <c r="H18" s="105"/>
      <c r="I18" s="34"/>
      <c r="J18" s="34"/>
      <c r="K18" s="34"/>
    </row>
    <row r="19" spans="1:16" ht="30.75" customHeight="1">
      <c r="A19" s="355"/>
      <c r="B19" s="123"/>
      <c r="C19" s="181"/>
      <c r="D19" s="103"/>
      <c r="E19" s="103"/>
      <c r="F19" s="127"/>
      <c r="G19" s="123"/>
      <c r="H19" s="105"/>
      <c r="I19" s="35"/>
      <c r="J19" s="35"/>
      <c r="K19" s="35"/>
    </row>
    <row r="20" spans="1:16" ht="60.75" customHeight="1">
      <c r="A20" s="355"/>
      <c r="B20" s="128"/>
      <c r="C20" s="139"/>
      <c r="D20" s="77"/>
      <c r="E20" s="77"/>
      <c r="F20" s="112"/>
      <c r="G20" s="130"/>
      <c r="H20" s="105"/>
      <c r="I20" s="34"/>
      <c r="J20" s="34"/>
      <c r="K20" s="34"/>
    </row>
    <row r="21" spans="1:16" ht="25.5">
      <c r="A21" s="355"/>
      <c r="B21" s="131"/>
      <c r="C21" s="181"/>
      <c r="D21" s="103"/>
      <c r="E21" s="104"/>
      <c r="F21" s="127"/>
      <c r="G21" s="137"/>
      <c r="H21" s="104"/>
      <c r="I21" s="243"/>
      <c r="J21" s="137"/>
      <c r="K21" s="137"/>
    </row>
    <row r="22" spans="1:16" ht="30.75" customHeight="1">
      <c r="A22" s="355"/>
      <c r="B22" s="128"/>
      <c r="C22" s="139"/>
      <c r="D22" s="77"/>
      <c r="E22" s="77"/>
      <c r="F22" s="112"/>
      <c r="G22" s="130"/>
      <c r="H22" s="104"/>
      <c r="I22" s="34"/>
      <c r="J22" s="34"/>
      <c r="K22" s="34"/>
    </row>
    <row r="23" spans="1:16" ht="30.75" customHeight="1">
      <c r="A23" s="355"/>
      <c r="B23" s="127"/>
      <c r="C23" s="181"/>
      <c r="D23" s="103"/>
      <c r="E23" s="103"/>
      <c r="F23" s="127"/>
      <c r="G23" s="123"/>
      <c r="H23" s="105"/>
      <c r="I23" s="35"/>
      <c r="J23" s="35"/>
      <c r="K23" s="35"/>
    </row>
    <row r="24" spans="1:16" ht="16.5" customHeight="1">
      <c r="A24" s="355"/>
      <c r="B24" s="139"/>
      <c r="C24" s="139"/>
      <c r="D24" s="244"/>
      <c r="E24" s="180"/>
      <c r="F24" s="180"/>
      <c r="G24" s="180"/>
      <c r="H24" s="180"/>
      <c r="I24" s="180"/>
      <c r="J24" s="180"/>
      <c r="K24" s="180"/>
    </row>
    <row r="25" spans="1:16" s="185" customFormat="1" ht="16.5" customHeight="1">
      <c r="A25" s="356"/>
      <c r="B25" s="182"/>
      <c r="C25" s="245"/>
      <c r="D25" s="182"/>
      <c r="E25" s="182"/>
      <c r="F25" s="182"/>
      <c r="G25" s="182"/>
      <c r="H25" s="183"/>
      <c r="I25" s="184"/>
      <c r="J25" s="184"/>
      <c r="K25" s="184"/>
      <c r="L25"/>
      <c r="M25"/>
    </row>
    <row r="26" spans="1:16" ht="16.5" customHeight="1">
      <c r="A26" s="354"/>
      <c r="B26" s="104"/>
      <c r="C26" s="77"/>
      <c r="D26" s="77"/>
      <c r="E26" s="104"/>
      <c r="F26" s="186"/>
      <c r="G26" s="118"/>
      <c r="H26" s="104"/>
      <c r="I26" s="77"/>
      <c r="J26" s="118"/>
      <c r="K26" s="118"/>
      <c r="N26" s="56"/>
      <c r="O26" s="56"/>
      <c r="P26" s="56"/>
    </row>
    <row r="27" spans="1:16" ht="15.75">
      <c r="A27" s="355"/>
      <c r="B27" s="127"/>
      <c r="C27" s="181"/>
      <c r="D27" s="104"/>
      <c r="E27" s="181"/>
      <c r="F27" s="81"/>
      <c r="G27" s="361"/>
      <c r="H27" s="105"/>
      <c r="I27" s="106"/>
      <c r="J27" s="103"/>
      <c r="K27" s="102"/>
      <c r="N27" s="56"/>
      <c r="O27" s="56"/>
      <c r="P27" s="56"/>
    </row>
    <row r="28" spans="1:16" ht="15.75">
      <c r="A28" s="355"/>
      <c r="B28" s="125"/>
      <c r="C28" s="140"/>
      <c r="D28" s="140"/>
      <c r="E28" s="140"/>
      <c r="F28" s="141"/>
      <c r="G28" s="142"/>
      <c r="H28" s="105"/>
      <c r="I28" s="143"/>
      <c r="J28" s="140"/>
      <c r="K28" s="142"/>
      <c r="N28" s="56"/>
      <c r="O28" s="56"/>
      <c r="P28" s="56"/>
    </row>
    <row r="29" spans="1:16" ht="15.75">
      <c r="A29" s="355"/>
      <c r="B29" s="144"/>
      <c r="C29" s="243"/>
      <c r="D29" s="243"/>
      <c r="E29" s="243"/>
      <c r="F29" s="145"/>
      <c r="G29" s="135"/>
      <c r="H29" s="146"/>
      <c r="I29" s="147"/>
      <c r="J29" s="135"/>
      <c r="K29" s="148"/>
      <c r="N29" s="56"/>
      <c r="O29" s="56"/>
      <c r="P29" s="56"/>
    </row>
    <row r="30" spans="1:16" ht="26.25" customHeight="1">
      <c r="A30" s="355"/>
      <c r="B30" s="113"/>
      <c r="C30" s="114"/>
      <c r="D30" s="113"/>
      <c r="E30" s="113"/>
      <c r="F30" s="113"/>
      <c r="G30" s="113"/>
      <c r="H30" s="104"/>
      <c r="I30" s="113"/>
      <c r="J30" s="104"/>
      <c r="K30" s="104"/>
      <c r="N30" s="56"/>
      <c r="O30" s="56"/>
      <c r="P30" s="56"/>
    </row>
    <row r="31" spans="1:16" ht="16.5" customHeight="1">
      <c r="A31" s="355"/>
      <c r="B31" s="118"/>
      <c r="C31" s="118"/>
      <c r="D31" s="118"/>
      <c r="E31" s="115"/>
      <c r="F31" s="78"/>
      <c r="G31" s="118"/>
      <c r="H31" s="104"/>
      <c r="I31" s="77"/>
      <c r="J31" s="118"/>
      <c r="K31" s="118"/>
      <c r="N31" s="56"/>
      <c r="O31" s="56"/>
      <c r="P31" s="56"/>
    </row>
    <row r="32" spans="1:16" ht="15.75">
      <c r="A32" s="355"/>
      <c r="B32" s="127"/>
      <c r="C32" s="103"/>
      <c r="D32" s="103"/>
      <c r="E32" s="103"/>
      <c r="F32" s="81"/>
      <c r="G32" s="102"/>
      <c r="H32" s="105"/>
      <c r="I32" s="106"/>
      <c r="J32" s="102"/>
      <c r="K32" s="102"/>
      <c r="N32" s="56"/>
      <c r="O32" s="56"/>
      <c r="P32" s="56"/>
    </row>
    <row r="33" spans="1:56" ht="15.75">
      <c r="A33" s="355"/>
      <c r="B33" s="125"/>
      <c r="C33" s="139"/>
      <c r="D33" s="77"/>
      <c r="E33" s="77"/>
      <c r="F33" s="78"/>
      <c r="G33" s="111"/>
      <c r="H33" s="105"/>
      <c r="I33" s="129"/>
      <c r="J33" s="110"/>
      <c r="K33" s="110"/>
      <c r="N33" s="56"/>
      <c r="O33" s="56"/>
      <c r="P33" s="56"/>
      <c r="BC33" s="246"/>
      <c r="BD33" s="246"/>
    </row>
    <row r="34" spans="1:56" ht="15.75">
      <c r="A34" s="355"/>
      <c r="B34" s="127"/>
      <c r="C34" s="106"/>
      <c r="D34" s="103"/>
      <c r="E34" s="103"/>
      <c r="F34" s="81"/>
      <c r="G34" s="102"/>
      <c r="H34" s="105"/>
      <c r="I34" s="106"/>
      <c r="J34" s="103"/>
      <c r="K34" s="106"/>
      <c r="N34" s="56"/>
      <c r="O34" s="56"/>
      <c r="P34" s="56"/>
    </row>
    <row r="35" spans="1:56" ht="25.5" customHeight="1">
      <c r="A35" s="355"/>
      <c r="B35" s="125"/>
      <c r="C35" s="77"/>
      <c r="D35" s="77"/>
      <c r="E35" s="155"/>
      <c r="F35" s="118"/>
      <c r="G35" s="118"/>
      <c r="H35" s="105"/>
      <c r="J35" s="118"/>
      <c r="K35" s="118"/>
      <c r="N35" s="56"/>
      <c r="O35" s="56"/>
      <c r="P35" s="56"/>
    </row>
    <row r="36" spans="1:56" ht="15.75">
      <c r="A36" s="355"/>
      <c r="B36" s="127"/>
      <c r="C36" s="106"/>
      <c r="D36" s="103"/>
      <c r="E36" s="103"/>
      <c r="F36" s="81"/>
      <c r="G36" s="102"/>
      <c r="H36" s="105"/>
      <c r="I36" s="106"/>
      <c r="J36" s="106"/>
      <c r="K36" s="106"/>
      <c r="N36" s="56"/>
      <c r="O36" s="56"/>
      <c r="P36" s="56"/>
    </row>
    <row r="37" spans="1:56" ht="15.75">
      <c r="A37" s="356"/>
      <c r="B37" s="125"/>
      <c r="C37" s="43"/>
      <c r="D37" s="77"/>
      <c r="E37" s="77"/>
      <c r="F37" s="78"/>
      <c r="G37" s="49"/>
      <c r="H37" s="75"/>
      <c r="I37" s="49"/>
      <c r="J37" s="49"/>
      <c r="K37" s="49"/>
      <c r="N37" s="56"/>
      <c r="O37" s="56"/>
      <c r="P37" s="56"/>
    </row>
    <row r="38" spans="1:56" s="56" customFormat="1" ht="96" customHeight="1">
      <c r="A38" s="353"/>
      <c r="B38" s="50"/>
      <c r="C38" s="99"/>
      <c r="D38" s="97"/>
      <c r="E38" s="97"/>
      <c r="F38" s="81"/>
      <c r="G38" s="96"/>
      <c r="H38" s="75"/>
      <c r="I38" s="94"/>
      <c r="J38" s="96"/>
      <c r="K38" s="96"/>
      <c r="L38"/>
      <c r="M38"/>
    </row>
    <row r="39" spans="1:56" s="56" customFormat="1" ht="141" customHeight="1">
      <c r="A39" s="353"/>
      <c r="B39" s="55"/>
      <c r="C39" s="43"/>
      <c r="D39" s="104"/>
      <c r="E39" s="77"/>
      <c r="F39" s="78"/>
      <c r="G39" s="95"/>
      <c r="H39" s="93"/>
      <c r="I39" s="49"/>
      <c r="J39" s="95"/>
      <c r="K39" s="95"/>
      <c r="L39"/>
      <c r="M39"/>
    </row>
    <row r="40" spans="1:56" s="56" customFormat="1" ht="87.75" customHeight="1">
      <c r="A40" s="353"/>
      <c r="B40" s="82"/>
      <c r="C40" s="98"/>
      <c r="D40" s="97"/>
      <c r="E40" s="97"/>
      <c r="F40" s="81"/>
      <c r="G40" s="96"/>
      <c r="H40" s="75"/>
      <c r="I40" s="94"/>
      <c r="J40" s="96"/>
      <c r="K40" s="96"/>
      <c r="L40"/>
      <c r="M40"/>
    </row>
    <row r="41" spans="1:56" ht="81" customHeight="1">
      <c r="A41" s="353"/>
      <c r="B41" s="55"/>
      <c r="C41" s="40"/>
      <c r="D41" s="77"/>
      <c r="E41" s="77"/>
      <c r="F41" s="112"/>
      <c r="G41" s="95"/>
      <c r="H41" s="75"/>
      <c r="I41" s="169"/>
      <c r="J41" s="170"/>
      <c r="K41" s="170"/>
    </row>
    <row r="42" spans="1:56" ht="73.5" customHeight="1">
      <c r="A42" s="353"/>
      <c r="B42" s="81"/>
      <c r="C42" s="98"/>
      <c r="D42" s="97"/>
      <c r="E42" s="97"/>
      <c r="F42" s="81"/>
      <c r="G42" s="96"/>
      <c r="H42" s="75"/>
      <c r="I42" s="94"/>
      <c r="J42" s="99"/>
      <c r="K42" s="99"/>
    </row>
    <row r="43" spans="1:56" ht="84.75" customHeight="1">
      <c r="A43" s="353"/>
      <c r="B43" s="55"/>
      <c r="C43" s="40"/>
      <c r="D43" s="77"/>
      <c r="E43" s="77"/>
      <c r="F43" s="112"/>
      <c r="G43" s="95"/>
      <c r="H43" s="75"/>
      <c r="I43" s="169"/>
      <c r="J43" s="170"/>
      <c r="K43" s="170"/>
    </row>
    <row r="44" spans="1:56" ht="78" customHeight="1">
      <c r="A44" s="353"/>
      <c r="B44" s="47"/>
      <c r="C44" s="98"/>
      <c r="D44" s="97"/>
      <c r="E44" s="97"/>
      <c r="F44" s="47"/>
      <c r="G44" s="96"/>
      <c r="H44" s="75"/>
      <c r="I44" s="94"/>
      <c r="J44" s="99"/>
      <c r="K44" s="99"/>
    </row>
    <row r="45" spans="1:56" ht="77.25" customHeight="1">
      <c r="A45" s="353"/>
      <c r="B45" s="41"/>
      <c r="C45" s="40"/>
      <c r="D45" s="77"/>
      <c r="E45" s="77"/>
      <c r="F45" s="45"/>
      <c r="G45" s="52"/>
      <c r="H45" s="75"/>
      <c r="I45" s="171"/>
      <c r="J45" s="170"/>
      <c r="K45" s="171"/>
    </row>
    <row r="46" spans="1:56" ht="89.25" customHeight="1">
      <c r="A46" s="353"/>
      <c r="B46" s="47"/>
      <c r="C46" s="98"/>
      <c r="D46" s="172"/>
      <c r="E46" s="172"/>
      <c r="F46" s="35"/>
      <c r="G46" s="35"/>
      <c r="H46" s="93"/>
      <c r="I46" s="122"/>
      <c r="J46" s="35"/>
      <c r="K46" s="35"/>
    </row>
    <row r="47" spans="1:56" ht="96.75" customHeight="1">
      <c r="A47" s="353"/>
      <c r="B47" s="41"/>
      <c r="D47" s="104"/>
      <c r="F47" s="45"/>
      <c r="G47" s="34"/>
      <c r="H47" s="93"/>
      <c r="I47" s="171"/>
      <c r="J47" s="34"/>
      <c r="K47" s="34"/>
    </row>
    <row r="48" spans="1:56" ht="68.25" customHeight="1">
      <c r="A48" s="353"/>
      <c r="B48" s="47"/>
      <c r="C48" s="98"/>
      <c r="D48" s="104"/>
      <c r="E48" s="104"/>
      <c r="F48" s="47"/>
      <c r="G48" s="35"/>
      <c r="H48" s="93"/>
      <c r="I48" s="122"/>
      <c r="J48" s="35"/>
      <c r="K48" s="35"/>
    </row>
    <row r="49" spans="1:11" ht="93" customHeight="1">
      <c r="A49" s="353"/>
      <c r="B49" s="55"/>
      <c r="C49" s="43"/>
      <c r="D49" s="77"/>
      <c r="E49" s="77"/>
      <c r="F49" s="78"/>
      <c r="G49" s="118"/>
      <c r="H49" s="75"/>
      <c r="I49" s="117"/>
      <c r="J49" s="52"/>
      <c r="K49" s="52"/>
    </row>
    <row r="50" spans="1:11" ht="168.75" customHeight="1">
      <c r="A50" s="357"/>
      <c r="B50" s="59"/>
      <c r="C50" s="46"/>
      <c r="D50" s="72"/>
      <c r="E50" s="84"/>
      <c r="F50" s="61"/>
      <c r="G50" s="119"/>
      <c r="H50" s="72"/>
      <c r="I50" s="247"/>
      <c r="J50" s="119"/>
      <c r="K50" s="119"/>
    </row>
    <row r="51" spans="1:11" ht="66" customHeight="1">
      <c r="A51" s="357"/>
      <c r="B51" s="57"/>
      <c r="C51" s="51"/>
      <c r="D51" s="73"/>
      <c r="E51" s="85"/>
      <c r="F51" s="58"/>
      <c r="G51" s="118"/>
      <c r="H51" s="72"/>
      <c r="I51" s="49"/>
      <c r="J51" s="118"/>
      <c r="K51" s="118"/>
    </row>
    <row r="52" spans="1:11" ht="25.5">
      <c r="A52" s="357"/>
      <c r="B52" s="59"/>
      <c r="C52" s="362"/>
      <c r="D52" s="60"/>
      <c r="E52" s="84"/>
      <c r="F52" s="59"/>
      <c r="G52" s="119"/>
      <c r="H52" s="72"/>
      <c r="I52" s="120"/>
      <c r="J52" s="119"/>
      <c r="K52" s="119"/>
    </row>
    <row r="53" spans="1:11" ht="73.5" customHeight="1">
      <c r="A53" s="357"/>
      <c r="B53" s="63"/>
      <c r="C53" s="53"/>
      <c r="D53" s="62"/>
      <c r="E53" s="86"/>
      <c r="F53" s="57"/>
      <c r="G53" s="118"/>
      <c r="H53" s="72"/>
      <c r="I53" s="43"/>
      <c r="J53" s="118"/>
      <c r="K53" s="118"/>
    </row>
    <row r="54" spans="1:11" ht="18">
      <c r="A54" s="357"/>
      <c r="B54" s="59"/>
      <c r="C54" s="54"/>
      <c r="D54" s="71"/>
      <c r="E54" s="84"/>
      <c r="F54" s="59"/>
      <c r="G54" s="48"/>
      <c r="H54" s="75"/>
      <c r="I54" s="121"/>
      <c r="J54" s="121"/>
      <c r="K54" s="121"/>
    </row>
    <row r="55" spans="1:11" ht="57.75" customHeight="1">
      <c r="A55" s="357"/>
      <c r="B55" s="57"/>
      <c r="C55" s="363"/>
      <c r="D55" s="62"/>
      <c r="E55" s="86"/>
      <c r="F55" s="57"/>
      <c r="G55" s="34"/>
      <c r="H55" s="34"/>
      <c r="I55" s="34"/>
      <c r="J55" s="34"/>
      <c r="K55" s="34"/>
    </row>
    <row r="56" spans="1:11" ht="69.75" customHeight="1">
      <c r="A56" s="357"/>
      <c r="B56" s="61"/>
      <c r="C56" s="46"/>
      <c r="D56" s="70"/>
      <c r="E56" s="87"/>
      <c r="F56" s="59"/>
      <c r="G56" s="48"/>
      <c r="H56" s="35"/>
      <c r="I56" s="35"/>
      <c r="J56" s="35"/>
      <c r="K56" s="35"/>
    </row>
    <row r="57" spans="1:11" ht="59.25" customHeight="1">
      <c r="A57" s="357"/>
      <c r="B57" s="57"/>
      <c r="C57" s="364"/>
      <c r="D57" s="64"/>
      <c r="E57" s="88"/>
      <c r="F57" s="57"/>
      <c r="G57" s="34"/>
      <c r="H57" s="34"/>
      <c r="I57" s="34"/>
      <c r="J57" s="34"/>
      <c r="K57" s="34"/>
    </row>
    <row r="58" spans="1:11" ht="45.75" customHeight="1">
      <c r="A58" s="357"/>
      <c r="B58" s="65"/>
      <c r="C58" s="66"/>
      <c r="D58" s="67"/>
      <c r="E58" s="87"/>
      <c r="F58" s="61"/>
      <c r="G58" s="35"/>
      <c r="H58" s="35"/>
      <c r="I58" s="35"/>
      <c r="J58" s="35"/>
      <c r="K58" s="35"/>
    </row>
    <row r="59" spans="1:11" ht="66.75" customHeight="1">
      <c r="A59" s="357"/>
      <c r="B59" s="57"/>
      <c r="C59" s="364"/>
      <c r="D59" s="365"/>
      <c r="E59" s="89"/>
      <c r="F59" s="57"/>
      <c r="G59" s="118"/>
      <c r="H59" s="72"/>
      <c r="I59" s="49"/>
      <c r="J59" s="118"/>
      <c r="K59" s="118"/>
    </row>
    <row r="60" spans="1:11" ht="84.75" customHeight="1">
      <c r="A60" s="357"/>
      <c r="B60" s="68"/>
      <c r="C60" s="69"/>
      <c r="D60" s="69"/>
      <c r="E60" s="90"/>
      <c r="F60" s="68"/>
      <c r="G60" s="35"/>
      <c r="H60" s="35"/>
      <c r="I60" s="35"/>
      <c r="J60" s="35"/>
      <c r="K60" s="35"/>
    </row>
    <row r="61" spans="1:11" ht="124.5" customHeight="1">
      <c r="A61" s="357"/>
      <c r="B61" s="57"/>
      <c r="C61" s="364"/>
      <c r="D61" s="365"/>
      <c r="F61" s="57"/>
      <c r="G61" s="80"/>
      <c r="H61" s="75"/>
      <c r="I61" s="176"/>
      <c r="J61" s="74"/>
      <c r="K61" s="74"/>
    </row>
    <row r="62" spans="1:11" ht="15.75">
      <c r="A62" s="353"/>
      <c r="B62" s="35"/>
      <c r="C62" s="98"/>
      <c r="D62" s="104"/>
      <c r="E62" s="172"/>
      <c r="F62" s="47"/>
      <c r="G62" s="35"/>
      <c r="H62" s="72"/>
      <c r="I62" s="177"/>
      <c r="J62" s="35"/>
      <c r="K62" s="35"/>
    </row>
    <row r="63" spans="1:11" ht="18">
      <c r="A63" s="353"/>
      <c r="B63" s="57"/>
      <c r="C63" s="173"/>
      <c r="D63" s="365"/>
      <c r="F63" s="45"/>
      <c r="G63" s="80"/>
      <c r="H63" s="75"/>
      <c r="I63" s="176"/>
      <c r="J63" s="34"/>
      <c r="K63" s="34"/>
    </row>
    <row r="64" spans="1:11" ht="18">
      <c r="A64" s="353"/>
      <c r="B64" s="35"/>
      <c r="C64" s="175"/>
      <c r="D64" s="98"/>
      <c r="E64" s="172"/>
      <c r="F64" s="47"/>
      <c r="G64" s="179"/>
      <c r="H64" s="75"/>
      <c r="I64" s="177"/>
      <c r="J64" s="35"/>
      <c r="K64" s="35"/>
    </row>
    <row r="65" spans="1:14" ht="15.75">
      <c r="A65" s="353"/>
      <c r="C65" s="174"/>
      <c r="D65" s="79"/>
      <c r="F65" s="34"/>
      <c r="G65" s="34"/>
      <c r="H65" s="72"/>
      <c r="I65" s="176"/>
      <c r="J65" s="34"/>
      <c r="K65" s="34"/>
    </row>
    <row r="66" spans="1:14" ht="15.75">
      <c r="A66" s="353"/>
      <c r="B66" s="35"/>
      <c r="C66" s="98"/>
      <c r="D66" s="178"/>
      <c r="E66" s="83"/>
      <c r="F66" s="35"/>
      <c r="G66" s="35"/>
      <c r="H66" s="72"/>
      <c r="I66" s="177"/>
      <c r="J66" s="35"/>
      <c r="K66" s="35"/>
    </row>
    <row r="67" spans="1:14" ht="15.75">
      <c r="A67" s="353"/>
      <c r="B67" s="41"/>
      <c r="C67" s="174"/>
      <c r="D67" s="44"/>
      <c r="F67" s="45"/>
      <c r="G67" s="34"/>
      <c r="H67" s="72"/>
      <c r="I67" s="176"/>
      <c r="J67" s="34"/>
      <c r="K67" s="34"/>
    </row>
    <row r="68" spans="1:14" ht="15.75">
      <c r="A68" s="353"/>
      <c r="B68" s="35"/>
      <c r="C68" s="98"/>
      <c r="D68" s="108"/>
      <c r="E68" s="172"/>
      <c r="F68" s="35"/>
      <c r="G68" s="35"/>
      <c r="H68" s="72"/>
      <c r="I68" s="177"/>
      <c r="J68" s="35"/>
      <c r="K68" s="35"/>
    </row>
    <row r="69" spans="1:14" ht="15.75">
      <c r="A69" s="353"/>
      <c r="F69" s="34"/>
      <c r="G69" s="34"/>
      <c r="H69" s="72"/>
      <c r="I69" s="176"/>
      <c r="J69" s="34"/>
      <c r="K69" s="34"/>
    </row>
    <row r="70" spans="1:14" ht="15.75">
      <c r="A70" s="353"/>
      <c r="B70" s="35"/>
      <c r="C70" s="35"/>
      <c r="D70" s="35"/>
      <c r="E70" s="83"/>
      <c r="F70" s="35"/>
      <c r="G70" s="35"/>
      <c r="H70" s="72"/>
      <c r="I70" s="177"/>
      <c r="J70" s="35"/>
      <c r="K70" s="35"/>
    </row>
    <row r="71" spans="1:14" ht="15.75">
      <c r="A71" s="353"/>
      <c r="F71" s="34"/>
      <c r="G71" s="34"/>
      <c r="H71" s="72"/>
      <c r="I71" s="176"/>
      <c r="J71" s="34"/>
      <c r="K71" s="34"/>
    </row>
    <row r="72" spans="1:14" ht="15.75">
      <c r="A72" s="353"/>
      <c r="B72" s="35"/>
      <c r="C72" s="35"/>
      <c r="D72" s="35"/>
      <c r="E72" s="83"/>
      <c r="F72" s="35"/>
      <c r="G72" s="35"/>
      <c r="H72" s="72"/>
      <c r="I72" s="177"/>
      <c r="J72" s="35"/>
      <c r="K72" s="35"/>
    </row>
    <row r="73" spans="1:14" ht="15.75">
      <c r="A73" s="353"/>
      <c r="B73" s="55"/>
      <c r="C73" s="43"/>
      <c r="D73" s="77"/>
      <c r="E73" s="77"/>
      <c r="F73" s="78"/>
      <c r="G73" s="49"/>
      <c r="H73" s="75"/>
      <c r="I73" s="49"/>
      <c r="J73" s="42"/>
      <c r="K73" s="35"/>
    </row>
    <row r="74" spans="1:14" ht="15.75">
      <c r="A74" s="353"/>
      <c r="B74" s="131"/>
      <c r="C74" s="158"/>
      <c r="D74" s="97"/>
      <c r="E74" s="97"/>
      <c r="F74" s="127"/>
      <c r="G74" s="106"/>
      <c r="H74" s="105"/>
      <c r="I74" s="106"/>
      <c r="J74" s="130"/>
      <c r="K74" s="130"/>
    </row>
    <row r="75" spans="1:14" ht="15.75">
      <c r="A75" s="353"/>
      <c r="B75" s="128"/>
      <c r="C75" s="139"/>
      <c r="D75" s="77"/>
      <c r="E75" s="77"/>
      <c r="F75" s="112"/>
      <c r="G75" s="95"/>
      <c r="H75" s="105"/>
      <c r="I75" s="95"/>
      <c r="J75" s="123"/>
      <c r="K75" s="123"/>
    </row>
    <row r="76" spans="1:14" ht="15.75">
      <c r="A76" s="353"/>
      <c r="B76" s="131"/>
      <c r="C76" s="158"/>
      <c r="D76" s="97"/>
      <c r="E76" s="97"/>
      <c r="F76" s="127"/>
      <c r="G76" s="106"/>
      <c r="H76" s="105"/>
      <c r="I76" s="106"/>
      <c r="J76" s="130"/>
      <c r="K76" s="130"/>
    </row>
    <row r="77" spans="1:14" ht="15.75">
      <c r="A77" s="353"/>
      <c r="B77" s="128"/>
      <c r="C77" s="139"/>
      <c r="D77" s="77"/>
      <c r="E77" s="77"/>
      <c r="F77" s="112"/>
      <c r="G77" s="95"/>
      <c r="H77" s="105"/>
      <c r="I77" s="95"/>
      <c r="J77" s="123"/>
      <c r="K77" s="123"/>
      <c r="N77" s="25"/>
    </row>
    <row r="78" spans="1:14" ht="15.75">
      <c r="A78" s="353"/>
      <c r="B78" s="131"/>
      <c r="C78" s="158"/>
      <c r="D78" s="97"/>
      <c r="E78" s="97"/>
      <c r="F78" s="127"/>
      <c r="G78" s="106"/>
      <c r="H78" s="105"/>
      <c r="I78" s="106"/>
      <c r="J78" s="130"/>
      <c r="K78" s="130"/>
    </row>
    <row r="79" spans="1:14" ht="60.75" customHeight="1">
      <c r="A79" s="353"/>
      <c r="B79" s="128"/>
      <c r="C79" s="139"/>
      <c r="D79" s="77"/>
      <c r="E79" s="77"/>
      <c r="F79" s="112"/>
      <c r="G79" s="95"/>
      <c r="H79" s="104"/>
      <c r="I79" s="95"/>
      <c r="J79" s="123"/>
      <c r="K79" s="123"/>
    </row>
    <row r="80" spans="1:14" ht="60.75" customHeight="1">
      <c r="A80" s="353"/>
      <c r="B80" s="131"/>
      <c r="C80" s="158"/>
      <c r="D80" s="97"/>
      <c r="E80" s="97"/>
      <c r="F80" s="127"/>
      <c r="G80" s="106"/>
      <c r="H80" s="105"/>
      <c r="I80" s="106"/>
      <c r="J80" s="130"/>
      <c r="K80" s="130"/>
    </row>
    <row r="81" spans="1:11" ht="15.75">
      <c r="A81" s="353"/>
      <c r="B81" s="128"/>
      <c r="C81" s="139"/>
      <c r="D81" s="77"/>
      <c r="E81" s="77"/>
      <c r="F81" s="112"/>
      <c r="G81" s="95"/>
      <c r="H81" s="105"/>
      <c r="I81" s="95"/>
      <c r="J81" s="123"/>
      <c r="K81" s="123"/>
    </row>
    <row r="82" spans="1:11" ht="15.75">
      <c r="A82" s="353"/>
      <c r="B82" s="139"/>
      <c r="C82" s="77"/>
      <c r="D82" s="77"/>
      <c r="E82" s="77"/>
      <c r="F82" s="112"/>
      <c r="G82" s="159"/>
      <c r="H82" s="104"/>
      <c r="I82" s="248"/>
      <c r="J82" s="130"/>
      <c r="K82" s="130"/>
    </row>
    <row r="83" spans="1:11" ht="15.75">
      <c r="A83" s="353"/>
      <c r="B83" s="123"/>
      <c r="C83" s="131"/>
      <c r="D83" s="123"/>
      <c r="E83" s="123"/>
      <c r="F83" s="127"/>
      <c r="G83" s="123"/>
      <c r="H83" s="105"/>
      <c r="I83" s="131"/>
      <c r="J83" s="123"/>
      <c r="K83" s="123"/>
    </row>
    <row r="84" spans="1:11" ht="15" customHeight="1">
      <c r="A84" s="353"/>
      <c r="B84" s="249"/>
      <c r="C84" s="249"/>
      <c r="D84" s="249"/>
      <c r="E84" s="249"/>
      <c r="F84" s="124"/>
      <c r="G84" s="124"/>
      <c r="H84" s="105"/>
      <c r="I84" s="124"/>
      <c r="J84" s="124"/>
      <c r="K84" s="124"/>
    </row>
    <row r="85" spans="1:11" ht="33.75">
      <c r="A85" s="250"/>
      <c r="B85" s="162"/>
      <c r="C85" s="139"/>
      <c r="D85" s="155"/>
      <c r="E85" s="77"/>
      <c r="F85" s="163"/>
      <c r="G85" s="77"/>
      <c r="H85" s="105"/>
      <c r="I85" s="106"/>
      <c r="J85" s="167"/>
      <c r="K85" s="168"/>
    </row>
    <row r="86" spans="1:11" ht="15.75">
      <c r="A86" s="353" t="s">
        <v>454</v>
      </c>
      <c r="B86" s="127" t="s">
        <v>455</v>
      </c>
      <c r="C86" s="123" t="s">
        <v>456</v>
      </c>
      <c r="D86" s="123">
        <v>2024</v>
      </c>
      <c r="E86" s="123" t="s">
        <v>135</v>
      </c>
      <c r="F86" s="166" t="s">
        <v>457</v>
      </c>
      <c r="G86" s="123" t="s">
        <v>458</v>
      </c>
      <c r="H86" s="75" t="s">
        <v>153</v>
      </c>
      <c r="I86" s="97" t="s">
        <v>459</v>
      </c>
      <c r="J86" s="97" t="s">
        <v>460</v>
      </c>
      <c r="K86" s="136" t="s">
        <v>461</v>
      </c>
    </row>
    <row r="87" spans="1:11" ht="43.5">
      <c r="A87" s="353"/>
      <c r="B87" s="77" t="s">
        <v>462</v>
      </c>
      <c r="C87" s="139" t="s">
        <v>463</v>
      </c>
      <c r="D87" s="77">
        <v>2026</v>
      </c>
      <c r="E87" s="77" t="s">
        <v>135</v>
      </c>
      <c r="F87" s="112" t="s">
        <v>464</v>
      </c>
      <c r="G87" s="130" t="s">
        <v>465</v>
      </c>
      <c r="H87" s="105" t="s">
        <v>153</v>
      </c>
      <c r="I87" s="164" t="s">
        <v>466</v>
      </c>
      <c r="J87" s="165" t="s">
        <v>467</v>
      </c>
      <c r="K87" s="165" t="s">
        <v>468</v>
      </c>
    </row>
    <row r="88" spans="1:11" ht="43.5">
      <c r="A88" s="353"/>
      <c r="B88" s="123" t="s">
        <v>469</v>
      </c>
      <c r="C88" s="158" t="s">
        <v>470</v>
      </c>
      <c r="D88" s="97">
        <v>2023</v>
      </c>
      <c r="E88" s="97" t="s">
        <v>135</v>
      </c>
      <c r="F88" s="127" t="s">
        <v>471</v>
      </c>
      <c r="G88" s="97" t="s">
        <v>472</v>
      </c>
      <c r="H88" s="105" t="s">
        <v>153</v>
      </c>
      <c r="I88" s="97" t="s">
        <v>473</v>
      </c>
      <c r="J88" s="97" t="s">
        <v>474</v>
      </c>
      <c r="K88" s="97" t="s">
        <v>475</v>
      </c>
    </row>
    <row r="89" spans="1:11" ht="45.75">
      <c r="A89" s="353"/>
      <c r="B89" s="77" t="s">
        <v>476</v>
      </c>
      <c r="C89" s="139" t="s">
        <v>477</v>
      </c>
      <c r="D89" s="77">
        <v>2026</v>
      </c>
      <c r="E89" s="77" t="s">
        <v>150</v>
      </c>
      <c r="F89" s="112" t="s">
        <v>478</v>
      </c>
      <c r="G89" s="130" t="s">
        <v>479</v>
      </c>
      <c r="H89" s="105" t="s">
        <v>153</v>
      </c>
      <c r="I89" s="164" t="s">
        <v>480</v>
      </c>
      <c r="J89" s="165" t="s">
        <v>481</v>
      </c>
      <c r="K89" s="165" t="s">
        <v>482</v>
      </c>
    </row>
    <row r="90" spans="1:11" ht="16.5">
      <c r="A90" s="353"/>
      <c r="B90" s="35" t="s">
        <v>483</v>
      </c>
      <c r="C90" s="35"/>
      <c r="D90" s="35"/>
      <c r="E90" s="83"/>
      <c r="F90" s="35"/>
      <c r="G90" s="35"/>
      <c r="H90" s="72" t="s">
        <v>55</v>
      </c>
      <c r="I90" s="35"/>
      <c r="J90" s="35"/>
      <c r="K90" s="35"/>
    </row>
    <row r="91" spans="1:11" ht="16.5">
      <c r="A91" s="353"/>
      <c r="B91" t="s">
        <v>483</v>
      </c>
      <c r="F91" s="34"/>
      <c r="G91" s="34"/>
      <c r="H91" s="72" t="s">
        <v>55</v>
      </c>
      <c r="I91" s="34"/>
      <c r="J91" s="34"/>
      <c r="K91" s="34"/>
    </row>
    <row r="92" spans="1:11" ht="16.5">
      <c r="A92" s="353"/>
      <c r="B92" s="35" t="s">
        <v>483</v>
      </c>
      <c r="C92" s="35"/>
      <c r="D92" s="35"/>
      <c r="E92" s="83"/>
      <c r="F92" s="35"/>
      <c r="G92" s="35"/>
      <c r="H92" s="72" t="s">
        <v>55</v>
      </c>
      <c r="I92" s="35"/>
      <c r="J92" s="35"/>
      <c r="K92" s="35"/>
    </row>
    <row r="93" spans="1:11" ht="16.5">
      <c r="A93" s="353"/>
      <c r="B93" t="s">
        <v>483</v>
      </c>
      <c r="F93" s="34"/>
      <c r="G93" s="34"/>
      <c r="H93" s="72" t="s">
        <v>55</v>
      </c>
      <c r="I93" s="34"/>
      <c r="J93" s="34"/>
      <c r="K93" s="34"/>
    </row>
    <row r="94" spans="1:11" ht="16.5">
      <c r="A94" s="353"/>
      <c r="B94" s="35" t="s">
        <v>483</v>
      </c>
      <c r="C94" s="35"/>
      <c r="D94" s="35"/>
      <c r="E94" s="83"/>
      <c r="F94" s="35"/>
      <c r="G94" s="35"/>
      <c r="H94" s="72" t="s">
        <v>55</v>
      </c>
      <c r="I94" s="35"/>
      <c r="J94" s="35"/>
      <c r="K94" s="35"/>
    </row>
    <row r="95" spans="1:11" ht="16.5">
      <c r="A95" s="353"/>
      <c r="B95" t="s">
        <v>483</v>
      </c>
      <c r="F95" s="34"/>
      <c r="G95" s="34"/>
      <c r="H95" s="72" t="s">
        <v>55</v>
      </c>
      <c r="I95" s="34"/>
      <c r="J95" s="34"/>
      <c r="K95" s="34"/>
    </row>
    <row r="96" spans="1:11" ht="16.5">
      <c r="A96" s="353"/>
      <c r="B96" s="35" t="s">
        <v>483</v>
      </c>
      <c r="C96" s="35"/>
      <c r="D96" s="35"/>
      <c r="E96" s="83"/>
      <c r="F96" s="35"/>
      <c r="G96" s="35"/>
      <c r="H96" s="72" t="s">
        <v>55</v>
      </c>
      <c r="I96" s="35"/>
      <c r="J96" s="35"/>
      <c r="K96" s="35"/>
    </row>
    <row r="97" spans="1:11" ht="16.5">
      <c r="A97" s="358"/>
      <c r="B97" t="s">
        <v>483</v>
      </c>
      <c r="F97" s="34"/>
      <c r="G97" s="34"/>
      <c r="H97" s="72" t="s">
        <v>282</v>
      </c>
      <c r="I97" s="34"/>
      <c r="J97" s="34"/>
      <c r="K97" s="34"/>
    </row>
    <row r="98" spans="1:11" ht="15.75">
      <c r="A98" s="359"/>
      <c r="B98" s="151"/>
      <c r="C98" s="152"/>
      <c r="D98" s="136"/>
      <c r="E98" s="136"/>
      <c r="F98" s="127"/>
      <c r="G98" s="135"/>
      <c r="H98" s="153"/>
      <c r="I98" s="251"/>
      <c r="J98" s="152"/>
      <c r="K98" s="106"/>
    </row>
    <row r="99" spans="1:11" ht="15.75">
      <c r="A99" s="353"/>
      <c r="B99" s="128"/>
      <c r="C99" s="139"/>
      <c r="D99" s="77"/>
      <c r="E99" s="77"/>
      <c r="F99" s="112"/>
      <c r="G99" s="252"/>
      <c r="H99" s="105"/>
      <c r="I99" s="110"/>
      <c r="J99" s="110"/>
      <c r="K99" s="110"/>
    </row>
    <row r="100" spans="1:11" ht="15.75">
      <c r="A100" s="353"/>
      <c r="B100" s="151"/>
      <c r="C100" s="152"/>
      <c r="D100" s="104"/>
      <c r="E100" s="136"/>
      <c r="F100" s="127"/>
      <c r="G100" s="121"/>
      <c r="H100" s="105"/>
      <c r="I100" s="251"/>
      <c r="J100" s="152"/>
      <c r="K100" s="106"/>
    </row>
    <row r="101" spans="1:11" ht="15.75">
      <c r="A101" s="353"/>
      <c r="B101" s="128"/>
      <c r="C101" s="77"/>
      <c r="D101" s="77"/>
      <c r="E101" s="77"/>
      <c r="F101" s="112"/>
      <c r="G101" s="156"/>
      <c r="H101" s="105"/>
      <c r="I101" s="110"/>
      <c r="J101" s="34"/>
      <c r="K101" s="34"/>
    </row>
    <row r="102" spans="1:11" ht="15.75">
      <c r="A102" s="353"/>
      <c r="B102" s="35"/>
      <c r="C102" s="35"/>
      <c r="D102" s="35"/>
      <c r="E102" s="83"/>
      <c r="F102" s="35"/>
      <c r="G102" s="35"/>
      <c r="H102" s="72"/>
      <c r="I102" s="35"/>
      <c r="J102" s="35"/>
      <c r="K102" s="35"/>
    </row>
    <row r="103" spans="1:11" ht="15.75">
      <c r="A103" s="353"/>
      <c r="F103" s="34"/>
      <c r="G103" s="34"/>
      <c r="H103" s="72"/>
      <c r="I103" s="34"/>
      <c r="J103" s="34"/>
      <c r="K103" s="34"/>
    </row>
    <row r="104" spans="1:11" ht="15.75">
      <c r="A104" s="353"/>
      <c r="B104" s="35"/>
      <c r="C104" s="35"/>
      <c r="D104" s="35"/>
      <c r="E104" s="83"/>
      <c r="F104" s="35"/>
      <c r="G104" s="35"/>
      <c r="H104" s="72"/>
      <c r="I104" s="35"/>
      <c r="J104" s="35"/>
      <c r="K104" s="35"/>
    </row>
    <row r="105" spans="1:11" ht="15.75">
      <c r="A105" s="353"/>
      <c r="F105" s="34"/>
      <c r="G105" s="34"/>
      <c r="H105" s="72"/>
      <c r="I105" s="34"/>
      <c r="J105" s="34"/>
      <c r="K105" s="34"/>
    </row>
    <row r="106" spans="1:11" ht="15.75">
      <c r="A106" s="353"/>
      <c r="B106" s="35"/>
      <c r="C106" s="35"/>
      <c r="D106" s="35"/>
      <c r="E106" s="83"/>
      <c r="F106" s="35"/>
      <c r="G106" s="35"/>
      <c r="H106" s="72"/>
      <c r="I106" s="35"/>
      <c r="J106" s="35"/>
      <c r="K106" s="35"/>
    </row>
    <row r="107" spans="1:11" ht="15.75">
      <c r="A107" s="353"/>
      <c r="F107" s="34"/>
      <c r="G107" s="34"/>
      <c r="H107" s="72"/>
      <c r="I107" s="34"/>
      <c r="J107" s="34"/>
      <c r="K107" s="34"/>
    </row>
    <row r="108" spans="1:11" ht="15.75">
      <c r="A108" s="353"/>
      <c r="B108" s="35"/>
      <c r="C108" s="35"/>
      <c r="D108" s="35"/>
      <c r="E108" s="83"/>
      <c r="F108" s="35"/>
      <c r="G108" s="35"/>
      <c r="H108" s="72"/>
      <c r="I108" s="35"/>
      <c r="J108" s="35"/>
      <c r="K108" s="35"/>
    </row>
    <row r="109" spans="1:11" ht="15.75">
      <c r="A109" s="353"/>
      <c r="B109" s="41"/>
      <c r="C109" s="40"/>
      <c r="D109" s="44"/>
      <c r="F109" s="45"/>
      <c r="G109" s="34"/>
      <c r="H109" s="72"/>
      <c r="I109" s="74"/>
      <c r="J109" s="34"/>
      <c r="K109" s="34"/>
    </row>
    <row r="110" spans="1:11" ht="15.75">
      <c r="A110" s="353"/>
      <c r="B110" s="47"/>
      <c r="C110" s="227"/>
      <c r="D110" s="76"/>
      <c r="E110" s="83"/>
      <c r="F110" s="230"/>
      <c r="G110" s="98"/>
      <c r="H110" s="72"/>
      <c r="I110" s="227"/>
      <c r="J110" s="229"/>
      <c r="K110" s="217"/>
    </row>
    <row r="111" spans="1:11" ht="15.75">
      <c r="A111" s="353"/>
      <c r="B111" s="41"/>
      <c r="D111" s="44"/>
      <c r="F111" s="223"/>
      <c r="G111" s="228"/>
      <c r="H111" s="72"/>
      <c r="I111" s="228"/>
      <c r="J111" s="218"/>
      <c r="K111" s="218"/>
    </row>
    <row r="112" spans="1:11" ht="15.75">
      <c r="A112" s="353"/>
      <c r="B112" s="47"/>
      <c r="C112" s="35"/>
      <c r="D112" s="35"/>
      <c r="E112" s="83"/>
      <c r="F112" s="222"/>
      <c r="G112" s="227"/>
      <c r="H112" s="72"/>
      <c r="I112" s="217"/>
      <c r="J112" s="98"/>
      <c r="K112" s="219"/>
    </row>
    <row r="113" spans="1:11" ht="15.75">
      <c r="A113" s="353"/>
      <c r="B113" s="41"/>
      <c r="F113" s="223"/>
      <c r="G113" s="226"/>
      <c r="H113" s="72"/>
      <c r="I113" s="226"/>
      <c r="J113" s="228"/>
      <c r="K113" s="220"/>
    </row>
    <row r="114" spans="1:11" ht="15.75">
      <c r="A114" s="353"/>
      <c r="B114" s="41"/>
      <c r="C114" s="35"/>
      <c r="D114" s="76"/>
      <c r="E114" s="83"/>
      <c r="F114" s="222"/>
      <c r="H114" s="72"/>
      <c r="I114" s="227"/>
      <c r="K114" s="225"/>
    </row>
    <row r="115" spans="1:11" ht="15.75">
      <c r="A115" s="353"/>
      <c r="B115" s="253"/>
      <c r="D115" s="44"/>
      <c r="F115" s="45"/>
      <c r="G115" s="156"/>
      <c r="H115" s="72"/>
      <c r="I115" s="224"/>
      <c r="J115" s="224"/>
      <c r="K115" s="156"/>
    </row>
    <row r="116" spans="1:11" ht="15.75">
      <c r="A116" s="353"/>
      <c r="B116" s="47"/>
      <c r="C116" s="35"/>
      <c r="D116" s="35"/>
      <c r="E116" s="83"/>
      <c r="F116" s="35"/>
      <c r="G116" s="35"/>
      <c r="H116" s="72"/>
      <c r="I116" s="35"/>
      <c r="J116" s="35"/>
      <c r="K116" s="35"/>
    </row>
    <row r="117" spans="1:11" ht="16.5">
      <c r="A117" s="353"/>
      <c r="B117" s="41"/>
      <c r="F117" s="45"/>
      <c r="G117" s="254"/>
      <c r="H117" s="72"/>
      <c r="I117" s="224"/>
      <c r="K117" s="224"/>
    </row>
    <row r="118" spans="1:11" ht="15.75">
      <c r="A118" s="353"/>
      <c r="B118" s="47"/>
      <c r="C118" s="225"/>
      <c r="D118" s="35"/>
      <c r="E118" s="83"/>
      <c r="F118" s="41"/>
      <c r="G118" s="35"/>
      <c r="H118" s="72"/>
      <c r="I118" s="35"/>
      <c r="J118" s="35"/>
      <c r="K118" s="35"/>
    </row>
    <row r="119" spans="1:11" ht="15.75">
      <c r="A119" s="353"/>
      <c r="F119" s="35"/>
      <c r="G119" s="34"/>
      <c r="H119" s="72"/>
      <c r="I119" s="34"/>
      <c r="J119" s="34"/>
      <c r="K119" s="34"/>
    </row>
    <row r="120" spans="1:11" ht="15.75">
      <c r="A120" s="353"/>
      <c r="B120" s="47"/>
      <c r="C120" s="42"/>
      <c r="D120" s="76"/>
      <c r="E120" s="83"/>
      <c r="F120" s="47"/>
      <c r="G120" s="35"/>
      <c r="H120" s="75"/>
      <c r="I120" s="35"/>
      <c r="J120" s="35"/>
      <c r="K120" s="35"/>
    </row>
    <row r="121" spans="1:11" ht="15.75">
      <c r="A121" s="353"/>
      <c r="C121" s="40"/>
      <c r="F121" s="34"/>
      <c r="G121" s="34"/>
      <c r="H121" s="75"/>
      <c r="I121" s="34"/>
      <c r="J121" s="34"/>
      <c r="K121" s="34"/>
    </row>
    <row r="122" spans="1:11" ht="15.75">
      <c r="A122" s="353"/>
      <c r="B122" s="35"/>
      <c r="C122" s="35"/>
      <c r="D122" s="35"/>
      <c r="E122" s="83"/>
      <c r="F122" s="35"/>
      <c r="G122" s="35"/>
      <c r="H122" s="72"/>
      <c r="I122" s="35"/>
      <c r="J122" s="35"/>
      <c r="K122" s="35"/>
    </row>
    <row r="123" spans="1:11" ht="15.75">
      <c r="A123" s="353"/>
      <c r="F123" s="34"/>
      <c r="G123" s="34"/>
      <c r="H123" s="72"/>
      <c r="I123" s="34"/>
      <c r="J123" s="34"/>
      <c r="K123" s="34"/>
    </row>
    <row r="124" spans="1:11" ht="15.75">
      <c r="A124" s="353"/>
      <c r="B124" s="35"/>
      <c r="C124" s="35"/>
      <c r="D124" s="35"/>
      <c r="E124" s="83"/>
      <c r="F124" s="35"/>
      <c r="G124" s="35"/>
      <c r="H124" s="72"/>
      <c r="I124" s="35"/>
      <c r="J124" s="35"/>
      <c r="K124" s="35"/>
    </row>
    <row r="125" spans="1:11" ht="15.75">
      <c r="A125" s="353"/>
      <c r="F125" s="34"/>
      <c r="G125" s="34"/>
      <c r="H125" s="72"/>
      <c r="I125" s="34"/>
      <c r="J125" s="34"/>
      <c r="K125" s="34"/>
    </row>
    <row r="126" spans="1:11" ht="15.75">
      <c r="A126" s="353"/>
      <c r="B126" s="35"/>
      <c r="C126" s="35"/>
      <c r="D126" s="35"/>
      <c r="E126" s="83"/>
      <c r="F126" s="35"/>
      <c r="G126" s="35"/>
      <c r="H126" s="72"/>
      <c r="I126" s="35"/>
      <c r="J126" s="35"/>
      <c r="K126" s="35"/>
    </row>
    <row r="127" spans="1:11" ht="15.75">
      <c r="A127" s="353"/>
      <c r="F127" s="34"/>
      <c r="G127" s="34"/>
      <c r="H127" s="72"/>
      <c r="I127" s="34"/>
      <c r="J127" s="34"/>
      <c r="K127" s="34"/>
    </row>
    <row r="128" spans="1:11" ht="15.75">
      <c r="A128" s="353"/>
      <c r="B128" s="35"/>
      <c r="C128" s="42"/>
      <c r="D128" s="35"/>
      <c r="E128" s="83"/>
      <c r="F128" s="35"/>
      <c r="G128" s="35"/>
      <c r="H128" s="75"/>
      <c r="I128" s="35"/>
      <c r="J128" s="35"/>
      <c r="K128" s="35"/>
    </row>
    <row r="129" spans="1:11" ht="15.75">
      <c r="A129" s="353"/>
      <c r="C129" s="40"/>
      <c r="D129" s="107"/>
      <c r="F129" s="34"/>
      <c r="G129" s="34"/>
      <c r="H129" s="72"/>
      <c r="I129" s="34"/>
      <c r="J129" s="34"/>
      <c r="K129" s="34"/>
    </row>
    <row r="130" spans="1:11" ht="15.75">
      <c r="A130" s="353"/>
      <c r="B130" s="35"/>
      <c r="C130" s="42"/>
      <c r="D130" s="35"/>
      <c r="E130" s="83"/>
      <c r="F130" s="35"/>
      <c r="G130" s="35"/>
      <c r="H130" s="72"/>
      <c r="I130" s="35"/>
      <c r="J130" s="35"/>
      <c r="K130" s="35"/>
    </row>
    <row r="131" spans="1:11" ht="15.75">
      <c r="A131" s="353"/>
      <c r="B131" s="41"/>
      <c r="C131" s="40"/>
      <c r="D131" s="44"/>
      <c r="F131" s="45"/>
      <c r="G131" s="34"/>
      <c r="H131" s="75"/>
      <c r="I131" s="34"/>
      <c r="J131" s="34"/>
      <c r="K131" s="34"/>
    </row>
    <row r="132" spans="1:11" ht="15.75">
      <c r="A132" s="353"/>
      <c r="B132" s="35"/>
      <c r="C132" s="72"/>
      <c r="D132" s="35"/>
      <c r="E132" s="83"/>
      <c r="F132" s="35"/>
      <c r="G132" s="35"/>
      <c r="H132" s="72"/>
      <c r="I132" s="35"/>
      <c r="J132" s="35"/>
      <c r="K132" s="35"/>
    </row>
    <row r="133" spans="1:11" ht="15.75">
      <c r="A133" s="353"/>
      <c r="C133" s="40"/>
      <c r="D133" s="40"/>
      <c r="F133" s="45"/>
      <c r="G133" s="34"/>
      <c r="H133" s="75"/>
      <c r="I133" s="34"/>
      <c r="J133" s="34"/>
      <c r="K133" s="34"/>
    </row>
    <row r="134" spans="1:11" ht="15.75">
      <c r="A134" s="353"/>
      <c r="B134" s="35"/>
      <c r="C134" s="42"/>
      <c r="D134" s="92"/>
      <c r="E134" s="83"/>
      <c r="F134" s="47"/>
      <c r="G134" s="35"/>
      <c r="H134" s="75"/>
      <c r="I134" s="35"/>
      <c r="J134" s="35"/>
      <c r="K134" s="35"/>
    </row>
    <row r="135" spans="1:11" ht="15.75">
      <c r="A135" s="353"/>
      <c r="B135" s="41"/>
      <c r="C135" s="40"/>
      <c r="D135" s="44"/>
      <c r="F135" s="45"/>
      <c r="G135" s="34"/>
      <c r="H135" s="75"/>
      <c r="I135" s="34"/>
      <c r="J135" s="34"/>
      <c r="K135" s="34"/>
    </row>
    <row r="136" spans="1:11" ht="15.75">
      <c r="A136" s="353"/>
      <c r="B136" s="35"/>
      <c r="C136" s="35"/>
      <c r="D136" s="107"/>
      <c r="E136" s="83"/>
      <c r="F136" s="47"/>
      <c r="G136" s="35"/>
      <c r="H136" s="72"/>
      <c r="I136" s="35"/>
      <c r="J136" s="35"/>
      <c r="K136" s="35"/>
    </row>
    <row r="137" spans="1:11" ht="15.75">
      <c r="A137" s="353"/>
      <c r="F137" s="34"/>
      <c r="G137" s="34"/>
      <c r="H137" s="72"/>
      <c r="I137" s="34"/>
      <c r="J137" s="34"/>
      <c r="K137" s="34"/>
    </row>
    <row r="138" spans="1:11">
      <c r="A138" s="353"/>
      <c r="B138" s="35"/>
      <c r="C138" s="35"/>
      <c r="D138" s="35"/>
      <c r="E138" s="83"/>
      <c r="F138" s="35"/>
      <c r="G138" s="35"/>
      <c r="H138" s="35"/>
      <c r="I138" s="35"/>
      <c r="J138" s="35"/>
      <c r="K138" s="35"/>
    </row>
    <row r="139" spans="1:11">
      <c r="A139" s="353"/>
      <c r="F139" s="34"/>
      <c r="G139" s="34"/>
      <c r="H139" s="34"/>
      <c r="I139" s="34"/>
      <c r="J139" s="34"/>
      <c r="K139" s="34"/>
    </row>
    <row r="140" spans="1:11">
      <c r="A140" s="353"/>
      <c r="B140" s="35"/>
      <c r="C140" s="35"/>
      <c r="D140" s="35"/>
      <c r="E140" s="83"/>
      <c r="F140" s="35"/>
      <c r="G140" s="35"/>
      <c r="H140" s="35"/>
      <c r="I140" s="35"/>
      <c r="J140" s="35"/>
      <c r="K140" s="35"/>
    </row>
    <row r="141" spans="1:11">
      <c r="A141" s="353"/>
      <c r="D141" s="34"/>
      <c r="E141" s="91"/>
      <c r="F141" s="34"/>
      <c r="G141" s="28"/>
    </row>
    <row r="142" spans="1:11">
      <c r="A142" s="353"/>
    </row>
    <row r="143" spans="1:11">
      <c r="A143" s="353"/>
    </row>
    <row r="144" spans="1:11">
      <c r="A144" s="353"/>
    </row>
    <row r="145" spans="1:7">
      <c r="A145" s="353"/>
    </row>
    <row r="152" spans="1:7">
      <c r="B152" s="25" t="str">
        <f>IF(C152="","","PID-"&amp;TEXT(ROW()-2,"0000"))</f>
        <v/>
      </c>
      <c r="D152" s="25"/>
      <c r="F152" s="25"/>
      <c r="G152" s="25"/>
    </row>
    <row r="153" spans="1:7">
      <c r="B153" s="25" t="str">
        <f>IF(C153="","","PID-"&amp;TEXT(ROW()-2,"0000"))</f>
        <v/>
      </c>
      <c r="D153" s="25"/>
      <c r="F153" s="25"/>
      <c r="G153" s="25"/>
    </row>
    <row r="154" spans="1:7">
      <c r="B154" s="25" t="str">
        <f>IF(C154="","","PID-"&amp;TEXT(ROW()-2,"0000"))</f>
        <v/>
      </c>
      <c r="D154" s="25"/>
      <c r="F154" s="25"/>
      <c r="G154" s="25"/>
    </row>
    <row r="155" spans="1:7">
      <c r="B155" s="25" t="str">
        <f>IF(C155="","","PID-"&amp;TEXT(ROW()-2,"0000"))</f>
        <v/>
      </c>
      <c r="D155" s="25"/>
      <c r="F155" s="25"/>
      <c r="G155" s="25"/>
    </row>
    <row r="156" spans="1:7">
      <c r="B156" s="25" t="str">
        <f>IF(C156="","","PID-"&amp;TEXT(ROW()-2,"0000"))</f>
        <v/>
      </c>
      <c r="D156" s="25"/>
      <c r="F156" s="25"/>
      <c r="G156" s="25"/>
    </row>
    <row r="157" spans="1:7">
      <c r="B157" s="25" t="str">
        <f>IF(C157="","","PID-"&amp;TEXT(ROW()-2,"0000"))</f>
        <v/>
      </c>
      <c r="D157" s="25"/>
      <c r="F157" s="25"/>
      <c r="G157" s="25"/>
    </row>
    <row r="158" spans="1:7">
      <c r="B158" s="25" t="str">
        <f>IF(C158="","","PID-"&amp;TEXT(ROW()-2,"0000"))</f>
        <v/>
      </c>
      <c r="C158" s="25"/>
      <c r="D158" s="25"/>
      <c r="F158" s="25"/>
      <c r="G158" s="25"/>
    </row>
    <row r="159" spans="1:7">
      <c r="B159" s="25" t="str">
        <f>IF(C159="","","PID-"&amp;TEXT(ROW()-2,"0000"))</f>
        <v/>
      </c>
      <c r="C159" s="25"/>
      <c r="D159" s="25"/>
      <c r="E159" s="255"/>
      <c r="F159" s="25"/>
      <c r="G159" s="25"/>
    </row>
    <row r="160" spans="1:7">
      <c r="B160" s="25" t="str">
        <f>IF(C160="","","PID-"&amp;TEXT(ROW()-2,"0000"))</f>
        <v/>
      </c>
      <c r="C160" s="25"/>
      <c r="D160" s="25"/>
      <c r="E160" s="255"/>
      <c r="F160" s="25"/>
      <c r="G160" s="25"/>
    </row>
    <row r="161" spans="2:7">
      <c r="B161" s="25" t="str">
        <f>IF(C161="","","PID-"&amp;TEXT(ROW()-2,"0000"))</f>
        <v/>
      </c>
      <c r="C161" s="25"/>
      <c r="D161" s="25"/>
      <c r="E161" s="255"/>
      <c r="F161" s="25"/>
      <c r="G161" s="25"/>
    </row>
    <row r="162" spans="2:7">
      <c r="B162" s="25" t="str">
        <f>IF(C162="","","PID-"&amp;TEXT(ROW()-2,"0000"))</f>
        <v/>
      </c>
      <c r="C162" s="25"/>
      <c r="D162" s="25"/>
      <c r="E162" s="255"/>
      <c r="F162" s="25"/>
      <c r="G162" s="25"/>
    </row>
    <row r="163" spans="2:7">
      <c r="B163" s="25" t="str">
        <f>IF(C163="","","PID-"&amp;TEXT(ROW()-2,"0000"))</f>
        <v/>
      </c>
      <c r="C163" s="25"/>
      <c r="D163" s="25"/>
      <c r="E163" s="255"/>
      <c r="F163" s="25"/>
      <c r="G163" s="25"/>
    </row>
    <row r="164" spans="2:7">
      <c r="B164" s="25" t="str">
        <f>IF(C164="","","PID-"&amp;TEXT(ROW()-2,"0000"))</f>
        <v/>
      </c>
      <c r="C164" s="25"/>
      <c r="D164" s="25"/>
      <c r="E164" s="255"/>
      <c r="F164" s="25"/>
      <c r="G164" s="25"/>
    </row>
    <row r="165" spans="2:7">
      <c r="B165" s="25" t="str">
        <f>IF(C165="","","PID-"&amp;TEXT(ROW()-2,"0000"))</f>
        <v/>
      </c>
      <c r="C165" s="25"/>
      <c r="D165" s="25"/>
      <c r="E165" s="255"/>
      <c r="F165" s="25"/>
      <c r="G165" s="25"/>
    </row>
    <row r="166" spans="2:7">
      <c r="B166" s="25" t="str">
        <f>IF(C166="","","PID-"&amp;TEXT(ROW()-2,"0000"))</f>
        <v/>
      </c>
      <c r="C166" s="25"/>
      <c r="D166" s="25"/>
      <c r="E166" s="255"/>
      <c r="F166" s="25"/>
      <c r="G166" s="25"/>
    </row>
    <row r="167" spans="2:7">
      <c r="B167" s="25" t="str">
        <f>IF(C167="","","PID-"&amp;TEXT(ROW()-2,"0000"))</f>
        <v/>
      </c>
      <c r="C167" s="25"/>
      <c r="D167" s="25"/>
      <c r="E167" s="255"/>
      <c r="F167" s="25"/>
      <c r="G167" s="25"/>
    </row>
    <row r="168" spans="2:7">
      <c r="B168" s="25" t="str">
        <f>IF(C168="","","PID-"&amp;TEXT(ROW()-2,"0000"))</f>
        <v/>
      </c>
      <c r="C168" s="25"/>
      <c r="D168" s="25"/>
      <c r="E168" s="255"/>
      <c r="F168" s="25"/>
      <c r="G168" s="25"/>
    </row>
    <row r="169" spans="2:7">
      <c r="B169" s="25" t="str">
        <f>IF(C169="","","PID-"&amp;TEXT(ROW()-2,"0000"))</f>
        <v/>
      </c>
      <c r="C169" s="25"/>
      <c r="D169" s="25"/>
      <c r="E169" s="255"/>
      <c r="F169" s="25"/>
      <c r="G169" s="25"/>
    </row>
    <row r="170" spans="2:7">
      <c r="B170" s="25" t="str">
        <f>IF(C170="","","PID-"&amp;TEXT(ROW()-2,"0000"))</f>
        <v/>
      </c>
      <c r="C170" s="25"/>
      <c r="D170" s="25"/>
      <c r="E170" s="255"/>
      <c r="F170" s="25"/>
      <c r="G170" s="25"/>
    </row>
    <row r="171" spans="2:7">
      <c r="B171" s="25" t="str">
        <f>IF(C171="","","PID-"&amp;TEXT(ROW()-2,"0000"))</f>
        <v/>
      </c>
      <c r="C171" s="25"/>
      <c r="D171" s="25"/>
      <c r="E171" s="255"/>
      <c r="F171" s="25"/>
      <c r="G171" s="25"/>
    </row>
    <row r="172" spans="2:7">
      <c r="B172" s="25" t="str">
        <f>IF(C172="","","PID-"&amp;TEXT(ROW()-2,"0000"))</f>
        <v/>
      </c>
      <c r="C172" s="25"/>
      <c r="D172" s="25"/>
      <c r="E172" s="255"/>
      <c r="F172" s="25"/>
      <c r="G172" s="25"/>
    </row>
    <row r="173" spans="2:7">
      <c r="B173" s="25" t="str">
        <f>IF(C173="","","PID-"&amp;TEXT(ROW()-2,"0000"))</f>
        <v/>
      </c>
      <c r="C173" s="25"/>
      <c r="D173" s="25"/>
      <c r="E173" s="255"/>
      <c r="F173" s="25"/>
      <c r="G173" s="25"/>
    </row>
    <row r="174" spans="2:7">
      <c r="B174" s="25" t="str">
        <f>IF(C174="","","PID-"&amp;TEXT(ROW()-2,"0000"))</f>
        <v/>
      </c>
      <c r="C174" s="25"/>
      <c r="D174" s="25"/>
      <c r="E174" s="255"/>
      <c r="F174" s="25"/>
      <c r="G174" s="25"/>
    </row>
    <row r="175" spans="2:7">
      <c r="B175" s="25" t="str">
        <f>IF(C175="","","PID-"&amp;TEXT(ROW()-2,"0000"))</f>
        <v/>
      </c>
      <c r="C175" s="25"/>
      <c r="D175" s="25"/>
      <c r="E175" s="255"/>
      <c r="F175" s="25"/>
      <c r="G175" s="25"/>
    </row>
    <row r="176" spans="2:7">
      <c r="B176" s="25" t="str">
        <f>IF(C176="","","PID-"&amp;TEXT(ROW()-2,"0000"))</f>
        <v/>
      </c>
      <c r="C176" s="25"/>
      <c r="D176" s="25"/>
      <c r="E176" s="255"/>
      <c r="F176" s="25"/>
      <c r="G176" s="25"/>
    </row>
    <row r="177" spans="2:7">
      <c r="B177" s="25" t="str">
        <f>IF(C177="","","PID-"&amp;TEXT(ROW()-2,"0000"))</f>
        <v/>
      </c>
      <c r="C177" s="25"/>
      <c r="D177" s="25"/>
      <c r="E177" s="255"/>
      <c r="F177" s="25"/>
      <c r="G177" s="25"/>
    </row>
    <row r="178" spans="2:7">
      <c r="B178" s="25" t="str">
        <f>IF(C178="","","PID-"&amp;TEXT(ROW()-2,"0000"))</f>
        <v/>
      </c>
      <c r="C178" s="25"/>
      <c r="D178" s="25"/>
      <c r="E178" s="255"/>
      <c r="F178" s="25"/>
      <c r="G178" s="25"/>
    </row>
    <row r="179" spans="2:7">
      <c r="B179" s="25" t="str">
        <f>IF(C179="","","PID-"&amp;TEXT(ROW()-2,"0000"))</f>
        <v/>
      </c>
      <c r="C179" s="25"/>
      <c r="D179" s="25"/>
      <c r="E179" s="255"/>
      <c r="F179" s="25"/>
      <c r="G179" s="25"/>
    </row>
    <row r="180" spans="2:7">
      <c r="B180" s="25" t="str">
        <f>IF(C180="","","PID-"&amp;TEXT(ROW()-2,"0000"))</f>
        <v/>
      </c>
      <c r="C180" s="25"/>
      <c r="D180" s="25"/>
      <c r="E180" s="255"/>
      <c r="F180" s="25"/>
      <c r="G180" s="25"/>
    </row>
    <row r="181" spans="2:7">
      <c r="B181" s="25" t="str">
        <f>IF(C181="","","PID-"&amp;TEXT(ROW()-2,"0000"))</f>
        <v/>
      </c>
      <c r="C181" s="25"/>
      <c r="D181" s="25"/>
      <c r="E181" s="255"/>
      <c r="F181" s="25"/>
      <c r="G181" s="25"/>
    </row>
    <row r="182" spans="2:7">
      <c r="B182" s="25" t="str">
        <f>IF(C182="","","PID-"&amp;TEXT(ROW()-2,"0000"))</f>
        <v/>
      </c>
      <c r="C182" s="25"/>
      <c r="D182" s="25"/>
      <c r="E182" s="255"/>
      <c r="F182" s="25"/>
      <c r="G182" s="25"/>
    </row>
    <row r="183" spans="2:7">
      <c r="B183" s="25" t="str">
        <f>IF(C183="","","PID-"&amp;TEXT(ROW()-2,"0000"))</f>
        <v/>
      </c>
      <c r="C183" s="25"/>
      <c r="D183" s="25"/>
      <c r="E183" s="255"/>
      <c r="F183" s="25"/>
      <c r="G183" s="25"/>
    </row>
    <row r="184" spans="2:7">
      <c r="B184" s="25" t="str">
        <f>IF(C184="","","PID-"&amp;TEXT(ROW()-2,"0000"))</f>
        <v/>
      </c>
      <c r="C184" s="25"/>
      <c r="D184" s="25"/>
      <c r="E184" s="255"/>
      <c r="F184" s="25"/>
      <c r="G184" s="25"/>
    </row>
    <row r="185" spans="2:7">
      <c r="B185" s="25" t="str">
        <f>IF(C185="","","PID-"&amp;TEXT(ROW()-2,"0000"))</f>
        <v/>
      </c>
      <c r="C185" s="25"/>
      <c r="D185" s="25"/>
      <c r="E185" s="255"/>
      <c r="F185" s="25"/>
      <c r="G185" s="25"/>
    </row>
    <row r="186" spans="2:7">
      <c r="B186" s="25" t="str">
        <f>IF(C186="","","PID-"&amp;TEXT(ROW()-2,"0000"))</f>
        <v/>
      </c>
      <c r="C186" s="25"/>
      <c r="D186" s="25"/>
      <c r="E186" s="255"/>
      <c r="F186" s="25"/>
      <c r="G186" s="25"/>
    </row>
    <row r="187" spans="2:7">
      <c r="B187" s="25" t="str">
        <f>IF(C187="","","PID-"&amp;TEXT(ROW()-2,"0000"))</f>
        <v/>
      </c>
      <c r="C187" s="25"/>
      <c r="D187" s="25"/>
      <c r="E187" s="255"/>
      <c r="F187" s="25"/>
      <c r="G187" s="25"/>
    </row>
    <row r="188" spans="2:7">
      <c r="B188" s="25" t="str">
        <f>IF(C188="","","PID-"&amp;TEXT(ROW()-2,"0000"))</f>
        <v/>
      </c>
      <c r="C188" s="25"/>
      <c r="D188" s="25"/>
      <c r="E188" s="255"/>
      <c r="F188" s="25"/>
      <c r="G188" s="25"/>
    </row>
    <row r="189" spans="2:7">
      <c r="B189" s="25" t="str">
        <f>IF(C189="","","PID-"&amp;TEXT(ROW()-2,"0000"))</f>
        <v/>
      </c>
      <c r="C189" s="25"/>
      <c r="D189" s="25"/>
      <c r="E189" s="255"/>
      <c r="F189" s="25"/>
      <c r="G189" s="25"/>
    </row>
    <row r="190" spans="2:7">
      <c r="B190" s="25" t="str">
        <f>IF(C190="","","PID-"&amp;TEXT(ROW()-2,"0000"))</f>
        <v/>
      </c>
      <c r="C190" s="25"/>
      <c r="D190" s="25"/>
      <c r="E190" s="255"/>
      <c r="F190" s="25"/>
      <c r="G190" s="25"/>
    </row>
    <row r="191" spans="2:7">
      <c r="B191" s="25" t="str">
        <f>IF(C191="","","PID-"&amp;TEXT(ROW()-2,"0000"))</f>
        <v/>
      </c>
      <c r="C191" s="25"/>
      <c r="D191" s="25"/>
      <c r="E191" s="255"/>
      <c r="F191" s="25"/>
      <c r="G191" s="25"/>
    </row>
    <row r="192" spans="2:7">
      <c r="B192" s="25" t="str">
        <f>IF(C192="","","PID-"&amp;TEXT(ROW()-2,"0000"))</f>
        <v/>
      </c>
      <c r="C192" s="25"/>
      <c r="D192" s="25"/>
      <c r="E192" s="255"/>
      <c r="F192" s="25"/>
      <c r="G192" s="25"/>
    </row>
    <row r="193" spans="2:7">
      <c r="B193" s="25" t="str">
        <f>IF(C193="","","PID-"&amp;TEXT(ROW()-2,"0000"))</f>
        <v/>
      </c>
      <c r="C193" s="25"/>
      <c r="D193" s="25"/>
      <c r="E193" s="255"/>
      <c r="F193" s="25"/>
      <c r="G193" s="25"/>
    </row>
    <row r="194" spans="2:7">
      <c r="B194" s="25" t="str">
        <f>IF(C194="","","PID-"&amp;TEXT(ROW()-2,"0000"))</f>
        <v/>
      </c>
      <c r="C194" s="25"/>
      <c r="D194" s="25"/>
      <c r="E194" s="255"/>
      <c r="F194" s="25"/>
      <c r="G194" s="25"/>
    </row>
    <row r="195" spans="2:7">
      <c r="B195" s="25" t="str">
        <f>IF(C195="","","PID-"&amp;TEXT(ROW()-2,"0000"))</f>
        <v/>
      </c>
      <c r="C195" s="25"/>
      <c r="D195" s="25"/>
      <c r="E195" s="255"/>
      <c r="F195" s="25"/>
      <c r="G195" s="25"/>
    </row>
    <row r="196" spans="2:7">
      <c r="B196" s="25" t="str">
        <f>IF(C196="","","PID-"&amp;TEXT(ROW()-2,"0000"))</f>
        <v/>
      </c>
      <c r="C196" s="25"/>
      <c r="D196" s="25"/>
      <c r="E196" s="255"/>
      <c r="F196" s="25"/>
      <c r="G196" s="25"/>
    </row>
    <row r="197" spans="2:7">
      <c r="B197" s="25" t="str">
        <f>IF(C197="","","PID-"&amp;TEXT(ROW()-2,"0000"))</f>
        <v/>
      </c>
      <c r="C197" s="25"/>
      <c r="D197" s="25"/>
      <c r="E197" s="255"/>
      <c r="F197" s="25"/>
      <c r="G197" s="25"/>
    </row>
    <row r="198" spans="2:7">
      <c r="B198" s="25" t="str">
        <f>IF(C198="","","PID-"&amp;TEXT(ROW()-2,"0000"))</f>
        <v/>
      </c>
      <c r="C198" s="25"/>
      <c r="D198" s="25"/>
      <c r="E198" s="255"/>
      <c r="F198" s="25"/>
      <c r="G198" s="25"/>
    </row>
    <row r="199" spans="2:7">
      <c r="B199" s="25" t="str">
        <f>IF(C199="","","PID-"&amp;TEXT(ROW()-2,"0000"))</f>
        <v/>
      </c>
      <c r="C199" s="25"/>
      <c r="D199" s="25"/>
      <c r="E199" s="255"/>
      <c r="F199" s="25"/>
      <c r="G199" s="25"/>
    </row>
    <row r="200" spans="2:7">
      <c r="B200" s="25" t="str">
        <f>IF(C200="","","PID-"&amp;TEXT(ROW()-2,"0000"))</f>
        <v/>
      </c>
      <c r="C200" s="25"/>
      <c r="D200" s="25"/>
      <c r="E200" s="255"/>
      <c r="F200" s="25"/>
      <c r="G200" s="25"/>
    </row>
    <row r="201" spans="2:7">
      <c r="B201" s="25" t="str">
        <f>IF(C201="","","PID-"&amp;TEXT(ROW()-2,"0000"))</f>
        <v/>
      </c>
      <c r="C201" s="25"/>
      <c r="D201" s="25"/>
      <c r="E201" s="255"/>
      <c r="F201" s="25"/>
      <c r="G201" s="25"/>
    </row>
    <row r="202" spans="2:7">
      <c r="B202" s="25" t="str">
        <f>IF(C202="","","PID-"&amp;TEXT(ROW()-2,"0000"))</f>
        <v/>
      </c>
      <c r="C202" s="25"/>
      <c r="D202" s="25"/>
      <c r="E202" s="255"/>
      <c r="F202" s="25"/>
      <c r="G202" s="25"/>
    </row>
    <row r="203" spans="2:7">
      <c r="B203" s="25" t="str">
        <f>IF(C203="","","PID-"&amp;TEXT(ROW()-2,"0000"))</f>
        <v/>
      </c>
      <c r="C203" s="25"/>
      <c r="D203" s="25"/>
      <c r="E203" s="255"/>
      <c r="F203" s="25"/>
      <c r="G203" s="25"/>
    </row>
    <row r="204" spans="2:7">
      <c r="B204" s="25" t="str">
        <f>IF(C204="","","PID-"&amp;TEXT(ROW()-2,"0000"))</f>
        <v/>
      </c>
      <c r="C204" s="25"/>
      <c r="D204" s="25"/>
      <c r="E204" s="255"/>
      <c r="F204" s="25"/>
      <c r="G204" s="25"/>
    </row>
    <row r="205" spans="2:7">
      <c r="B205" s="25" t="str">
        <f>IF(C205="","","PID-"&amp;TEXT(ROW()-2,"0000"))</f>
        <v/>
      </c>
      <c r="C205" s="25"/>
      <c r="D205" s="25"/>
      <c r="E205" s="255"/>
      <c r="F205" s="25"/>
      <c r="G205" s="25"/>
    </row>
    <row r="206" spans="2:7">
      <c r="B206" s="25" t="str">
        <f>IF(C206="","","PID-"&amp;TEXT(ROW()-2,"0000"))</f>
        <v/>
      </c>
      <c r="C206" s="25"/>
      <c r="D206" s="25"/>
      <c r="E206" s="255"/>
      <c r="F206" s="25"/>
      <c r="G206" s="25"/>
    </row>
    <row r="207" spans="2:7">
      <c r="B207" s="25" t="str">
        <f>IF(C207="","","PID-"&amp;TEXT(ROW()-2,"0000"))</f>
        <v/>
      </c>
      <c r="C207" s="25"/>
      <c r="D207" s="25"/>
      <c r="E207" s="255"/>
      <c r="F207" s="25"/>
      <c r="G207" s="25"/>
    </row>
    <row r="208" spans="2:7">
      <c r="B208" s="25" t="str">
        <f>IF(C208="","","PID-"&amp;TEXT(ROW()-2,"0000"))</f>
        <v/>
      </c>
      <c r="C208" s="25"/>
      <c r="D208" s="25"/>
      <c r="E208" s="255"/>
      <c r="F208" s="25"/>
      <c r="G208" s="25"/>
    </row>
    <row r="209" spans="2:7">
      <c r="B209" s="25" t="str">
        <f>IF(C209="","","PID-"&amp;TEXT(ROW()-2,"0000"))</f>
        <v/>
      </c>
      <c r="C209" s="25"/>
      <c r="D209" s="25"/>
      <c r="E209" s="255"/>
      <c r="F209" s="25"/>
      <c r="G209" s="25"/>
    </row>
    <row r="210" spans="2:7">
      <c r="B210" s="25" t="str">
        <f>IF(C210="","","PID-"&amp;TEXT(ROW()-2,"0000"))</f>
        <v/>
      </c>
      <c r="C210" s="25"/>
      <c r="D210" s="25"/>
      <c r="E210" s="255"/>
      <c r="F210" s="25"/>
      <c r="G210" s="25"/>
    </row>
    <row r="211" spans="2:7">
      <c r="B211" s="25" t="str">
        <f>IF(C211="","","PID-"&amp;TEXT(ROW()-2,"0000"))</f>
        <v/>
      </c>
      <c r="C211" s="25"/>
      <c r="D211" s="25"/>
      <c r="E211" s="255"/>
      <c r="F211" s="25"/>
      <c r="G211" s="25"/>
    </row>
    <row r="212" spans="2:7">
      <c r="B212" s="25" t="str">
        <f>IF(C212="","","PID-"&amp;TEXT(ROW()-2,"0000"))</f>
        <v/>
      </c>
      <c r="C212" s="25"/>
      <c r="D212" s="25"/>
      <c r="E212" s="255"/>
      <c r="F212" s="25"/>
      <c r="G212" s="25"/>
    </row>
    <row r="213" spans="2:7">
      <c r="B213" s="25" t="str">
        <f>IF(C213="","","PID-"&amp;TEXT(ROW()-2,"0000"))</f>
        <v/>
      </c>
      <c r="C213" s="25"/>
      <c r="D213" s="25"/>
      <c r="E213" s="255"/>
      <c r="F213" s="25"/>
      <c r="G213" s="25"/>
    </row>
    <row r="214" spans="2:7">
      <c r="B214" s="25" t="str">
        <f>IF(C214="","","PID-"&amp;TEXT(ROW()-2,"0000"))</f>
        <v/>
      </c>
      <c r="C214" s="25"/>
      <c r="D214" s="25"/>
      <c r="E214" s="255"/>
      <c r="F214" s="25"/>
      <c r="G214" s="25"/>
    </row>
    <row r="215" spans="2:7">
      <c r="B215" s="25" t="str">
        <f>IF(C215="","","PID-"&amp;TEXT(ROW()-2,"0000"))</f>
        <v/>
      </c>
      <c r="C215" s="25"/>
      <c r="D215" s="25"/>
      <c r="E215" s="255"/>
      <c r="F215" s="25"/>
      <c r="G215" s="25"/>
    </row>
    <row r="216" spans="2:7">
      <c r="B216" s="25" t="str">
        <f>IF(C216="","","PID-"&amp;TEXT(ROW()-2,"0000"))</f>
        <v/>
      </c>
      <c r="C216" s="25"/>
      <c r="D216" s="25"/>
      <c r="E216" s="255"/>
      <c r="F216" s="25"/>
      <c r="G216" s="25"/>
    </row>
    <row r="217" spans="2:7">
      <c r="B217" s="25" t="str">
        <f>IF(C217="","","PID-"&amp;TEXT(ROW()-2,"0000"))</f>
        <v/>
      </c>
      <c r="C217" s="25"/>
      <c r="D217" s="25"/>
      <c r="E217" s="255"/>
      <c r="F217" s="25"/>
      <c r="G217" s="25"/>
    </row>
    <row r="218" spans="2:7">
      <c r="B218" s="25" t="str">
        <f>IF(C218="","","PID-"&amp;TEXT(ROW()-2,"0000"))</f>
        <v/>
      </c>
      <c r="C218" s="25"/>
      <c r="D218" s="25"/>
      <c r="E218" s="255"/>
      <c r="F218" s="25"/>
      <c r="G218" s="25"/>
    </row>
    <row r="219" spans="2:7">
      <c r="B219" s="25" t="str">
        <f>IF(C219="","","PID-"&amp;TEXT(ROW()-2,"0000"))</f>
        <v/>
      </c>
      <c r="C219" s="25"/>
      <c r="D219" s="25"/>
      <c r="E219" s="255"/>
      <c r="F219" s="25"/>
      <c r="G219" s="25"/>
    </row>
    <row r="220" spans="2:7">
      <c r="B220" s="25" t="str">
        <f>IF(C220="","","PID-"&amp;TEXT(ROW()-2,"0000"))</f>
        <v/>
      </c>
      <c r="C220" s="25"/>
      <c r="D220" s="25"/>
      <c r="E220" s="255"/>
      <c r="F220" s="25"/>
      <c r="G220" s="25"/>
    </row>
    <row r="221" spans="2:7">
      <c r="B221" s="25" t="str">
        <f>IF(C221="","","PID-"&amp;TEXT(ROW()-2,"0000"))</f>
        <v/>
      </c>
      <c r="C221" s="25"/>
      <c r="D221" s="25"/>
      <c r="E221" s="255"/>
      <c r="F221" s="25"/>
      <c r="G221" s="25"/>
    </row>
    <row r="222" spans="2:7">
      <c r="B222" s="25" t="str">
        <f>IF(C222="","","PID-"&amp;TEXT(ROW()-2,"0000"))</f>
        <v/>
      </c>
      <c r="C222" s="25"/>
      <c r="D222" s="25"/>
      <c r="E222" s="255"/>
      <c r="F222" s="25"/>
      <c r="G222" s="25"/>
    </row>
    <row r="223" spans="2:7">
      <c r="B223" s="25" t="str">
        <f>IF(C223="","","PID-"&amp;TEXT(ROW()-2,"0000"))</f>
        <v/>
      </c>
      <c r="C223" s="25"/>
      <c r="D223" s="25"/>
      <c r="E223" s="255"/>
      <c r="F223" s="25"/>
      <c r="G223" s="25"/>
    </row>
    <row r="224" spans="2:7">
      <c r="B224" s="25" t="str">
        <f>IF(C224="","","PID-"&amp;TEXT(ROW()-2,"0000"))</f>
        <v/>
      </c>
      <c r="C224" s="25"/>
      <c r="D224" s="25"/>
      <c r="E224" s="255"/>
      <c r="F224" s="25"/>
      <c r="G224" s="25"/>
    </row>
    <row r="225" spans="2:7">
      <c r="B225" s="25" t="str">
        <f>IF(C225="","","PID-"&amp;TEXT(ROW()-2,"0000"))</f>
        <v/>
      </c>
      <c r="C225" s="25"/>
      <c r="D225" s="25"/>
      <c r="E225" s="255"/>
      <c r="F225" s="25"/>
      <c r="G225" s="25"/>
    </row>
    <row r="226" spans="2:7">
      <c r="B226" s="25" t="str">
        <f>IF(C226="","","PID-"&amp;TEXT(ROW()-2,"0000"))</f>
        <v/>
      </c>
      <c r="C226" s="25"/>
      <c r="D226" s="25"/>
      <c r="E226" s="255"/>
      <c r="F226" s="25"/>
      <c r="G226" s="25"/>
    </row>
    <row r="227" spans="2:7">
      <c r="B227" s="25" t="str">
        <f>IF(C227="","","PID-"&amp;TEXT(ROW()-2,"0000"))</f>
        <v/>
      </c>
      <c r="C227" s="25"/>
      <c r="D227" s="25"/>
      <c r="E227" s="255"/>
      <c r="F227" s="25"/>
      <c r="G227" s="25"/>
    </row>
    <row r="228" spans="2:7">
      <c r="B228" s="25" t="str">
        <f>IF(C228="","","PID-"&amp;TEXT(ROW()-2,"0000"))</f>
        <v/>
      </c>
      <c r="C228" s="25"/>
      <c r="D228" s="25"/>
      <c r="E228" s="255"/>
      <c r="F228" s="25"/>
      <c r="G228" s="25"/>
    </row>
    <row r="229" spans="2:7">
      <c r="B229" s="25" t="str">
        <f>IF(C229="","","PID-"&amp;TEXT(ROW()-2,"0000"))</f>
        <v/>
      </c>
      <c r="C229" s="25"/>
      <c r="D229" s="25"/>
      <c r="E229" s="255"/>
      <c r="F229" s="25"/>
      <c r="G229" s="25"/>
    </row>
    <row r="230" spans="2:7">
      <c r="B230" s="25" t="str">
        <f>IF(C230="","","PID-"&amp;TEXT(ROW()-2,"0000"))</f>
        <v/>
      </c>
      <c r="C230" s="25"/>
      <c r="D230" s="25"/>
      <c r="E230" s="255"/>
      <c r="F230" s="25"/>
      <c r="G230" s="25"/>
    </row>
    <row r="231" spans="2:7">
      <c r="B231" s="25" t="str">
        <f>IF(C231="","","PID-"&amp;TEXT(ROW()-2,"0000"))</f>
        <v/>
      </c>
      <c r="C231" s="25"/>
      <c r="D231" s="25"/>
      <c r="E231" s="255"/>
      <c r="F231" s="25"/>
      <c r="G231" s="25"/>
    </row>
    <row r="232" spans="2:7">
      <c r="B232" s="25" t="str">
        <f>IF(C232="","","PID-"&amp;TEXT(ROW()-2,"0000"))</f>
        <v/>
      </c>
      <c r="C232" s="25"/>
      <c r="D232" s="25"/>
      <c r="E232" s="255"/>
      <c r="F232" s="25"/>
      <c r="G232" s="25"/>
    </row>
    <row r="233" spans="2:7">
      <c r="B233" s="25" t="str">
        <f>IF(C233="","","PID-"&amp;TEXT(ROW()-2,"0000"))</f>
        <v/>
      </c>
      <c r="C233" s="25"/>
      <c r="D233" s="25"/>
      <c r="E233" s="255"/>
      <c r="F233" s="25"/>
      <c r="G233" s="25"/>
    </row>
    <row r="234" spans="2:7">
      <c r="B234" s="25" t="str">
        <f>IF(C234="","","PID-"&amp;TEXT(ROW()-2,"0000"))</f>
        <v/>
      </c>
      <c r="C234" s="25"/>
      <c r="D234" s="25"/>
      <c r="E234" s="255"/>
      <c r="F234" s="25"/>
      <c r="G234" s="25"/>
    </row>
    <row r="235" spans="2:7">
      <c r="B235" s="25" t="str">
        <f>IF(C235="","","PID-"&amp;TEXT(ROW()-2,"0000"))</f>
        <v/>
      </c>
      <c r="C235" s="25"/>
      <c r="D235" s="25"/>
      <c r="E235" s="255"/>
      <c r="F235" s="25"/>
      <c r="G235" s="25"/>
    </row>
    <row r="236" spans="2:7">
      <c r="B236" s="25" t="str">
        <f>IF(C236="","","PID-"&amp;TEXT(ROW()-2,"0000"))</f>
        <v/>
      </c>
      <c r="C236" s="25"/>
      <c r="D236" s="25"/>
      <c r="E236" s="255"/>
      <c r="F236" s="25"/>
      <c r="G236" s="25"/>
    </row>
    <row r="237" spans="2:7">
      <c r="B237" s="25" t="str">
        <f>IF(C237="","","PID-"&amp;TEXT(ROW()-2,"0000"))</f>
        <v/>
      </c>
      <c r="C237" s="25"/>
      <c r="D237" s="25"/>
      <c r="E237" s="255"/>
      <c r="F237" s="25"/>
      <c r="G237" s="25"/>
    </row>
    <row r="238" spans="2:7">
      <c r="B238" s="25" t="str">
        <f>IF(C238="","","PID-"&amp;TEXT(ROW()-2,"0000"))</f>
        <v/>
      </c>
      <c r="C238" s="25"/>
      <c r="D238" s="25"/>
      <c r="E238" s="255"/>
      <c r="F238" s="25"/>
      <c r="G238" s="25"/>
    </row>
    <row r="239" spans="2:7">
      <c r="B239" s="25" t="str">
        <f>IF(C239="","","PID-"&amp;TEXT(ROW()-2,"0000"))</f>
        <v/>
      </c>
      <c r="C239" s="25"/>
      <c r="D239" s="25"/>
      <c r="E239" s="255"/>
      <c r="F239" s="25"/>
      <c r="G239" s="25"/>
    </row>
    <row r="240" spans="2:7">
      <c r="B240" s="25" t="str">
        <f>IF(C240="","","PID-"&amp;TEXT(ROW()-2,"0000"))</f>
        <v/>
      </c>
      <c r="C240" s="25"/>
      <c r="D240" s="25"/>
      <c r="E240" s="255"/>
      <c r="F240" s="25"/>
      <c r="G240" s="25"/>
    </row>
    <row r="241" spans="2:7">
      <c r="B241" s="25" t="str">
        <f>IF(C241="","","PID-"&amp;TEXT(ROW()-2,"0000"))</f>
        <v/>
      </c>
      <c r="C241" s="25"/>
      <c r="D241" s="25"/>
      <c r="E241" s="255"/>
      <c r="F241" s="25"/>
      <c r="G241" s="25"/>
    </row>
    <row r="242" spans="2:7">
      <c r="B242" s="25" t="str">
        <f>IF(C242="","","PID-"&amp;TEXT(ROW()-2,"0000"))</f>
        <v/>
      </c>
      <c r="C242" s="25"/>
      <c r="D242" s="25"/>
      <c r="E242" s="255"/>
      <c r="F242" s="25"/>
      <c r="G242" s="25"/>
    </row>
    <row r="243" spans="2:7">
      <c r="B243" s="25" t="str">
        <f>IF(C243="","","PID-"&amp;TEXT(ROW()-2,"0000"))</f>
        <v/>
      </c>
      <c r="C243" s="25"/>
      <c r="D243" s="25"/>
      <c r="E243" s="255"/>
      <c r="F243" s="25"/>
      <c r="G243" s="25"/>
    </row>
    <row r="244" spans="2:7">
      <c r="B244" s="25" t="str">
        <f>IF(C244="","","PID-"&amp;TEXT(ROW()-2,"0000"))</f>
        <v/>
      </c>
      <c r="C244" s="25"/>
      <c r="D244" s="25"/>
      <c r="E244" s="255"/>
      <c r="F244" s="25"/>
      <c r="G244" s="25"/>
    </row>
    <row r="245" spans="2:7">
      <c r="B245" s="25" t="str">
        <f>IF(C245="","","PID-"&amp;TEXT(ROW()-2,"0000"))</f>
        <v/>
      </c>
      <c r="C245" s="25"/>
      <c r="D245" s="25"/>
      <c r="E245" s="255"/>
      <c r="F245" s="25"/>
      <c r="G245" s="25"/>
    </row>
    <row r="246" spans="2:7">
      <c r="B246" s="25" t="str">
        <f>IF(C246="","","PID-"&amp;TEXT(ROW()-2,"0000"))</f>
        <v/>
      </c>
      <c r="C246" s="25"/>
      <c r="D246" s="25"/>
      <c r="E246" s="255"/>
      <c r="F246" s="25"/>
      <c r="G246" s="25"/>
    </row>
    <row r="247" spans="2:7">
      <c r="B247" s="25" t="str">
        <f>IF(C247="","","PID-"&amp;TEXT(ROW()-2,"0000"))</f>
        <v/>
      </c>
      <c r="C247" s="25"/>
      <c r="D247" s="25"/>
      <c r="E247" s="255"/>
      <c r="F247" s="25"/>
      <c r="G247" s="25"/>
    </row>
    <row r="248" spans="2:7">
      <c r="B248" s="25" t="str">
        <f>IF(C248="","","PID-"&amp;TEXT(ROW()-2,"0000"))</f>
        <v/>
      </c>
      <c r="C248" s="25"/>
      <c r="D248" s="25"/>
      <c r="E248" s="255"/>
      <c r="F248" s="25"/>
      <c r="G248" s="25"/>
    </row>
    <row r="249" spans="2:7">
      <c r="B249" s="25" t="str">
        <f>IF(C249="","","PID-"&amp;TEXT(ROW()-2,"0000"))</f>
        <v/>
      </c>
      <c r="C249" s="25"/>
      <c r="D249" s="25"/>
      <c r="E249" s="255"/>
      <c r="F249" s="25"/>
      <c r="G249" s="25"/>
    </row>
    <row r="250" spans="2:7">
      <c r="B250" s="25" t="str">
        <f>IF(C250="","","PID-"&amp;TEXT(ROW()-2,"0000"))</f>
        <v/>
      </c>
      <c r="C250" s="25"/>
      <c r="D250" s="25"/>
      <c r="E250" s="255"/>
      <c r="F250" s="25"/>
      <c r="G250" s="25"/>
    </row>
    <row r="251" spans="2:7">
      <c r="B251" s="25" t="str">
        <f>IF(C251="","","PID-"&amp;TEXT(ROW()-2,"0000"))</f>
        <v/>
      </c>
      <c r="C251" s="25"/>
      <c r="D251" s="25"/>
      <c r="E251" s="255"/>
      <c r="F251" s="25"/>
      <c r="G251" s="25"/>
    </row>
    <row r="252" spans="2:7">
      <c r="B252" s="25" t="str">
        <f>IF(C252="","","PID-"&amp;TEXT(ROW()-2,"0000"))</f>
        <v/>
      </c>
      <c r="C252" s="25"/>
      <c r="D252" s="25"/>
      <c r="E252" s="255"/>
      <c r="F252" s="25"/>
      <c r="G252" s="25"/>
    </row>
    <row r="253" spans="2:7">
      <c r="B253" s="25" t="str">
        <f>IF(C253="","","PID-"&amp;TEXT(ROW()-2,"0000"))</f>
        <v/>
      </c>
      <c r="C253" s="25"/>
      <c r="D253" s="25"/>
      <c r="E253" s="255"/>
      <c r="F253" s="25"/>
      <c r="G253" s="25"/>
    </row>
    <row r="254" spans="2:7">
      <c r="B254" s="25" t="str">
        <f>IF(C254="","","PID-"&amp;TEXT(ROW()-2,"0000"))</f>
        <v/>
      </c>
      <c r="C254" s="25"/>
      <c r="D254" s="25"/>
      <c r="E254" s="255"/>
      <c r="F254" s="25"/>
      <c r="G254" s="25"/>
    </row>
    <row r="255" spans="2:7">
      <c r="B255" s="25" t="str">
        <f>IF(C255="","","PID-"&amp;TEXT(ROW()-2,"0000"))</f>
        <v/>
      </c>
      <c r="C255" s="25"/>
      <c r="D255" s="25"/>
      <c r="E255" s="255"/>
      <c r="F255" s="25"/>
      <c r="G255" s="25"/>
    </row>
    <row r="256" spans="2:7">
      <c r="B256" s="25" t="str">
        <f>IF(C256="","","PID-"&amp;TEXT(ROW()-2,"0000"))</f>
        <v/>
      </c>
      <c r="C256" s="25"/>
      <c r="D256" s="25"/>
      <c r="E256" s="255"/>
      <c r="F256" s="25"/>
      <c r="G256" s="25"/>
    </row>
    <row r="257" spans="2:7">
      <c r="B257" s="25" t="str">
        <f>IF(C257="","","PID-"&amp;TEXT(ROW()-2,"0000"))</f>
        <v/>
      </c>
      <c r="C257" s="25"/>
      <c r="D257" s="25"/>
      <c r="E257" s="255"/>
      <c r="F257" s="25"/>
      <c r="G257" s="25"/>
    </row>
    <row r="258" spans="2:7">
      <c r="B258" s="25" t="str">
        <f>IF(C258="","","PID-"&amp;TEXT(ROW()-2,"0000"))</f>
        <v/>
      </c>
      <c r="C258" s="25"/>
      <c r="D258" s="25"/>
      <c r="E258" s="255"/>
      <c r="F258" s="25"/>
      <c r="G258" s="25"/>
    </row>
    <row r="259" spans="2:7">
      <c r="B259" s="25" t="str">
        <f>IF(C259="","","PID-"&amp;TEXT(ROW()-2,"0000"))</f>
        <v/>
      </c>
      <c r="C259" s="25"/>
      <c r="D259" s="25"/>
      <c r="E259" s="255"/>
      <c r="F259" s="25"/>
      <c r="G259" s="25"/>
    </row>
    <row r="260" spans="2:7">
      <c r="B260" s="25" t="str">
        <f>IF(C260="","","PID-"&amp;TEXT(ROW()-2,"0000"))</f>
        <v/>
      </c>
      <c r="C260" s="25"/>
      <c r="D260" s="25"/>
      <c r="E260" s="255"/>
      <c r="F260" s="25"/>
      <c r="G260" s="25"/>
    </row>
    <row r="261" spans="2:7">
      <c r="B261" s="25" t="str">
        <f>IF(C261="","","PID-"&amp;TEXT(ROW()-2,"0000"))</f>
        <v/>
      </c>
      <c r="C261" s="25"/>
      <c r="D261" s="25"/>
      <c r="E261" s="255"/>
      <c r="F261" s="25"/>
      <c r="G261" s="25"/>
    </row>
    <row r="262" spans="2:7">
      <c r="B262" s="25" t="str">
        <f>IF(C262="","","PID-"&amp;TEXT(ROW()-2,"0000"))</f>
        <v/>
      </c>
      <c r="C262" s="25"/>
      <c r="D262" s="25"/>
      <c r="E262" s="255"/>
      <c r="F262" s="25"/>
      <c r="G262" s="25"/>
    </row>
    <row r="263" spans="2:7">
      <c r="B263" s="25" t="str">
        <f>IF(C263="","","PID-"&amp;TEXT(ROW()-2,"0000"))</f>
        <v/>
      </c>
      <c r="C263" s="25"/>
      <c r="D263" s="25"/>
      <c r="E263" s="255"/>
      <c r="F263" s="25"/>
      <c r="G263" s="25"/>
    </row>
    <row r="264" spans="2:7">
      <c r="B264" s="25" t="str">
        <f>IF(C264="","","PID-"&amp;TEXT(ROW()-2,"0000"))</f>
        <v/>
      </c>
      <c r="C264" s="25"/>
      <c r="D264" s="25"/>
      <c r="E264" s="255"/>
      <c r="F264" s="25"/>
      <c r="G264" s="25"/>
    </row>
    <row r="265" spans="2:7">
      <c r="B265" s="25" t="str">
        <f>IF(C265="","","PID-"&amp;TEXT(ROW()-2,"0000"))</f>
        <v/>
      </c>
      <c r="C265" s="25"/>
      <c r="D265" s="25"/>
      <c r="E265" s="255"/>
      <c r="F265" s="25"/>
      <c r="G265" s="25"/>
    </row>
    <row r="266" spans="2:7">
      <c r="B266" s="25" t="str">
        <f>IF(C266="","","PID-"&amp;TEXT(ROW()-2,"0000"))</f>
        <v/>
      </c>
      <c r="C266" s="25"/>
      <c r="D266" s="25"/>
      <c r="E266" s="255"/>
      <c r="F266" s="25"/>
      <c r="G266" s="25"/>
    </row>
    <row r="267" spans="2:7">
      <c r="B267" s="25" t="str">
        <f>IF(C267="","","PID-"&amp;TEXT(ROW()-2,"0000"))</f>
        <v/>
      </c>
      <c r="C267" s="25"/>
      <c r="D267" s="25"/>
      <c r="E267" s="255"/>
      <c r="F267" s="25"/>
      <c r="G267" s="25"/>
    </row>
    <row r="268" spans="2:7">
      <c r="B268" s="25" t="str">
        <f>IF(C268="","","PID-"&amp;TEXT(ROW()-2,"0000"))</f>
        <v/>
      </c>
      <c r="C268" s="25"/>
      <c r="D268" s="25"/>
      <c r="E268" s="255"/>
      <c r="F268" s="25"/>
      <c r="G268" s="25"/>
    </row>
    <row r="269" spans="2:7">
      <c r="B269" s="25" t="str">
        <f>IF(C269="","","PID-"&amp;TEXT(ROW()-2,"0000"))</f>
        <v/>
      </c>
      <c r="C269" s="25"/>
      <c r="D269" s="25"/>
      <c r="E269" s="255"/>
      <c r="F269" s="25"/>
      <c r="G269" s="25"/>
    </row>
    <row r="270" spans="2:7">
      <c r="B270" s="25" t="str">
        <f>IF(C270="","","PID-"&amp;TEXT(ROW()-2,"0000"))</f>
        <v/>
      </c>
      <c r="C270" s="25"/>
      <c r="D270" s="25"/>
      <c r="E270" s="255"/>
      <c r="F270" s="25"/>
      <c r="G270" s="25"/>
    </row>
    <row r="271" spans="2:7">
      <c r="B271" s="25" t="str">
        <f>IF(C271="","","PID-"&amp;TEXT(ROW()-2,"0000"))</f>
        <v/>
      </c>
      <c r="C271" s="25"/>
      <c r="D271" s="25"/>
      <c r="E271" s="255"/>
      <c r="F271" s="25"/>
      <c r="G271" s="25"/>
    </row>
    <row r="272" spans="2:7">
      <c r="B272" s="25" t="str">
        <f>IF(C272="","","PID-"&amp;TEXT(ROW()-2,"0000"))</f>
        <v/>
      </c>
      <c r="C272" s="25"/>
      <c r="D272" s="25"/>
      <c r="E272" s="255"/>
      <c r="F272" s="25"/>
      <c r="G272" s="25"/>
    </row>
    <row r="273" spans="2:7">
      <c r="B273" s="25" t="str">
        <f>IF(C273="","","PID-"&amp;TEXT(ROW()-2,"0000"))</f>
        <v/>
      </c>
      <c r="C273" s="25"/>
      <c r="D273" s="25"/>
      <c r="E273" s="255"/>
      <c r="F273" s="25"/>
      <c r="G273" s="25"/>
    </row>
    <row r="274" spans="2:7">
      <c r="B274" s="25" t="str">
        <f>IF(C274="","","PID-"&amp;TEXT(ROW()-2,"0000"))</f>
        <v/>
      </c>
      <c r="C274" s="25"/>
      <c r="D274" s="25"/>
      <c r="E274" s="255"/>
      <c r="F274" s="25"/>
      <c r="G274" s="25"/>
    </row>
    <row r="275" spans="2:7">
      <c r="B275" s="25" t="str">
        <f>IF(C275="","","PID-"&amp;TEXT(ROW()-2,"0000"))</f>
        <v/>
      </c>
      <c r="C275" s="25"/>
      <c r="D275" s="25"/>
      <c r="E275" s="255"/>
      <c r="F275" s="25"/>
      <c r="G275" s="25"/>
    </row>
    <row r="276" spans="2:7">
      <c r="B276" s="25" t="str">
        <f>IF(C276="","","PID-"&amp;TEXT(ROW()-2,"0000"))</f>
        <v/>
      </c>
      <c r="C276" s="25"/>
      <c r="D276" s="25"/>
      <c r="E276" s="255"/>
      <c r="F276" s="25"/>
      <c r="G276" s="25"/>
    </row>
    <row r="277" spans="2:7">
      <c r="B277" s="25" t="str">
        <f>IF(C277="","","PID-"&amp;TEXT(ROW()-2,"0000"))</f>
        <v/>
      </c>
      <c r="C277" s="25"/>
      <c r="D277" s="25"/>
      <c r="E277" s="255"/>
      <c r="F277" s="25"/>
      <c r="G277" s="25"/>
    </row>
    <row r="278" spans="2:7">
      <c r="B278" s="25" t="str">
        <f>IF(C278="","","PID-"&amp;TEXT(ROW()-2,"0000"))</f>
        <v/>
      </c>
      <c r="C278" s="25"/>
      <c r="D278" s="25"/>
      <c r="E278" s="255"/>
      <c r="F278" s="25"/>
      <c r="G278" s="25"/>
    </row>
    <row r="279" spans="2:7">
      <c r="B279" s="25" t="str">
        <f>IF(C279="","","PID-"&amp;TEXT(ROW()-2,"0000"))</f>
        <v/>
      </c>
      <c r="C279" s="25"/>
      <c r="D279" s="25"/>
      <c r="E279" s="255"/>
      <c r="F279" s="25"/>
      <c r="G279" s="25"/>
    </row>
    <row r="280" spans="2:7">
      <c r="B280" s="25" t="str">
        <f>IF(C280="","","PID-"&amp;TEXT(ROW()-2,"0000"))</f>
        <v/>
      </c>
      <c r="C280" s="25"/>
      <c r="D280" s="25"/>
      <c r="E280" s="255"/>
      <c r="F280" s="25"/>
      <c r="G280" s="25"/>
    </row>
    <row r="281" spans="2:7">
      <c r="B281" s="25" t="str">
        <f>IF(C281="","","PID-"&amp;TEXT(ROW()-2,"0000"))</f>
        <v/>
      </c>
      <c r="C281" s="25"/>
      <c r="D281" s="25"/>
      <c r="E281" s="255"/>
      <c r="F281" s="25"/>
      <c r="G281" s="25"/>
    </row>
    <row r="282" spans="2:7">
      <c r="B282" s="25" t="str">
        <f>IF(C282="","","PID-"&amp;TEXT(ROW()-2,"0000"))</f>
        <v/>
      </c>
      <c r="C282" s="25"/>
      <c r="D282" s="25"/>
      <c r="E282" s="255"/>
      <c r="F282" s="25"/>
      <c r="G282" s="25"/>
    </row>
    <row r="283" spans="2:7">
      <c r="B283" s="25" t="str">
        <f>IF(C283="","","PID-"&amp;TEXT(ROW()-2,"0000"))</f>
        <v/>
      </c>
      <c r="C283" s="25"/>
      <c r="D283" s="25"/>
      <c r="E283" s="255"/>
      <c r="F283" s="25"/>
      <c r="G283" s="25"/>
    </row>
    <row r="284" spans="2:7">
      <c r="B284" s="25" t="str">
        <f>IF(C284="","","PID-"&amp;TEXT(ROW()-2,"0000"))</f>
        <v/>
      </c>
      <c r="C284" s="25"/>
      <c r="D284" s="25"/>
      <c r="E284" s="255"/>
      <c r="F284" s="25"/>
      <c r="G284" s="25"/>
    </row>
    <row r="285" spans="2:7">
      <c r="B285" s="25" t="str">
        <f>IF(C285="","","PID-"&amp;TEXT(ROW()-2,"0000"))</f>
        <v/>
      </c>
      <c r="C285" s="25"/>
      <c r="D285" s="25"/>
      <c r="E285" s="255"/>
      <c r="F285" s="25"/>
      <c r="G285" s="25"/>
    </row>
    <row r="286" spans="2:7">
      <c r="B286" s="25" t="str">
        <f>IF(C286="","","PID-"&amp;TEXT(ROW()-2,"0000"))</f>
        <v/>
      </c>
      <c r="C286" s="25"/>
      <c r="D286" s="25"/>
      <c r="E286" s="255"/>
      <c r="F286" s="25"/>
      <c r="G286" s="25"/>
    </row>
    <row r="287" spans="2:7">
      <c r="B287" s="25" t="str">
        <f>IF(C287="","","PID-"&amp;TEXT(ROW()-2,"0000"))</f>
        <v/>
      </c>
      <c r="C287" s="25"/>
      <c r="D287" s="25"/>
      <c r="E287" s="255"/>
      <c r="F287" s="25"/>
      <c r="G287" s="25"/>
    </row>
    <row r="288" spans="2:7">
      <c r="B288" s="25" t="str">
        <f>IF(C288="","","PID-"&amp;TEXT(ROW()-2,"0000"))</f>
        <v/>
      </c>
      <c r="C288" s="25"/>
      <c r="D288" s="25"/>
      <c r="E288" s="255"/>
      <c r="F288" s="25"/>
      <c r="G288" s="25"/>
    </row>
    <row r="289" spans="2:7">
      <c r="B289" s="25" t="str">
        <f>IF(C289="","","PID-"&amp;TEXT(ROW()-2,"0000"))</f>
        <v/>
      </c>
      <c r="C289" s="25"/>
      <c r="D289" s="25"/>
      <c r="E289" s="255"/>
      <c r="F289" s="25"/>
      <c r="G289" s="25"/>
    </row>
    <row r="290" spans="2:7">
      <c r="B290" s="25" t="str">
        <f>IF(C290="","","PID-"&amp;TEXT(ROW()-2,"0000"))</f>
        <v/>
      </c>
      <c r="C290" s="25"/>
      <c r="D290" s="25"/>
      <c r="E290" s="255"/>
      <c r="F290" s="25"/>
      <c r="G290" s="25"/>
    </row>
    <row r="291" spans="2:7">
      <c r="B291" s="25" t="str">
        <f>IF(C291="","","PID-"&amp;TEXT(ROW()-2,"0000"))</f>
        <v/>
      </c>
      <c r="C291" s="25"/>
      <c r="D291" s="25"/>
      <c r="E291" s="255"/>
      <c r="F291" s="25"/>
      <c r="G291" s="25"/>
    </row>
    <row r="292" spans="2:7">
      <c r="B292" s="25" t="str">
        <f>IF(C292="","","PID-"&amp;TEXT(ROW()-2,"0000"))</f>
        <v/>
      </c>
      <c r="C292" s="25"/>
      <c r="D292" s="25"/>
      <c r="E292" s="255"/>
      <c r="F292" s="25"/>
      <c r="G292" s="25"/>
    </row>
    <row r="293" spans="2:7">
      <c r="B293" s="25" t="str">
        <f>IF(C293="","","PID-"&amp;TEXT(ROW()-2,"0000"))</f>
        <v/>
      </c>
      <c r="C293" s="25"/>
      <c r="D293" s="25"/>
      <c r="E293" s="255"/>
      <c r="F293" s="25"/>
      <c r="G293" s="25"/>
    </row>
    <row r="294" spans="2:7">
      <c r="B294" s="25" t="str">
        <f>IF(C294="","","PID-"&amp;TEXT(ROW()-2,"0000"))</f>
        <v/>
      </c>
      <c r="C294" s="25"/>
      <c r="D294" s="25"/>
      <c r="E294" s="255"/>
      <c r="F294" s="25"/>
      <c r="G294" s="25"/>
    </row>
    <row r="295" spans="2:7">
      <c r="B295" s="25" t="str">
        <f>IF(C295="","","PID-"&amp;TEXT(ROW()-2,"0000"))</f>
        <v/>
      </c>
      <c r="C295" s="25"/>
      <c r="D295" s="25"/>
      <c r="E295" s="255"/>
      <c r="F295" s="25"/>
      <c r="G295" s="25"/>
    </row>
    <row r="296" spans="2:7">
      <c r="B296" s="25" t="str">
        <f>IF(C296="","","PID-"&amp;TEXT(ROW()-2,"0000"))</f>
        <v/>
      </c>
      <c r="C296" s="25"/>
      <c r="D296" s="25"/>
      <c r="E296" s="255"/>
      <c r="F296" s="25"/>
      <c r="G296" s="25"/>
    </row>
    <row r="297" spans="2:7">
      <c r="B297" s="25" t="str">
        <f>IF(C297="","","PID-"&amp;TEXT(ROW()-2,"0000"))</f>
        <v/>
      </c>
      <c r="C297" s="25"/>
      <c r="D297" s="25"/>
      <c r="E297" s="255"/>
      <c r="F297" s="25"/>
      <c r="G297" s="25"/>
    </row>
    <row r="298" spans="2:7">
      <c r="B298" s="25" t="str">
        <f>IF(C298="","","PID-"&amp;TEXT(ROW()-2,"0000"))</f>
        <v/>
      </c>
      <c r="C298" s="25"/>
      <c r="D298" s="25"/>
      <c r="E298" s="255"/>
      <c r="F298" s="25"/>
      <c r="G298" s="25"/>
    </row>
    <row r="299" spans="2:7">
      <c r="B299" s="25" t="str">
        <f>IF(C299="","","PID-"&amp;TEXT(ROW()-2,"0000"))</f>
        <v/>
      </c>
      <c r="C299" s="25"/>
      <c r="D299" s="25"/>
      <c r="E299" s="255"/>
      <c r="F299" s="25"/>
      <c r="G299" s="25"/>
    </row>
    <row r="300" spans="2:7">
      <c r="B300" s="25" t="str">
        <f>IF(C300="","","PID-"&amp;TEXT(ROW()-2,"0000"))</f>
        <v/>
      </c>
      <c r="C300" s="25"/>
      <c r="D300" s="25"/>
      <c r="E300" s="255"/>
      <c r="F300" s="25"/>
      <c r="G300" s="25"/>
    </row>
    <row r="301" spans="2:7">
      <c r="B301" s="25" t="str">
        <f>IF(C301="","","PID-"&amp;TEXT(ROW()-2,"0000"))</f>
        <v/>
      </c>
      <c r="C301" s="25"/>
      <c r="D301" s="25"/>
      <c r="E301" s="255"/>
      <c r="F301" s="25"/>
      <c r="G301" s="25"/>
    </row>
    <row r="302" spans="2:7">
      <c r="B302" s="25" t="str">
        <f>IF(C302="","","PID-"&amp;TEXT(ROW()-2,"0000"))</f>
        <v/>
      </c>
      <c r="C302" s="25"/>
      <c r="D302" s="25"/>
      <c r="E302" s="255"/>
      <c r="F302" s="25"/>
      <c r="G302" s="25"/>
    </row>
    <row r="303" spans="2:7">
      <c r="B303" s="25" t="str">
        <f>IF(C303="","","PID-"&amp;TEXT(ROW()-2,"0000"))</f>
        <v/>
      </c>
      <c r="C303" s="25"/>
      <c r="D303" s="25"/>
      <c r="E303" s="255"/>
      <c r="F303" s="25"/>
      <c r="G303" s="25"/>
    </row>
    <row r="304" spans="2:7">
      <c r="B304" s="25" t="str">
        <f>IF(C304="","","PID-"&amp;TEXT(ROW()-2,"0000"))</f>
        <v/>
      </c>
      <c r="C304" s="25"/>
      <c r="D304" s="25"/>
      <c r="E304" s="255"/>
      <c r="F304" s="25"/>
      <c r="G304" s="25"/>
    </row>
    <row r="305" spans="2:7">
      <c r="B305" s="25" t="str">
        <f>IF(C305="","","PID-"&amp;TEXT(ROW()-2,"0000"))</f>
        <v/>
      </c>
      <c r="C305" s="25"/>
      <c r="D305" s="25"/>
      <c r="E305" s="255"/>
      <c r="F305" s="25"/>
      <c r="G305" s="25"/>
    </row>
    <row r="306" spans="2:7">
      <c r="B306" s="25" t="str">
        <f>IF(C306="","","PID-"&amp;TEXT(ROW()-2,"0000"))</f>
        <v/>
      </c>
      <c r="C306" s="25"/>
      <c r="D306" s="25"/>
      <c r="E306" s="255"/>
      <c r="F306" s="25"/>
      <c r="G306" s="25"/>
    </row>
    <row r="307" spans="2:7">
      <c r="B307" s="25" t="str">
        <f>IF(C307="","","PID-"&amp;TEXT(ROW()-2,"0000"))</f>
        <v/>
      </c>
      <c r="C307" s="25"/>
      <c r="D307" s="25"/>
      <c r="E307" s="255"/>
      <c r="F307" s="25"/>
      <c r="G307" s="25"/>
    </row>
    <row r="308" spans="2:7">
      <c r="B308" s="25" t="str">
        <f>IF(C308="","","PID-"&amp;TEXT(ROW()-2,"0000"))</f>
        <v/>
      </c>
      <c r="C308" s="25"/>
      <c r="D308" s="25"/>
      <c r="E308" s="255"/>
      <c r="F308" s="25"/>
      <c r="G308" s="25"/>
    </row>
    <row r="309" spans="2:7">
      <c r="B309" s="25" t="str">
        <f>IF(C309="","","PID-"&amp;TEXT(ROW()-2,"0000"))</f>
        <v/>
      </c>
      <c r="C309" s="25"/>
      <c r="D309" s="25"/>
      <c r="E309" s="255"/>
      <c r="F309" s="25"/>
      <c r="G309" s="25"/>
    </row>
    <row r="310" spans="2:7">
      <c r="B310" s="25" t="str">
        <f>IF(C310="","","PID-"&amp;TEXT(ROW()-2,"0000"))</f>
        <v/>
      </c>
      <c r="C310" s="25"/>
      <c r="D310" s="25"/>
      <c r="E310" s="255"/>
      <c r="F310" s="25"/>
      <c r="G310" s="25"/>
    </row>
    <row r="311" spans="2:7">
      <c r="B311" s="25" t="str">
        <f>IF(C311="","","PID-"&amp;TEXT(ROW()-2,"0000"))</f>
        <v/>
      </c>
      <c r="C311" s="25"/>
      <c r="D311" s="25"/>
      <c r="E311" s="255"/>
      <c r="F311" s="25"/>
      <c r="G311" s="25"/>
    </row>
    <row r="312" spans="2:7">
      <c r="B312" s="25" t="str">
        <f>IF(C312="","","PID-"&amp;TEXT(ROW()-2,"0000"))</f>
        <v/>
      </c>
      <c r="C312" s="25"/>
      <c r="D312" s="25"/>
      <c r="E312" s="255"/>
      <c r="F312" s="25"/>
      <c r="G312" s="25"/>
    </row>
    <row r="313" spans="2:7">
      <c r="B313" s="25" t="str">
        <f>IF(C313="","","PID-"&amp;TEXT(ROW()-2,"0000"))</f>
        <v/>
      </c>
      <c r="C313" s="25"/>
      <c r="D313" s="25"/>
      <c r="E313" s="255"/>
      <c r="F313" s="25"/>
      <c r="G313" s="25"/>
    </row>
    <row r="314" spans="2:7">
      <c r="B314" s="25" t="str">
        <f>IF(C314="","","PID-"&amp;TEXT(ROW()-2,"0000"))</f>
        <v/>
      </c>
      <c r="C314" s="25"/>
      <c r="D314" s="25"/>
      <c r="E314" s="255"/>
      <c r="F314" s="25"/>
      <c r="G314" s="25"/>
    </row>
    <row r="315" spans="2:7">
      <c r="B315" s="25" t="str">
        <f>IF(C315="","","PID-"&amp;TEXT(ROW()-2,"0000"))</f>
        <v/>
      </c>
      <c r="C315" s="25"/>
      <c r="D315" s="25"/>
      <c r="E315" s="255"/>
      <c r="F315" s="25"/>
      <c r="G315" s="25"/>
    </row>
    <row r="316" spans="2:7">
      <c r="B316" s="25" t="str">
        <f>IF(C316="","","PID-"&amp;TEXT(ROW()-2,"0000"))</f>
        <v/>
      </c>
      <c r="C316" s="25"/>
      <c r="D316" s="25"/>
      <c r="E316" s="255"/>
      <c r="F316" s="25"/>
      <c r="G316" s="25"/>
    </row>
    <row r="317" spans="2:7">
      <c r="B317" s="25" t="str">
        <f>IF(C317="","","PID-"&amp;TEXT(ROW()-2,"0000"))</f>
        <v/>
      </c>
      <c r="C317" s="25"/>
      <c r="D317" s="25"/>
      <c r="E317" s="255"/>
      <c r="F317" s="25"/>
      <c r="G317" s="25"/>
    </row>
    <row r="318" spans="2:7">
      <c r="B318" s="25" t="str">
        <f>IF(C318="","","PID-"&amp;TEXT(ROW()-2,"0000"))</f>
        <v/>
      </c>
      <c r="C318" s="25"/>
      <c r="D318" s="25"/>
      <c r="E318" s="255"/>
      <c r="F318" s="25"/>
      <c r="G318" s="25"/>
    </row>
    <row r="319" spans="2:7">
      <c r="B319" s="25" t="str">
        <f>IF(C319="","","PID-"&amp;TEXT(ROW()-2,"0000"))</f>
        <v/>
      </c>
      <c r="C319" s="25"/>
      <c r="D319" s="25"/>
      <c r="E319" s="255"/>
      <c r="F319" s="25"/>
      <c r="G319" s="25"/>
    </row>
  </sheetData>
  <mergeCells count="12">
    <mergeCell ref="A134:A145"/>
    <mergeCell ref="A2:A13"/>
    <mergeCell ref="A14:A25"/>
    <mergeCell ref="A26:A37"/>
    <mergeCell ref="A38:A49"/>
    <mergeCell ref="A50:A61"/>
    <mergeCell ref="A62:A73"/>
    <mergeCell ref="A74:A84"/>
    <mergeCell ref="A86:A97"/>
    <mergeCell ref="A98:A109"/>
    <mergeCell ref="A110:A121"/>
    <mergeCell ref="A122:A133"/>
  </mergeCells>
  <conditionalFormatting sqref="D152:E319 E2 E4 E18 E20 E22 E29 E37 E39 E47 E61 E63 E65 E67 E69 E71 E87 E89 E91 E93 E95 E97 E99 E101 E103 E105 E107 E109 E111 E113 E115 E117 E119 E121 E123 E125 E127 E129 E131 E133 E135 E137 E139 D26 E49 E75 E77 E79 E81:E82 E41 E85 E73 BC33 E33">
    <cfRule type="expression" dxfId="98" priority="8">
      <formula>AND($C2&lt;&gt;"",D2="")</formula>
    </cfRule>
  </conditionalFormatting>
  <conditionalFormatting sqref="I26">
    <cfRule type="expression" dxfId="97" priority="7">
      <formula>AND($C26&lt;&gt;"",I26="")</formula>
    </cfRule>
  </conditionalFormatting>
  <conditionalFormatting sqref="E43">
    <cfRule type="expression" dxfId="96" priority="6">
      <formula>AND($C43&lt;&gt;"",E43="")</formula>
    </cfRule>
  </conditionalFormatting>
  <conditionalFormatting sqref="E45">
    <cfRule type="expression" dxfId="95" priority="5">
      <formula>AND($C45&lt;&gt;"",E45="")</formula>
    </cfRule>
  </conditionalFormatting>
  <conditionalFormatting sqref="I31">
    <cfRule type="expression" dxfId="94" priority="4">
      <formula>AND($C31&lt;&gt;"",I31="")</formula>
    </cfRule>
  </conditionalFormatting>
  <conditionalFormatting sqref="BD33">
    <cfRule type="expression" dxfId="93" priority="3">
      <formula>AND($C35&lt;&gt;"",BD33="")</formula>
    </cfRule>
  </conditionalFormatting>
  <conditionalFormatting sqref="I14">
    <cfRule type="expression" dxfId="92" priority="2">
      <formula>AND($C14&lt;&gt;"",I14="")</formula>
    </cfRule>
  </conditionalFormatting>
  <conditionalFormatting sqref="I21">
    <cfRule type="expression" dxfId="91" priority="1">
      <formula>AND($C21&lt;&gt;"",I21="")</formula>
    </cfRule>
  </conditionalFormatting>
  <conditionalFormatting sqref="C152:C319">
    <cfRule type="expression" dxfId="90" priority="9">
      <formula>AND(C152&lt;&gt;"",COUNTIF($C$2:$C$319,C152)&gt;1)</formula>
    </cfRule>
    <cfRule type="expression" dxfId="89" priority="10">
      <formula>AND($C152&lt;&gt;"",C152="")</formula>
    </cfRule>
  </conditionalFormatting>
  <conditionalFormatting sqref="F141 F152:F319">
    <cfRule type="expression" dxfId="88" priority="11">
      <formula>AND(F141&lt;&gt;"",COUNTIF($F$2:$F$319,F141)&gt;1)</formula>
    </cfRule>
    <cfRule type="expression" dxfId="87" priority="12">
      <formula>AND(C141&lt;&gt;"",F141="")</formula>
    </cfRule>
  </conditionalFormatting>
  <dataValidations count="1">
    <dataValidation type="whole" allowBlank="1" errorTitle="Invalid year" error="Enter a year between 2014 and 2030." promptTitle="Publication Year" prompt="Enter the publication year (numeric)." sqref="D152:D319" xr:uid="{D152EC6C-DBED-429D-A0C0-48CC09B740EC}">
      <formula1>2014</formula1>
      <formula2>2030</formula2>
    </dataValidation>
  </dataValidations>
  <hyperlinks>
    <hyperlink ref="B86" r:id="rId1" xr:uid="{D1A9B245-0054-42D5-AE9A-F9B6BB9FFD5D}"/>
    <hyperlink ref="F86" r:id="rId2" xr:uid="{D93FF220-BEF5-4D9B-AC76-7FFB2DD55D86}"/>
    <hyperlink ref="F87" r:id="rId3" xr:uid="{6A7E8C5B-5D5C-4A90-B020-B0CAF9865398}"/>
    <hyperlink ref="F88" r:id="rId4" xr:uid="{A902D733-001D-4E8D-B629-A45B484D04A2}"/>
    <hyperlink ref="F89" r:id="rId5" xr:uid="{69BE5579-AFBD-4297-BDE3-862D235B3716}"/>
  </hyperlinks>
  <pageMargins left="0.75" right="0.75" top="1" bottom="1" header="0.511811023622047" footer="0.511811023622047"/>
  <pageSetup paperSize="9" orientation="portrait" horizontalDpi="300" verticalDpi="300"/>
  <tableParts count="1">
    <tablePart r:id="rId6"/>
  </tableParts>
  <extLst>
    <ext xmlns:x14="http://schemas.microsoft.com/office/spreadsheetml/2009/9/main" uri="{CCE6A557-97BC-4b89-ADB6-D9C93CAAB3DF}">
      <x14:dataValidations xmlns:xm="http://schemas.microsoft.com/office/excel/2006/main" count="1">
        <x14:dataValidation type="list" allowBlank="1" errorTitle="Invalid entry" error="Please choose a value from the dropdown list." promptTitle="Publisher" prompt="Select the publisher." xr:uid="{E3AD3FE0-BB2A-4735-9588-461EBB94EEB3}">
          <x14:formula1>
            <xm:f>Lists!$B$2:$B$11</xm:f>
          </x14:formula1>
          <x14:formula2>
            <xm:f>0</xm:f>
          </x14:formula2>
          <xm:sqref>E139 E2 E4 E137 E135 E133 E131 E14 E16 E18 E20 E22 E85 E26 E119 E29 E31 BC33 E35 E37 E39 E41 E43 E45 E47 E49 E121 E123 E125 E127 E129 E61 E63 E65 E67 E69 E71 E74 E76 E78 E80 E82 E152:E319 E87 E89 E91 E93 E95 E97 E99 E101 E103 E105 E107 E109 E111 E113 E115 E117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C5F52-D485-4236-93EA-7321723F214D}">
  <sheetPr>
    <tabColor rgb="FF003C71"/>
  </sheetPr>
  <dimension ref="A1:BD319"/>
  <sheetViews>
    <sheetView zoomScaleNormal="100" workbookViewId="0">
      <pane xSplit="1" topLeftCell="B33" activePane="topRight" state="frozen"/>
      <selection pane="topRight" activeCell="B72" sqref="B72"/>
      <selection activeCell="A3" sqref="A3"/>
    </sheetView>
  </sheetViews>
  <sheetFormatPr defaultColWidth="13.42578125" defaultRowHeight="15"/>
  <cols>
    <col min="1" max="1" width="5" customWidth="1"/>
    <col min="2" max="2" width="33.28515625" customWidth="1"/>
    <col min="3" max="3" width="122.28515625" bestFit="1" customWidth="1"/>
    <col min="4" max="4" width="21.5703125" customWidth="1"/>
    <col min="5" max="5" width="17" style="33" bestFit="1" customWidth="1"/>
    <col min="6" max="6" width="78" bestFit="1" customWidth="1"/>
    <col min="7" max="7" width="44.140625" bestFit="1" customWidth="1"/>
    <col min="8" max="8" width="23.140625" customWidth="1"/>
    <col min="9" max="9" width="133" bestFit="1" customWidth="1"/>
    <col min="10" max="10" width="99.140625" bestFit="1" customWidth="1"/>
    <col min="11" max="11" width="221.7109375" bestFit="1" customWidth="1"/>
    <col min="12" max="12" width="99.140625" customWidth="1"/>
    <col min="13" max="13" width="15" customWidth="1"/>
    <col min="14" max="14" width="18" customWidth="1"/>
  </cols>
  <sheetData>
    <row r="1" spans="1:13">
      <c r="B1" s="38" t="s">
        <v>0</v>
      </c>
      <c r="C1" s="38" t="s">
        <v>1</v>
      </c>
      <c r="D1" s="38" t="s">
        <v>2</v>
      </c>
      <c r="E1" s="38" t="s">
        <v>3</v>
      </c>
      <c r="F1" s="38" t="s">
        <v>4</v>
      </c>
      <c r="G1" s="38" t="s">
        <v>5</v>
      </c>
      <c r="H1" s="38" t="s">
        <v>6</v>
      </c>
      <c r="I1" s="38" t="s">
        <v>7</v>
      </c>
      <c r="J1" s="38" t="s">
        <v>8</v>
      </c>
      <c r="K1" s="38" t="s">
        <v>9</v>
      </c>
      <c r="L1" s="38" t="s">
        <v>10</v>
      </c>
      <c r="M1" s="38" t="s">
        <v>11</v>
      </c>
    </row>
    <row r="2" spans="1:13" ht="144">
      <c r="A2" s="354" t="s">
        <v>15</v>
      </c>
      <c r="B2" t="s">
        <v>16</v>
      </c>
      <c r="C2" s="200" t="s">
        <v>17</v>
      </c>
      <c r="D2" s="77">
        <v>2025</v>
      </c>
      <c r="E2" s="132" t="s">
        <v>18</v>
      </c>
      <c r="F2" s="201" t="s">
        <v>19</v>
      </c>
      <c r="G2" s="215" t="s">
        <v>20</v>
      </c>
      <c r="H2" s="105" t="s">
        <v>21</v>
      </c>
      <c r="I2" s="36"/>
      <c r="J2" s="207" t="s">
        <v>22</v>
      </c>
      <c r="K2" s="207" t="s">
        <v>23</v>
      </c>
      <c r="L2" s="207"/>
      <c r="M2" s="207"/>
    </row>
    <row r="3" spans="1:13" ht="86.25">
      <c r="A3" s="354"/>
      <c r="B3" s="191" t="s">
        <v>26</v>
      </c>
      <c r="C3" s="202" t="s">
        <v>27</v>
      </c>
      <c r="D3" s="97">
        <v>2025</v>
      </c>
      <c r="E3" s="97" t="s">
        <v>18</v>
      </c>
      <c r="F3" s="127" t="s">
        <v>28</v>
      </c>
      <c r="G3" s="158" t="s">
        <v>29</v>
      </c>
      <c r="H3" s="105" t="s">
        <v>21</v>
      </c>
      <c r="I3" s="35"/>
      <c r="J3" s="208" t="s">
        <v>30</v>
      </c>
      <c r="K3" s="208" t="s">
        <v>31</v>
      </c>
      <c r="L3" s="208"/>
      <c r="M3" s="208"/>
    </row>
    <row r="4" spans="1:13" ht="86.25">
      <c r="A4" s="354"/>
      <c r="B4" s="190" t="s">
        <v>32</v>
      </c>
      <c r="C4" s="139" t="s">
        <v>33</v>
      </c>
      <c r="D4" s="77">
        <v>2021</v>
      </c>
      <c r="E4" s="77" t="s">
        <v>18</v>
      </c>
      <c r="F4" s="112" t="s">
        <v>34</v>
      </c>
      <c r="G4" s="164" t="s">
        <v>35</v>
      </c>
      <c r="H4" s="105" t="s">
        <v>21</v>
      </c>
      <c r="J4" s="209" t="s">
        <v>36</v>
      </c>
      <c r="K4" s="210" t="s">
        <v>37</v>
      </c>
      <c r="L4" s="210"/>
      <c r="M4" s="209"/>
    </row>
    <row r="5" spans="1:13" ht="86.25">
      <c r="A5" s="354"/>
      <c r="B5" s="191" t="s">
        <v>38</v>
      </c>
      <c r="C5" s="158" t="s">
        <v>39</v>
      </c>
      <c r="D5" s="97">
        <v>2024</v>
      </c>
      <c r="E5" s="97" t="s">
        <v>18</v>
      </c>
      <c r="F5" s="127" t="s">
        <v>40</v>
      </c>
      <c r="G5" s="158" t="s">
        <v>41</v>
      </c>
      <c r="H5" s="105" t="s">
        <v>21</v>
      </c>
      <c r="I5" s="35"/>
      <c r="J5" s="208" t="s">
        <v>42</v>
      </c>
      <c r="K5" s="208" t="s">
        <v>43</v>
      </c>
      <c r="L5" s="208"/>
      <c r="M5" s="208"/>
    </row>
    <row r="6" spans="1:13" ht="86.25">
      <c r="A6" s="354"/>
      <c r="B6" s="190" t="s">
        <v>44</v>
      </c>
      <c r="C6" s="33" t="s">
        <v>45</v>
      </c>
      <c r="D6" s="77">
        <v>2019</v>
      </c>
      <c r="E6" s="33" t="s">
        <v>46</v>
      </c>
      <c r="F6" s="112" t="s">
        <v>47</v>
      </c>
      <c r="G6" s="164" t="s">
        <v>48</v>
      </c>
      <c r="H6" s="198" t="s">
        <v>21</v>
      </c>
      <c r="J6" s="209" t="s">
        <v>49</v>
      </c>
      <c r="K6" s="210" t="s">
        <v>50</v>
      </c>
      <c r="L6" s="210"/>
      <c r="M6" s="209"/>
    </row>
    <row r="7" spans="1:13" ht="16.5" customHeight="1">
      <c r="A7" s="354"/>
      <c r="B7" s="191" t="s">
        <v>51</v>
      </c>
      <c r="C7" s="33" t="s">
        <v>52</v>
      </c>
      <c r="D7" s="97">
        <v>2018</v>
      </c>
      <c r="E7" s="189" t="s">
        <v>53</v>
      </c>
      <c r="F7" s="127" t="s">
        <v>54</v>
      </c>
      <c r="G7" s="97"/>
      <c r="H7" s="104" t="s">
        <v>55</v>
      </c>
      <c r="I7" s="199" t="s">
        <v>56</v>
      </c>
      <c r="J7" s="211"/>
      <c r="K7" s="211"/>
      <c r="L7" s="211"/>
      <c r="M7" s="211"/>
    </row>
    <row r="8" spans="1:13" ht="16.5" customHeight="1">
      <c r="A8" s="354"/>
      <c r="B8" s="190" t="s">
        <v>57</v>
      </c>
      <c r="C8" s="33" t="s">
        <v>58</v>
      </c>
      <c r="D8" s="77">
        <v>2023</v>
      </c>
      <c r="E8" s="189" t="s">
        <v>59</v>
      </c>
      <c r="F8" s="112" t="s">
        <v>60</v>
      </c>
      <c r="G8" s="165"/>
      <c r="H8" s="104" t="s">
        <v>55</v>
      </c>
      <c r="I8" s="33" t="s">
        <v>61</v>
      </c>
      <c r="J8" s="209"/>
      <c r="K8" s="209"/>
      <c r="L8" s="209"/>
      <c r="M8" s="209"/>
    </row>
    <row r="9" spans="1:13" ht="16.5" customHeight="1">
      <c r="A9" s="354"/>
      <c r="B9" s="194" t="s">
        <v>62</v>
      </c>
      <c r="C9" s="204" t="s">
        <v>63</v>
      </c>
      <c r="D9" s="195">
        <v>2013</v>
      </c>
      <c r="E9" s="196" t="s">
        <v>64</v>
      </c>
      <c r="F9" s="127" t="s">
        <v>65</v>
      </c>
      <c r="G9" s="158"/>
      <c r="H9" s="104" t="s">
        <v>55</v>
      </c>
      <c r="I9" s="33" t="s">
        <v>66</v>
      </c>
      <c r="J9" s="211"/>
      <c r="K9" s="211"/>
      <c r="L9" s="211"/>
      <c r="M9" s="211"/>
    </row>
    <row r="10" spans="1:13" ht="159">
      <c r="A10" s="354"/>
      <c r="B10" s="193" t="s">
        <v>67</v>
      </c>
      <c r="C10" s="33" t="s">
        <v>68</v>
      </c>
      <c r="D10" s="77">
        <v>2021</v>
      </c>
      <c r="E10" s="33" t="s">
        <v>64</v>
      </c>
      <c r="F10" s="112" t="s">
        <v>69</v>
      </c>
      <c r="G10" s="164" t="s">
        <v>70</v>
      </c>
      <c r="H10" s="198" t="s">
        <v>21</v>
      </c>
      <c r="I10" s="33"/>
      <c r="J10" s="209" t="s">
        <v>71</v>
      </c>
      <c r="K10" s="210" t="s">
        <v>72</v>
      </c>
      <c r="L10" s="210"/>
      <c r="M10" s="209"/>
    </row>
    <row r="11" spans="1:13" ht="115.5">
      <c r="A11" s="354"/>
      <c r="B11" s="191" t="s">
        <v>73</v>
      </c>
      <c r="C11" s="33" t="s">
        <v>74</v>
      </c>
      <c r="D11" s="97">
        <v>2021</v>
      </c>
      <c r="E11" s="33" t="s">
        <v>75</v>
      </c>
      <c r="F11" s="127" t="s">
        <v>76</v>
      </c>
      <c r="G11" s="158" t="s">
        <v>77</v>
      </c>
      <c r="H11" s="198" t="s">
        <v>21</v>
      </c>
      <c r="I11" s="83"/>
      <c r="J11" s="209" t="s">
        <v>78</v>
      </c>
      <c r="K11" s="208" t="s">
        <v>79</v>
      </c>
      <c r="L11" s="263"/>
      <c r="M11" s="209"/>
    </row>
    <row r="12" spans="1:13" ht="16.5" customHeight="1">
      <c r="A12" s="354"/>
      <c r="B12" s="190" t="s">
        <v>80</v>
      </c>
      <c r="C12" s="33" t="s">
        <v>81</v>
      </c>
      <c r="D12" s="77">
        <v>2022</v>
      </c>
      <c r="E12" s="33" t="s">
        <v>75</v>
      </c>
      <c r="F12" s="205" t="s">
        <v>82</v>
      </c>
      <c r="G12" s="165"/>
      <c r="H12" s="104" t="s">
        <v>55</v>
      </c>
      <c r="I12" s="33" t="s">
        <v>83</v>
      </c>
      <c r="J12" s="209"/>
      <c r="K12" s="209"/>
      <c r="L12" s="209"/>
      <c r="M12" s="209"/>
    </row>
    <row r="13" spans="1:13" ht="115.5">
      <c r="A13" s="354"/>
      <c r="B13" s="192" t="s">
        <v>84</v>
      </c>
      <c r="C13" s="33" t="s">
        <v>85</v>
      </c>
      <c r="D13" s="188">
        <v>2022</v>
      </c>
      <c r="E13" s="33" t="s">
        <v>86</v>
      </c>
      <c r="F13" s="112" t="s">
        <v>87</v>
      </c>
      <c r="G13" s="216" t="s">
        <v>88</v>
      </c>
      <c r="H13" s="198" t="s">
        <v>21</v>
      </c>
      <c r="I13" s="37"/>
      <c r="J13" s="213" t="s">
        <v>89</v>
      </c>
      <c r="K13" s="214" t="s">
        <v>90</v>
      </c>
      <c r="L13" s="261"/>
      <c r="M13" s="213"/>
    </row>
    <row r="14" spans="1:13" ht="45.75" customHeight="1">
      <c r="A14" s="354" t="s">
        <v>91</v>
      </c>
      <c r="B14" s="124" t="s">
        <v>92</v>
      </c>
      <c r="C14" s="139" t="s">
        <v>93</v>
      </c>
      <c r="D14" s="77">
        <v>2025</v>
      </c>
      <c r="E14" s="104" t="s">
        <v>94</v>
      </c>
      <c r="F14" s="125" t="s">
        <v>95</v>
      </c>
      <c r="G14" s="118" t="s">
        <v>96</v>
      </c>
      <c r="H14" s="104" t="s">
        <v>55</v>
      </c>
      <c r="I14" s="77" t="s">
        <v>97</v>
      </c>
      <c r="J14" s="118" t="s">
        <v>96</v>
      </c>
      <c r="K14" s="118" t="s">
        <v>96</v>
      </c>
    </row>
    <row r="15" spans="1:13" ht="45.75">
      <c r="A15" s="355"/>
      <c r="B15" s="126" t="s">
        <v>98</v>
      </c>
      <c r="C15" s="181" t="s">
        <v>99</v>
      </c>
      <c r="D15" s="97">
        <v>2026</v>
      </c>
      <c r="E15" s="240" t="s">
        <v>100</v>
      </c>
      <c r="F15" s="127" t="s">
        <v>101</v>
      </c>
      <c r="G15" s="106"/>
      <c r="H15" s="197" t="s">
        <v>21</v>
      </c>
      <c r="I15" s="35"/>
      <c r="J15" s="35"/>
      <c r="K15" s="35"/>
    </row>
    <row r="16" spans="1:13" ht="15.75" customHeight="1">
      <c r="A16" s="355"/>
      <c r="B16" s="232"/>
      <c r="C16" s="241" t="s">
        <v>628</v>
      </c>
      <c r="D16" s="233"/>
      <c r="E16" s="234"/>
      <c r="F16" s="235"/>
      <c r="G16" s="129"/>
      <c r="H16" s="236" t="s">
        <v>629</v>
      </c>
      <c r="I16" s="34"/>
      <c r="J16" s="34"/>
      <c r="K16" s="34"/>
    </row>
    <row r="17" spans="1:16" ht="16.5" customHeight="1">
      <c r="A17" s="355"/>
      <c r="B17" s="127"/>
      <c r="C17" s="242" t="s">
        <v>109</v>
      </c>
      <c r="D17" s="97">
        <v>2025</v>
      </c>
      <c r="E17" s="149" t="s">
        <v>110</v>
      </c>
      <c r="F17" s="127"/>
      <c r="G17" s="123"/>
      <c r="H17" s="104" t="s">
        <v>55</v>
      </c>
      <c r="I17" s="35"/>
      <c r="J17" s="35"/>
      <c r="K17" s="35"/>
    </row>
    <row r="18" spans="1:16" ht="21" customHeight="1">
      <c r="A18" s="355"/>
      <c r="B18" s="41" t="s">
        <v>111</v>
      </c>
      <c r="C18" s="77" t="s">
        <v>112</v>
      </c>
      <c r="D18" s="77">
        <v>2020</v>
      </c>
      <c r="E18" s="77" t="s">
        <v>64</v>
      </c>
      <c r="F18" s="112" t="s">
        <v>113</v>
      </c>
      <c r="G18" s="130"/>
      <c r="H18" s="105" t="s">
        <v>21</v>
      </c>
      <c r="I18" s="34"/>
      <c r="J18" s="34"/>
      <c r="K18" s="34"/>
    </row>
    <row r="19" spans="1:16" ht="30.75" customHeight="1">
      <c r="A19" s="355"/>
      <c r="B19" s="123" t="s">
        <v>117</v>
      </c>
      <c r="C19" s="181" t="s">
        <v>118</v>
      </c>
      <c r="D19" s="103">
        <v>2023</v>
      </c>
      <c r="E19" s="103" t="s">
        <v>64</v>
      </c>
      <c r="F19" s="127" t="s">
        <v>119</v>
      </c>
      <c r="G19" s="123"/>
      <c r="H19" s="105" t="s">
        <v>21</v>
      </c>
      <c r="I19" s="35"/>
      <c r="J19" s="35"/>
      <c r="K19" s="35"/>
    </row>
    <row r="20" spans="1:16" ht="60.75" customHeight="1">
      <c r="A20" s="355"/>
      <c r="B20" s="128" t="s">
        <v>123</v>
      </c>
      <c r="C20" s="139" t="s">
        <v>124</v>
      </c>
      <c r="D20" s="77">
        <v>2023</v>
      </c>
      <c r="E20" s="77" t="s">
        <v>18</v>
      </c>
      <c r="F20" s="112" t="s">
        <v>125</v>
      </c>
      <c r="G20" s="130"/>
      <c r="H20" s="105" t="s">
        <v>21</v>
      </c>
      <c r="I20" s="34"/>
      <c r="J20" s="34"/>
      <c r="K20" s="34"/>
    </row>
    <row r="21" spans="1:16" ht="43.5">
      <c r="A21" s="355"/>
      <c r="B21" s="131" t="s">
        <v>129</v>
      </c>
      <c r="C21" s="181" t="s">
        <v>130</v>
      </c>
      <c r="D21" s="103">
        <v>2026</v>
      </c>
      <c r="E21" s="104" t="s">
        <v>75</v>
      </c>
      <c r="F21" s="127" t="s">
        <v>131</v>
      </c>
      <c r="G21" s="137" t="s">
        <v>96</v>
      </c>
      <c r="H21" s="104" t="s">
        <v>55</v>
      </c>
      <c r="I21" s="243" t="s">
        <v>132</v>
      </c>
      <c r="J21" s="137" t="s">
        <v>96</v>
      </c>
      <c r="K21" s="137" t="s">
        <v>96</v>
      </c>
    </row>
    <row r="22" spans="1:16" ht="30.75" customHeight="1">
      <c r="A22" s="355"/>
      <c r="B22" s="128" t="s">
        <v>133</v>
      </c>
      <c r="C22" s="139" t="s">
        <v>630</v>
      </c>
      <c r="D22" s="77">
        <v>2023</v>
      </c>
      <c r="E22" s="77" t="s">
        <v>135</v>
      </c>
      <c r="F22" s="112" t="s">
        <v>136</v>
      </c>
      <c r="G22" s="130"/>
      <c r="H22" s="104" t="s">
        <v>631</v>
      </c>
      <c r="I22" s="34"/>
      <c r="J22" s="34"/>
      <c r="K22" s="34"/>
    </row>
    <row r="23" spans="1:16" ht="30.75" customHeight="1">
      <c r="A23" s="355"/>
      <c r="B23" s="127" t="s">
        <v>141</v>
      </c>
      <c r="C23" s="181" t="s">
        <v>632</v>
      </c>
      <c r="D23" s="103">
        <v>2025</v>
      </c>
      <c r="E23" s="103" t="s">
        <v>143</v>
      </c>
      <c r="F23" s="127" t="s">
        <v>144</v>
      </c>
      <c r="G23" s="123"/>
      <c r="H23" s="105" t="s">
        <v>21</v>
      </c>
      <c r="I23" s="35"/>
      <c r="J23" s="35"/>
      <c r="K23" s="35"/>
    </row>
    <row r="24" spans="1:16" ht="16.5" customHeight="1">
      <c r="A24" s="355"/>
      <c r="B24" s="139"/>
      <c r="C24" s="139"/>
      <c r="D24" s="244"/>
      <c r="E24" s="180"/>
      <c r="F24" s="180"/>
      <c r="G24" s="180"/>
      <c r="H24" s="180"/>
      <c r="I24" s="180"/>
      <c r="J24" s="180"/>
      <c r="K24" s="180"/>
    </row>
    <row r="25" spans="1:16" s="185" customFormat="1" ht="16.5" customHeight="1">
      <c r="A25" s="356"/>
      <c r="B25" s="182"/>
      <c r="C25" s="245"/>
      <c r="D25" s="182"/>
      <c r="E25" s="182"/>
      <c r="F25" s="182"/>
      <c r="G25" s="182"/>
      <c r="H25" s="183" t="s">
        <v>55</v>
      </c>
      <c r="I25" s="184"/>
      <c r="J25" s="184"/>
      <c r="K25" s="184"/>
      <c r="L25"/>
      <c r="M25"/>
    </row>
    <row r="26" spans="1:16" ht="16.5" customHeight="1">
      <c r="A26" s="354" t="s">
        <v>159</v>
      </c>
      <c r="B26" s="104" t="s">
        <v>160</v>
      </c>
      <c r="C26" s="77" t="s">
        <v>161</v>
      </c>
      <c r="D26" s="77">
        <v>2021</v>
      </c>
      <c r="E26" s="104" t="s">
        <v>162</v>
      </c>
      <c r="F26" s="186" t="s">
        <v>163</v>
      </c>
      <c r="G26" s="118" t="s">
        <v>96</v>
      </c>
      <c r="H26" s="104" t="s">
        <v>55</v>
      </c>
      <c r="I26" s="77" t="s">
        <v>164</v>
      </c>
      <c r="J26" s="118" t="s">
        <v>96</v>
      </c>
      <c r="K26" s="118" t="s">
        <v>96</v>
      </c>
      <c r="N26" s="56"/>
      <c r="O26" s="56"/>
      <c r="P26" s="56"/>
    </row>
    <row r="27" spans="1:16" ht="72">
      <c r="A27" s="355"/>
      <c r="B27" s="127" t="s">
        <v>165</v>
      </c>
      <c r="C27" s="181" t="s">
        <v>166</v>
      </c>
      <c r="D27" s="104">
        <v>2004</v>
      </c>
      <c r="E27" s="181" t="s">
        <v>100</v>
      </c>
      <c r="F27" s="81" t="s">
        <v>167</v>
      </c>
      <c r="G27" s="361" t="s">
        <v>168</v>
      </c>
      <c r="H27" s="105" t="s">
        <v>21</v>
      </c>
      <c r="I27" s="106" t="s">
        <v>169</v>
      </c>
      <c r="J27" s="103" t="s">
        <v>170</v>
      </c>
      <c r="K27" s="102" t="s">
        <v>171</v>
      </c>
      <c r="N27" s="56"/>
      <c r="O27" s="56"/>
      <c r="P27" s="56"/>
    </row>
    <row r="28" spans="1:16" ht="101.25">
      <c r="A28" s="355"/>
      <c r="B28" s="125" t="s">
        <v>172</v>
      </c>
      <c r="C28" s="140" t="s">
        <v>173</v>
      </c>
      <c r="D28" s="140">
        <v>2024</v>
      </c>
      <c r="E28" s="140" t="s">
        <v>18</v>
      </c>
      <c r="F28" s="141" t="s">
        <v>174</v>
      </c>
      <c r="G28" s="142" t="s">
        <v>175</v>
      </c>
      <c r="H28" s="105" t="s">
        <v>21</v>
      </c>
      <c r="I28" s="143" t="s">
        <v>176</v>
      </c>
      <c r="J28" s="140" t="s">
        <v>177</v>
      </c>
      <c r="K28" s="142" t="s">
        <v>178</v>
      </c>
      <c r="N28" s="56"/>
      <c r="O28" s="56"/>
      <c r="P28" s="56"/>
    </row>
    <row r="29" spans="1:16" ht="115.5">
      <c r="A29" s="355"/>
      <c r="B29" s="144" t="s">
        <v>179</v>
      </c>
      <c r="C29" s="243" t="s">
        <v>180</v>
      </c>
      <c r="D29" s="243">
        <v>2021</v>
      </c>
      <c r="E29" s="243" t="s">
        <v>64</v>
      </c>
      <c r="F29" s="145" t="s">
        <v>181</v>
      </c>
      <c r="G29" s="135" t="s">
        <v>182</v>
      </c>
      <c r="H29" s="146" t="s">
        <v>183</v>
      </c>
      <c r="I29" s="147" t="s">
        <v>184</v>
      </c>
      <c r="J29" s="135" t="s">
        <v>185</v>
      </c>
      <c r="K29" s="148" t="s">
        <v>186</v>
      </c>
      <c r="N29" s="56"/>
      <c r="O29" s="56"/>
      <c r="P29" s="56"/>
    </row>
    <row r="30" spans="1:16" ht="26.25" customHeight="1">
      <c r="A30" s="355"/>
      <c r="B30" s="113"/>
      <c r="C30" s="114" t="s">
        <v>187</v>
      </c>
      <c r="D30" s="113"/>
      <c r="E30" s="113"/>
      <c r="F30" s="113"/>
      <c r="G30" s="113"/>
      <c r="H30" s="104" t="s">
        <v>55</v>
      </c>
      <c r="I30" s="113"/>
      <c r="J30" s="104"/>
      <c r="K30" s="104"/>
      <c r="N30" s="56"/>
      <c r="O30" s="56"/>
      <c r="P30" s="56"/>
    </row>
    <row r="31" spans="1:16" ht="16.5" customHeight="1">
      <c r="A31" s="355"/>
      <c r="B31" s="118" t="s">
        <v>96</v>
      </c>
      <c r="C31" s="118" t="s">
        <v>96</v>
      </c>
      <c r="D31" s="118" t="s">
        <v>96</v>
      </c>
      <c r="E31" s="115" t="s">
        <v>94</v>
      </c>
      <c r="F31" s="78" t="s">
        <v>188</v>
      </c>
      <c r="G31" s="118" t="s">
        <v>96</v>
      </c>
      <c r="H31" s="104" t="s">
        <v>55</v>
      </c>
      <c r="I31" s="77" t="s">
        <v>189</v>
      </c>
      <c r="J31" s="118" t="s">
        <v>96</v>
      </c>
      <c r="K31" s="118" t="s">
        <v>96</v>
      </c>
      <c r="N31" s="56"/>
      <c r="O31" s="56"/>
      <c r="P31" s="56"/>
    </row>
    <row r="32" spans="1:16" ht="129.75">
      <c r="A32" s="355"/>
      <c r="B32" s="127" t="s">
        <v>141</v>
      </c>
      <c r="C32" s="103" t="s">
        <v>190</v>
      </c>
      <c r="D32" s="103">
        <v>2025</v>
      </c>
      <c r="E32" s="103" t="s">
        <v>143</v>
      </c>
      <c r="F32" s="81" t="s">
        <v>191</v>
      </c>
      <c r="G32" s="102" t="s">
        <v>192</v>
      </c>
      <c r="H32" s="105" t="s">
        <v>153</v>
      </c>
      <c r="I32" s="106" t="s">
        <v>193</v>
      </c>
      <c r="J32" s="102" t="s">
        <v>194</v>
      </c>
      <c r="K32" s="102" t="s">
        <v>195</v>
      </c>
      <c r="N32" s="56"/>
      <c r="O32" s="56"/>
      <c r="P32" s="56"/>
    </row>
    <row r="33" spans="1:56" ht="159">
      <c r="A33" s="355"/>
      <c r="B33" s="125" t="s">
        <v>196</v>
      </c>
      <c r="C33" s="139" t="s">
        <v>197</v>
      </c>
      <c r="D33" s="77">
        <v>2023</v>
      </c>
      <c r="E33" s="77" t="s">
        <v>198</v>
      </c>
      <c r="F33" s="78" t="s">
        <v>199</v>
      </c>
      <c r="G33" s="111" t="s">
        <v>200</v>
      </c>
      <c r="H33" s="105" t="s">
        <v>153</v>
      </c>
      <c r="I33" s="129" t="s">
        <v>201</v>
      </c>
      <c r="J33" s="110" t="s">
        <v>202</v>
      </c>
      <c r="K33" s="110" t="s">
        <v>203</v>
      </c>
      <c r="N33" s="56"/>
      <c r="O33" s="56"/>
      <c r="P33" s="56"/>
      <c r="BC33" s="246"/>
      <c r="BD33" s="246"/>
    </row>
    <row r="34" spans="1:56" ht="115.5">
      <c r="A34" s="355"/>
      <c r="B34" s="127" t="s">
        <v>204</v>
      </c>
      <c r="C34" s="106" t="s">
        <v>205</v>
      </c>
      <c r="D34" s="103">
        <v>2023</v>
      </c>
      <c r="E34" s="103" t="s">
        <v>18</v>
      </c>
      <c r="F34" s="81" t="s">
        <v>125</v>
      </c>
      <c r="G34" s="102" t="s">
        <v>206</v>
      </c>
      <c r="H34" s="105" t="s">
        <v>153</v>
      </c>
      <c r="I34" s="106" t="s">
        <v>207</v>
      </c>
      <c r="J34" s="103"/>
      <c r="K34" s="106" t="s">
        <v>208</v>
      </c>
      <c r="N34" s="56"/>
      <c r="O34" s="56"/>
      <c r="P34" s="56"/>
    </row>
    <row r="35" spans="1:56" ht="25.5" customHeight="1">
      <c r="A35" s="355"/>
      <c r="B35" s="125" t="s">
        <v>209</v>
      </c>
      <c r="C35" s="77" t="s">
        <v>210</v>
      </c>
      <c r="D35" s="77">
        <v>2023</v>
      </c>
      <c r="E35" s="155" t="s">
        <v>150</v>
      </c>
      <c r="F35" s="118"/>
      <c r="G35" s="118"/>
      <c r="H35" s="105" t="s">
        <v>153</v>
      </c>
      <c r="J35" s="118" t="s">
        <v>96</v>
      </c>
      <c r="K35" s="118" t="s">
        <v>96</v>
      </c>
      <c r="N35" s="56"/>
      <c r="O35" s="56"/>
      <c r="P35" s="56"/>
    </row>
    <row r="36" spans="1:56" ht="129.75">
      <c r="A36" s="355"/>
      <c r="B36" s="127" t="s">
        <v>211</v>
      </c>
      <c r="C36" s="106" t="s">
        <v>212</v>
      </c>
      <c r="D36" s="103">
        <v>2026</v>
      </c>
      <c r="E36" s="103" t="s">
        <v>100</v>
      </c>
      <c r="F36" s="81" t="s">
        <v>151</v>
      </c>
      <c r="G36" s="102" t="s">
        <v>213</v>
      </c>
      <c r="H36" s="105" t="s">
        <v>153</v>
      </c>
      <c r="I36" s="106" t="s">
        <v>214</v>
      </c>
      <c r="J36" s="106" t="s">
        <v>215</v>
      </c>
      <c r="K36" s="106" t="s">
        <v>216</v>
      </c>
      <c r="N36" s="56"/>
      <c r="O36" s="56"/>
      <c r="P36" s="56"/>
    </row>
    <row r="37" spans="1:56" ht="159">
      <c r="A37" s="356"/>
      <c r="B37" s="125" t="s">
        <v>217</v>
      </c>
      <c r="C37" s="43" t="s">
        <v>218</v>
      </c>
      <c r="D37" s="77">
        <v>2020</v>
      </c>
      <c r="E37" s="77" t="s">
        <v>18</v>
      </c>
      <c r="F37" s="78" t="s">
        <v>219</v>
      </c>
      <c r="G37" s="49" t="s">
        <v>220</v>
      </c>
      <c r="H37" s="75" t="s">
        <v>221</v>
      </c>
      <c r="I37" s="49" t="s">
        <v>222</v>
      </c>
      <c r="J37" s="49" t="s">
        <v>223</v>
      </c>
      <c r="K37" s="49" t="s">
        <v>224</v>
      </c>
      <c r="N37" s="56"/>
      <c r="O37" s="56"/>
      <c r="P37" s="56"/>
    </row>
    <row r="38" spans="1:56" s="56" customFormat="1" ht="96" customHeight="1">
      <c r="A38" s="353" t="s">
        <v>225</v>
      </c>
      <c r="B38" s="50" t="s">
        <v>226</v>
      </c>
      <c r="C38" s="99" t="s">
        <v>227</v>
      </c>
      <c r="D38" s="97">
        <v>2023</v>
      </c>
      <c r="E38" s="97" t="s">
        <v>18</v>
      </c>
      <c r="F38" s="81" t="s">
        <v>228</v>
      </c>
      <c r="G38" s="96" t="s">
        <v>229</v>
      </c>
      <c r="H38" s="75" t="s">
        <v>221</v>
      </c>
      <c r="I38" s="94" t="s">
        <v>230</v>
      </c>
      <c r="J38" s="96" t="s">
        <v>231</v>
      </c>
      <c r="K38" s="96" t="s">
        <v>232</v>
      </c>
      <c r="L38"/>
      <c r="M38"/>
    </row>
    <row r="39" spans="1:56" s="56" customFormat="1" ht="141" customHeight="1">
      <c r="A39" s="353"/>
      <c r="B39" s="55" t="s">
        <v>233</v>
      </c>
      <c r="C39" s="43" t="s">
        <v>234</v>
      </c>
      <c r="D39" s="104">
        <v>2010</v>
      </c>
      <c r="E39" s="77" t="s">
        <v>64</v>
      </c>
      <c r="F39" s="78" t="s">
        <v>233</v>
      </c>
      <c r="G39" s="95" t="s">
        <v>235</v>
      </c>
      <c r="H39" s="93" t="s">
        <v>55</v>
      </c>
      <c r="I39" s="49" t="s">
        <v>236</v>
      </c>
      <c r="J39" s="95" t="s">
        <v>235</v>
      </c>
      <c r="K39" s="95" t="s">
        <v>235</v>
      </c>
      <c r="L39"/>
      <c r="M39"/>
    </row>
    <row r="40" spans="1:56" s="56" customFormat="1" ht="87.75" customHeight="1">
      <c r="A40" s="353"/>
      <c r="B40" s="82" t="s">
        <v>237</v>
      </c>
      <c r="C40" s="98" t="s">
        <v>238</v>
      </c>
      <c r="D40" s="97">
        <v>2021</v>
      </c>
      <c r="E40" s="97" t="s">
        <v>239</v>
      </c>
      <c r="F40" s="81" t="s">
        <v>240</v>
      </c>
      <c r="G40" s="96" t="s">
        <v>241</v>
      </c>
      <c r="H40" s="75" t="s">
        <v>221</v>
      </c>
      <c r="I40" s="94" t="s">
        <v>242</v>
      </c>
      <c r="J40" s="96" t="s">
        <v>243</v>
      </c>
      <c r="K40" s="96" t="s">
        <v>244</v>
      </c>
      <c r="L40"/>
      <c r="M40"/>
    </row>
    <row r="41" spans="1:56" ht="81" customHeight="1">
      <c r="A41" s="353"/>
      <c r="B41" s="55" t="s">
        <v>245</v>
      </c>
      <c r="C41" s="40" t="s">
        <v>246</v>
      </c>
      <c r="D41" s="77">
        <v>2023</v>
      </c>
      <c r="E41" s="77" t="s">
        <v>135</v>
      </c>
      <c r="F41" s="112" t="s">
        <v>247</v>
      </c>
      <c r="G41" s="95" t="s">
        <v>248</v>
      </c>
      <c r="H41" s="75" t="s">
        <v>221</v>
      </c>
      <c r="I41" s="169" t="s">
        <v>249</v>
      </c>
      <c r="J41" s="170" t="s">
        <v>250</v>
      </c>
      <c r="K41" s="170" t="s">
        <v>251</v>
      </c>
    </row>
    <row r="42" spans="1:56" ht="73.5" customHeight="1">
      <c r="A42" s="353"/>
      <c r="B42" s="81" t="s">
        <v>252</v>
      </c>
      <c r="C42" s="98" t="s">
        <v>253</v>
      </c>
      <c r="D42" s="97">
        <v>2026</v>
      </c>
      <c r="E42" s="97" t="s">
        <v>100</v>
      </c>
      <c r="F42" s="81" t="s">
        <v>254</v>
      </c>
      <c r="G42" s="96" t="s">
        <v>255</v>
      </c>
      <c r="H42" s="75" t="s">
        <v>221</v>
      </c>
      <c r="I42" s="94" t="s">
        <v>256</v>
      </c>
      <c r="J42" s="99" t="s">
        <v>257</v>
      </c>
      <c r="K42" s="99" t="s">
        <v>258</v>
      </c>
    </row>
    <row r="43" spans="1:56" ht="84.75" customHeight="1">
      <c r="A43" s="353"/>
      <c r="B43" s="55" t="s">
        <v>259</v>
      </c>
      <c r="C43" s="40" t="s">
        <v>260</v>
      </c>
      <c r="D43" s="77">
        <v>2023</v>
      </c>
      <c r="E43" s="77" t="s">
        <v>135</v>
      </c>
      <c r="F43" s="112" t="s">
        <v>261</v>
      </c>
      <c r="G43" s="95" t="s">
        <v>262</v>
      </c>
      <c r="H43" s="75" t="s">
        <v>221</v>
      </c>
      <c r="I43" s="169" t="s">
        <v>263</v>
      </c>
      <c r="J43" s="170" t="s">
        <v>264</v>
      </c>
      <c r="K43" s="170" t="s">
        <v>265</v>
      </c>
    </row>
    <row r="44" spans="1:56" ht="78" customHeight="1">
      <c r="A44" s="353"/>
      <c r="B44" s="47" t="s">
        <v>266</v>
      </c>
      <c r="C44" s="98" t="s">
        <v>267</v>
      </c>
      <c r="D44" s="97">
        <v>2023</v>
      </c>
      <c r="E44" s="97" t="s">
        <v>135</v>
      </c>
      <c r="F44" s="47" t="s">
        <v>268</v>
      </c>
      <c r="G44" s="96" t="s">
        <v>269</v>
      </c>
      <c r="H44" s="75" t="s">
        <v>221</v>
      </c>
      <c r="I44" s="94" t="s">
        <v>270</v>
      </c>
      <c r="J44" s="99" t="s">
        <v>271</v>
      </c>
      <c r="K44" s="99" t="s">
        <v>272</v>
      </c>
    </row>
    <row r="45" spans="1:56" ht="77.25" customHeight="1">
      <c r="A45" s="353"/>
      <c r="B45" s="41" t="s">
        <v>273</v>
      </c>
      <c r="C45" s="40" t="s">
        <v>274</v>
      </c>
      <c r="D45" s="77">
        <v>2025</v>
      </c>
      <c r="E45" s="77" t="s">
        <v>64</v>
      </c>
      <c r="F45" s="45" t="s">
        <v>275</v>
      </c>
      <c r="G45" s="52" t="s">
        <v>276</v>
      </c>
      <c r="H45" s="75" t="s">
        <v>221</v>
      </c>
      <c r="I45" s="171" t="s">
        <v>277</v>
      </c>
      <c r="J45" s="170" t="s">
        <v>278</v>
      </c>
      <c r="K45" s="171" t="s">
        <v>279</v>
      </c>
    </row>
    <row r="46" spans="1:56" ht="89.25" customHeight="1">
      <c r="A46" s="353"/>
      <c r="B46" s="47" t="s">
        <v>280</v>
      </c>
      <c r="C46" s="98" t="s">
        <v>281</v>
      </c>
      <c r="D46" s="172">
        <v>2024</v>
      </c>
      <c r="E46" s="172" t="s">
        <v>162</v>
      </c>
      <c r="F46" s="35"/>
      <c r="G46" s="35"/>
      <c r="H46" s="93" t="s">
        <v>282</v>
      </c>
      <c r="I46" s="122" t="s">
        <v>283</v>
      </c>
      <c r="J46" s="35"/>
      <c r="K46" s="35"/>
    </row>
    <row r="47" spans="1:56" ht="96.75" customHeight="1">
      <c r="A47" s="353"/>
      <c r="B47" s="41" t="s">
        <v>284</v>
      </c>
      <c r="C47" t="s">
        <v>285</v>
      </c>
      <c r="D47" s="104">
        <v>2019</v>
      </c>
      <c r="E47" s="33" t="s">
        <v>18</v>
      </c>
      <c r="F47" s="45" t="s">
        <v>286</v>
      </c>
      <c r="G47" s="34"/>
      <c r="H47" s="93" t="s">
        <v>282</v>
      </c>
      <c r="I47" s="171" t="s">
        <v>287</v>
      </c>
      <c r="J47" s="34"/>
      <c r="K47" s="34"/>
    </row>
    <row r="48" spans="1:56" ht="68.25" customHeight="1">
      <c r="A48" s="353"/>
      <c r="B48" s="47" t="s">
        <v>288</v>
      </c>
      <c r="C48" s="98" t="s">
        <v>289</v>
      </c>
      <c r="D48" s="104">
        <v>2014</v>
      </c>
      <c r="E48" s="104" t="s">
        <v>290</v>
      </c>
      <c r="F48" s="47" t="s">
        <v>291</v>
      </c>
      <c r="G48" s="35"/>
      <c r="H48" s="93" t="s">
        <v>282</v>
      </c>
      <c r="I48" s="122" t="s">
        <v>292</v>
      </c>
      <c r="J48" s="35"/>
      <c r="K48" s="35"/>
    </row>
    <row r="49" spans="1:11" ht="93" customHeight="1">
      <c r="A49" s="353"/>
      <c r="B49" s="55" t="s">
        <v>280</v>
      </c>
      <c r="C49" s="43" t="s">
        <v>281</v>
      </c>
      <c r="D49" s="77">
        <v>2024</v>
      </c>
      <c r="E49" s="77" t="s">
        <v>143</v>
      </c>
      <c r="F49" s="78" t="s">
        <v>293</v>
      </c>
      <c r="G49" s="118"/>
      <c r="H49" s="75" t="s">
        <v>221</v>
      </c>
      <c r="I49" s="117" t="s">
        <v>294</v>
      </c>
      <c r="J49" s="52" t="s">
        <v>295</v>
      </c>
      <c r="K49" s="52" t="s">
        <v>296</v>
      </c>
    </row>
    <row r="50" spans="1:11" ht="168.75" customHeight="1">
      <c r="A50" s="357" t="s">
        <v>297</v>
      </c>
      <c r="B50" s="59" t="s">
        <v>284</v>
      </c>
      <c r="C50" s="46" t="s">
        <v>285</v>
      </c>
      <c r="D50" s="72">
        <v>2019</v>
      </c>
      <c r="E50" s="84" t="s">
        <v>18</v>
      </c>
      <c r="F50" s="61" t="s">
        <v>286</v>
      </c>
      <c r="G50" s="119" t="s">
        <v>96</v>
      </c>
      <c r="H50" s="72" t="s">
        <v>55</v>
      </c>
      <c r="I50" s="247" t="s">
        <v>298</v>
      </c>
      <c r="J50" s="119" t="s">
        <v>96</v>
      </c>
      <c r="K50" s="119" t="s">
        <v>96</v>
      </c>
    </row>
    <row r="51" spans="1:11" ht="66" customHeight="1">
      <c r="A51" s="357"/>
      <c r="B51" s="57" t="s">
        <v>299</v>
      </c>
      <c r="C51" s="51" t="s">
        <v>300</v>
      </c>
      <c r="D51" s="73">
        <v>2014</v>
      </c>
      <c r="E51" s="85" t="s">
        <v>301</v>
      </c>
      <c r="F51" s="58" t="s">
        <v>291</v>
      </c>
      <c r="G51" s="118" t="s">
        <v>96</v>
      </c>
      <c r="H51" s="72" t="s">
        <v>55</v>
      </c>
      <c r="I51" s="49" t="s">
        <v>302</v>
      </c>
      <c r="J51" s="118" t="s">
        <v>96</v>
      </c>
      <c r="K51" s="118" t="s">
        <v>96</v>
      </c>
    </row>
    <row r="52" spans="1:11" ht="30.75">
      <c r="A52" s="357"/>
      <c r="B52" s="59" t="s">
        <v>303</v>
      </c>
      <c r="C52" s="362" t="s">
        <v>304</v>
      </c>
      <c r="D52" s="60">
        <v>2023</v>
      </c>
      <c r="E52" s="84" t="s">
        <v>198</v>
      </c>
      <c r="F52" s="59" t="s">
        <v>305</v>
      </c>
      <c r="G52" s="119" t="s">
        <v>96</v>
      </c>
      <c r="H52" s="72" t="s">
        <v>55</v>
      </c>
      <c r="I52" s="120" t="s">
        <v>633</v>
      </c>
      <c r="J52" s="119" t="s">
        <v>96</v>
      </c>
      <c r="K52" s="119" t="s">
        <v>96</v>
      </c>
    </row>
    <row r="53" spans="1:11" ht="73.5" customHeight="1">
      <c r="A53" s="357"/>
      <c r="B53" s="63" t="s">
        <v>310</v>
      </c>
      <c r="C53" s="53" t="s">
        <v>311</v>
      </c>
      <c r="D53" s="62">
        <v>2022</v>
      </c>
      <c r="E53" s="86" t="s">
        <v>64</v>
      </c>
      <c r="F53" s="57" t="s">
        <v>312</v>
      </c>
      <c r="G53" s="118" t="s">
        <v>96</v>
      </c>
      <c r="H53" s="72" t="s">
        <v>55</v>
      </c>
      <c r="I53" s="43" t="s">
        <v>634</v>
      </c>
      <c r="J53" s="118" t="s">
        <v>96</v>
      </c>
      <c r="K53" s="118" t="s">
        <v>96</v>
      </c>
    </row>
    <row r="54" spans="1:11" ht="91.5">
      <c r="A54" s="357"/>
      <c r="B54" s="59" t="s">
        <v>314</v>
      </c>
      <c r="C54" s="54" t="s">
        <v>315</v>
      </c>
      <c r="D54" s="71" t="s">
        <v>316</v>
      </c>
      <c r="E54" s="84" t="s">
        <v>64</v>
      </c>
      <c r="F54" s="59" t="s">
        <v>317</v>
      </c>
      <c r="G54" s="48"/>
      <c r="H54" s="75" t="s">
        <v>221</v>
      </c>
      <c r="I54" s="121" t="s">
        <v>635</v>
      </c>
      <c r="J54" s="121" t="s">
        <v>320</v>
      </c>
      <c r="K54" s="121" t="s">
        <v>321</v>
      </c>
    </row>
    <row r="55" spans="1:11" ht="57.75" customHeight="1">
      <c r="A55" s="357"/>
      <c r="B55" s="57" t="s">
        <v>322</v>
      </c>
      <c r="C55" s="363" t="s">
        <v>323</v>
      </c>
      <c r="D55" s="62">
        <v>2025</v>
      </c>
      <c r="E55" s="86" t="s">
        <v>324</v>
      </c>
      <c r="F55" s="57" t="s">
        <v>325</v>
      </c>
      <c r="G55" s="34"/>
      <c r="H55" s="34"/>
      <c r="I55" s="34"/>
      <c r="J55" s="34"/>
      <c r="K55" s="34"/>
    </row>
    <row r="56" spans="1:11" ht="69.75" customHeight="1">
      <c r="A56" s="357"/>
      <c r="B56" s="61" t="s">
        <v>327</v>
      </c>
      <c r="C56" s="46" t="s">
        <v>328</v>
      </c>
      <c r="D56" s="70">
        <v>2008</v>
      </c>
      <c r="E56" s="87" t="s">
        <v>18</v>
      </c>
      <c r="F56" s="59" t="s">
        <v>329</v>
      </c>
      <c r="G56" s="48"/>
      <c r="H56" s="35"/>
      <c r="I56" s="35"/>
      <c r="J56" s="35"/>
      <c r="K56" s="35"/>
    </row>
    <row r="57" spans="1:11" ht="59.25" customHeight="1">
      <c r="A57" s="357"/>
      <c r="B57" s="57" t="s">
        <v>331</v>
      </c>
      <c r="C57" s="364" t="s">
        <v>332</v>
      </c>
      <c r="D57" s="64">
        <v>2020</v>
      </c>
      <c r="E57" s="88" t="s">
        <v>198</v>
      </c>
      <c r="F57" s="57" t="s">
        <v>333</v>
      </c>
      <c r="G57" s="34"/>
      <c r="H57" s="34"/>
      <c r="I57" s="34"/>
      <c r="J57" s="34"/>
      <c r="K57" s="34"/>
    </row>
    <row r="58" spans="1:11" ht="45.75" customHeight="1">
      <c r="A58" s="357"/>
      <c r="B58" s="65" t="s">
        <v>335</v>
      </c>
      <c r="C58" s="66" t="s">
        <v>336</v>
      </c>
      <c r="D58" s="67">
        <v>2022</v>
      </c>
      <c r="E58" s="87" t="s">
        <v>143</v>
      </c>
      <c r="F58" s="61" t="s">
        <v>337</v>
      </c>
      <c r="G58" s="35"/>
      <c r="H58" s="35"/>
      <c r="I58" s="35"/>
      <c r="J58" s="35"/>
      <c r="K58" s="35"/>
    </row>
    <row r="59" spans="1:11" ht="66.75" customHeight="1">
      <c r="A59" s="357"/>
      <c r="B59" s="57" t="s">
        <v>342</v>
      </c>
      <c r="C59" s="364" t="s">
        <v>343</v>
      </c>
      <c r="D59" s="365">
        <v>2025</v>
      </c>
      <c r="E59" s="89" t="s">
        <v>94</v>
      </c>
      <c r="F59" s="57" t="s">
        <v>344</v>
      </c>
      <c r="G59" s="118" t="s">
        <v>96</v>
      </c>
      <c r="H59" s="72" t="s">
        <v>55</v>
      </c>
      <c r="I59" s="49" t="s">
        <v>302</v>
      </c>
      <c r="J59" s="118" t="s">
        <v>96</v>
      </c>
      <c r="K59" s="118" t="s">
        <v>96</v>
      </c>
    </row>
    <row r="60" spans="1:11" ht="84.75" customHeight="1">
      <c r="A60" s="357"/>
      <c r="B60" s="68" t="s">
        <v>345</v>
      </c>
      <c r="C60" s="69" t="s">
        <v>346</v>
      </c>
      <c r="D60" s="69">
        <v>2024</v>
      </c>
      <c r="E60" s="90" t="s">
        <v>64</v>
      </c>
      <c r="F60" s="68" t="s">
        <v>347</v>
      </c>
      <c r="G60" s="35"/>
      <c r="H60" s="35"/>
      <c r="I60" s="35"/>
      <c r="J60" s="35"/>
      <c r="K60" s="35"/>
    </row>
    <row r="61" spans="1:11" ht="124.5" customHeight="1">
      <c r="A61" s="357"/>
      <c r="B61" s="57" t="s">
        <v>636</v>
      </c>
      <c r="C61" s="364" t="s">
        <v>637</v>
      </c>
      <c r="D61" s="365">
        <v>2023</v>
      </c>
      <c r="E61" s="33" t="s">
        <v>324</v>
      </c>
      <c r="F61" s="57" t="s">
        <v>638</v>
      </c>
      <c r="G61" s="80" t="s">
        <v>639</v>
      </c>
      <c r="H61" s="75" t="s">
        <v>21</v>
      </c>
      <c r="I61" s="176" t="s">
        <v>640</v>
      </c>
      <c r="J61" s="74" t="s">
        <v>641</v>
      </c>
      <c r="K61" s="74" t="s">
        <v>642</v>
      </c>
    </row>
    <row r="62" spans="1:11" ht="28.5">
      <c r="A62" s="353" t="s">
        <v>352</v>
      </c>
      <c r="B62" s="35" t="s">
        <v>353</v>
      </c>
      <c r="C62" s="98" t="s">
        <v>354</v>
      </c>
      <c r="D62" s="104">
        <v>2007</v>
      </c>
      <c r="E62" s="172" t="s">
        <v>18</v>
      </c>
      <c r="F62" s="47" t="s">
        <v>355</v>
      </c>
      <c r="G62" s="35"/>
      <c r="H62" s="72" t="s">
        <v>55</v>
      </c>
      <c r="I62" s="177"/>
      <c r="J62" s="35"/>
      <c r="K62" s="35"/>
    </row>
    <row r="63" spans="1:11" ht="45.75">
      <c r="A63" s="353"/>
      <c r="B63" s="57" t="s">
        <v>356</v>
      </c>
      <c r="C63" s="173" t="s">
        <v>357</v>
      </c>
      <c r="D63" s="365">
        <v>2024</v>
      </c>
      <c r="E63" s="33" t="s">
        <v>64</v>
      </c>
      <c r="F63" s="45" t="s">
        <v>358</v>
      </c>
      <c r="G63" s="80" t="s">
        <v>359</v>
      </c>
      <c r="H63" s="75" t="s">
        <v>21</v>
      </c>
      <c r="I63" s="176" t="s">
        <v>360</v>
      </c>
      <c r="J63" s="34" t="s">
        <v>361</v>
      </c>
      <c r="K63" s="34" t="s">
        <v>362</v>
      </c>
    </row>
    <row r="64" spans="1:11" ht="57.75">
      <c r="A64" s="353"/>
      <c r="B64" s="35" t="s">
        <v>363</v>
      </c>
      <c r="C64" s="175" t="s">
        <v>364</v>
      </c>
      <c r="D64" s="98" t="s">
        <v>365</v>
      </c>
      <c r="E64" s="172" t="s">
        <v>143</v>
      </c>
      <c r="F64" s="47" t="s">
        <v>366</v>
      </c>
      <c r="G64" s="179" t="s">
        <v>367</v>
      </c>
      <c r="H64" s="75" t="s">
        <v>368</v>
      </c>
      <c r="I64" s="177"/>
      <c r="J64" s="35"/>
      <c r="K64" s="35"/>
    </row>
    <row r="65" spans="1:14" ht="30.75">
      <c r="A65" s="353"/>
      <c r="C65" s="174" t="s">
        <v>369</v>
      </c>
      <c r="D65" s="79">
        <v>45413</v>
      </c>
      <c r="F65" s="34"/>
      <c r="G65" s="34"/>
      <c r="H65" s="72" t="s">
        <v>55</v>
      </c>
      <c r="I65" s="176" t="s">
        <v>370</v>
      </c>
      <c r="J65" s="34"/>
      <c r="K65" s="34"/>
    </row>
    <row r="66" spans="1:14" ht="28.5">
      <c r="A66" s="353"/>
      <c r="B66" s="35"/>
      <c r="C66" s="98" t="s">
        <v>371</v>
      </c>
      <c r="D66" s="178">
        <v>45778</v>
      </c>
      <c r="E66" s="83"/>
      <c r="F66" s="35"/>
      <c r="G66" s="35"/>
      <c r="H66" s="72" t="s">
        <v>55</v>
      </c>
      <c r="I66" s="177" t="s">
        <v>370</v>
      </c>
      <c r="J66" s="35"/>
      <c r="K66" s="35"/>
    </row>
    <row r="67" spans="1:14" ht="30.75">
      <c r="A67" s="353"/>
      <c r="B67" s="41" t="s">
        <v>372</v>
      </c>
      <c r="C67" s="174" t="s">
        <v>373</v>
      </c>
      <c r="D67" s="44">
        <v>45458</v>
      </c>
      <c r="E67" s="33" t="s">
        <v>374</v>
      </c>
      <c r="F67" s="45" t="s">
        <v>375</v>
      </c>
      <c r="G67" s="34"/>
      <c r="H67" s="72" t="s">
        <v>55</v>
      </c>
      <c r="I67" s="176" t="s">
        <v>370</v>
      </c>
      <c r="J67" s="34"/>
      <c r="K67" s="34"/>
    </row>
    <row r="68" spans="1:14" ht="43.5">
      <c r="A68" s="353"/>
      <c r="B68" s="35"/>
      <c r="C68" s="98" t="s">
        <v>376</v>
      </c>
      <c r="D68" s="108">
        <v>40765</v>
      </c>
      <c r="E68" s="172" t="s">
        <v>377</v>
      </c>
      <c r="F68" s="35"/>
      <c r="G68" s="35"/>
      <c r="H68" s="72" t="s">
        <v>55</v>
      </c>
      <c r="I68" s="177" t="s">
        <v>370</v>
      </c>
      <c r="J68" s="35"/>
      <c r="K68" s="35"/>
    </row>
    <row r="69" spans="1:14" ht="16.5">
      <c r="A69" s="353"/>
      <c r="E69" s="33" t="s">
        <v>378</v>
      </c>
      <c r="F69" s="34"/>
      <c r="G69" s="34"/>
      <c r="H69" s="72" t="s">
        <v>55</v>
      </c>
      <c r="I69" s="176" t="s">
        <v>370</v>
      </c>
      <c r="J69" s="34"/>
      <c r="K69" s="34"/>
    </row>
    <row r="70" spans="1:14" ht="16.5">
      <c r="A70" s="353"/>
      <c r="B70" s="35"/>
      <c r="C70" s="35"/>
      <c r="D70" s="35"/>
      <c r="E70" s="83"/>
      <c r="F70" s="35"/>
      <c r="G70" s="35"/>
      <c r="H70" s="72" t="s">
        <v>55</v>
      </c>
      <c r="I70" s="177" t="s">
        <v>370</v>
      </c>
      <c r="J70" s="35"/>
      <c r="K70" s="35"/>
    </row>
    <row r="71" spans="1:14" ht="16.5">
      <c r="A71" s="353"/>
      <c r="F71" s="34"/>
      <c r="G71" s="34"/>
      <c r="H71" s="72" t="s">
        <v>55</v>
      </c>
      <c r="I71" s="176" t="s">
        <v>370</v>
      </c>
      <c r="J71" s="34"/>
      <c r="K71" s="34"/>
    </row>
    <row r="72" spans="1:14" ht="16.5">
      <c r="A72" s="353"/>
      <c r="B72" s="35"/>
      <c r="C72" s="35"/>
      <c r="D72" s="35"/>
      <c r="E72" s="83"/>
      <c r="F72" s="35"/>
      <c r="G72" s="35"/>
      <c r="H72" s="72" t="s">
        <v>55</v>
      </c>
      <c r="I72" s="177" t="s">
        <v>370</v>
      </c>
      <c r="J72" s="35"/>
      <c r="K72" s="35"/>
    </row>
    <row r="73" spans="1:14" ht="43.5">
      <c r="A73" s="353"/>
      <c r="B73" s="55" t="s">
        <v>379</v>
      </c>
      <c r="C73" s="43" t="s">
        <v>380</v>
      </c>
      <c r="D73" s="77">
        <v>2026</v>
      </c>
      <c r="E73" s="77" t="s">
        <v>239</v>
      </c>
      <c r="F73" s="78" t="s">
        <v>381</v>
      </c>
      <c r="G73" s="49" t="s">
        <v>382</v>
      </c>
      <c r="H73" s="75" t="s">
        <v>221</v>
      </c>
      <c r="I73" s="49" t="s">
        <v>383</v>
      </c>
      <c r="J73" s="42" t="s">
        <v>384</v>
      </c>
      <c r="K73" s="35" t="s">
        <v>385</v>
      </c>
    </row>
    <row r="74" spans="1:14" ht="86.25">
      <c r="A74" s="353" t="s">
        <v>386</v>
      </c>
      <c r="B74" s="131" t="s">
        <v>387</v>
      </c>
      <c r="C74" s="158" t="s">
        <v>388</v>
      </c>
      <c r="D74" s="97">
        <v>2025</v>
      </c>
      <c r="E74" s="97" t="s">
        <v>135</v>
      </c>
      <c r="F74" s="127" t="s">
        <v>389</v>
      </c>
      <c r="G74" s="106" t="s">
        <v>390</v>
      </c>
      <c r="H74" s="105" t="s">
        <v>221</v>
      </c>
      <c r="I74" s="106" t="s">
        <v>391</v>
      </c>
      <c r="J74" s="130" t="s">
        <v>392</v>
      </c>
      <c r="K74" s="130" t="s">
        <v>393</v>
      </c>
    </row>
    <row r="75" spans="1:14" ht="72">
      <c r="A75" s="353"/>
      <c r="B75" s="128" t="s">
        <v>394</v>
      </c>
      <c r="C75" s="139" t="s">
        <v>395</v>
      </c>
      <c r="D75" s="77">
        <v>2024</v>
      </c>
      <c r="E75" s="77" t="s">
        <v>135</v>
      </c>
      <c r="F75" s="112" t="s">
        <v>396</v>
      </c>
      <c r="G75" s="95" t="s">
        <v>397</v>
      </c>
      <c r="H75" s="105" t="s">
        <v>221</v>
      </c>
      <c r="I75" s="95" t="s">
        <v>398</v>
      </c>
      <c r="J75" s="123" t="s">
        <v>399</v>
      </c>
      <c r="K75" s="123" t="s">
        <v>400</v>
      </c>
    </row>
    <row r="76" spans="1:14" ht="86.25">
      <c r="A76" s="353"/>
      <c r="B76" s="131" t="s">
        <v>401</v>
      </c>
      <c r="C76" s="158" t="s">
        <v>402</v>
      </c>
      <c r="D76" s="97">
        <v>2023</v>
      </c>
      <c r="E76" s="97" t="s">
        <v>135</v>
      </c>
      <c r="F76" s="127" t="s">
        <v>403</v>
      </c>
      <c r="G76" s="106" t="s">
        <v>404</v>
      </c>
      <c r="H76" s="105" t="s">
        <v>183</v>
      </c>
      <c r="I76" s="106" t="s">
        <v>405</v>
      </c>
      <c r="J76" s="130" t="s">
        <v>406</v>
      </c>
      <c r="K76" s="130" t="s">
        <v>407</v>
      </c>
    </row>
    <row r="77" spans="1:14" ht="57.75">
      <c r="A77" s="353"/>
      <c r="B77" s="128" t="s">
        <v>408</v>
      </c>
      <c r="C77" s="139" t="s">
        <v>409</v>
      </c>
      <c r="D77" s="77">
        <v>2021</v>
      </c>
      <c r="E77" s="77" t="s">
        <v>239</v>
      </c>
      <c r="F77" s="112" t="s">
        <v>410</v>
      </c>
      <c r="G77" s="95" t="s">
        <v>411</v>
      </c>
      <c r="H77" s="105" t="s">
        <v>221</v>
      </c>
      <c r="I77" s="95" t="s">
        <v>412</v>
      </c>
      <c r="J77" s="123" t="s">
        <v>413</v>
      </c>
      <c r="K77" s="123" t="s">
        <v>414</v>
      </c>
      <c r="N77" s="25"/>
    </row>
    <row r="78" spans="1:14" ht="57.75">
      <c r="A78" s="353"/>
      <c r="B78" s="131" t="s">
        <v>415</v>
      </c>
      <c r="C78" s="158" t="s">
        <v>416</v>
      </c>
      <c r="D78" s="97">
        <v>2026</v>
      </c>
      <c r="E78" s="97" t="s">
        <v>135</v>
      </c>
      <c r="F78" s="127" t="s">
        <v>417</v>
      </c>
      <c r="G78" s="106" t="s">
        <v>418</v>
      </c>
      <c r="H78" s="105" t="s">
        <v>221</v>
      </c>
      <c r="I78" s="106" t="s">
        <v>419</v>
      </c>
      <c r="J78" s="130"/>
      <c r="K78" s="130"/>
    </row>
    <row r="79" spans="1:14" ht="60.75" customHeight="1">
      <c r="A79" s="353"/>
      <c r="B79" s="128" t="s">
        <v>420</v>
      </c>
      <c r="C79" s="139" t="s">
        <v>421</v>
      </c>
      <c r="D79" s="77">
        <v>2026</v>
      </c>
      <c r="E79" s="77" t="s">
        <v>135</v>
      </c>
      <c r="F79" s="112" t="s">
        <v>422</v>
      </c>
      <c r="G79" s="95" t="s">
        <v>423</v>
      </c>
      <c r="H79" s="104" t="s">
        <v>424</v>
      </c>
      <c r="I79" s="95"/>
      <c r="J79" s="123"/>
      <c r="K79" s="123"/>
    </row>
    <row r="80" spans="1:14" ht="60.75" customHeight="1">
      <c r="A80" s="353"/>
      <c r="B80" s="131" t="s">
        <v>425</v>
      </c>
      <c r="C80" s="158" t="s">
        <v>426</v>
      </c>
      <c r="D80" s="97">
        <v>2026</v>
      </c>
      <c r="E80" s="97" t="s">
        <v>135</v>
      </c>
      <c r="F80" s="127" t="s">
        <v>427</v>
      </c>
      <c r="G80" s="106" t="s">
        <v>428</v>
      </c>
      <c r="H80" s="105" t="s">
        <v>221</v>
      </c>
      <c r="I80" s="106" t="s">
        <v>429</v>
      </c>
      <c r="J80" s="130"/>
      <c r="K80" s="130"/>
    </row>
    <row r="81" spans="1:11" ht="43.5">
      <c r="A81" s="353"/>
      <c r="B81" s="128" t="s">
        <v>430</v>
      </c>
      <c r="C81" s="139" t="s">
        <v>431</v>
      </c>
      <c r="D81" s="77">
        <v>2026</v>
      </c>
      <c r="E81" s="77" t="s">
        <v>135</v>
      </c>
      <c r="F81" s="112" t="s">
        <v>432</v>
      </c>
      <c r="G81" s="95" t="s">
        <v>433</v>
      </c>
      <c r="H81" s="105" t="s">
        <v>21</v>
      </c>
      <c r="I81" s="95" t="s">
        <v>434</v>
      </c>
      <c r="J81" s="123"/>
      <c r="K81" s="123"/>
    </row>
    <row r="82" spans="1:11" ht="57.75">
      <c r="A82" s="353"/>
      <c r="B82" s="139" t="s">
        <v>435</v>
      </c>
      <c r="C82" s="77" t="s">
        <v>436</v>
      </c>
      <c r="D82" s="77">
        <v>2021</v>
      </c>
      <c r="E82" s="77" t="s">
        <v>135</v>
      </c>
      <c r="F82" s="112" t="s">
        <v>437</v>
      </c>
      <c r="G82" s="159" t="s">
        <v>438</v>
      </c>
      <c r="H82" s="104" t="s">
        <v>424</v>
      </c>
      <c r="I82" s="248" t="s">
        <v>439</v>
      </c>
      <c r="J82" s="130"/>
      <c r="K82" s="130"/>
    </row>
    <row r="83" spans="1:11" ht="43.5">
      <c r="A83" s="353"/>
      <c r="B83" s="123" t="s">
        <v>440</v>
      </c>
      <c r="C83" s="131" t="s">
        <v>441</v>
      </c>
      <c r="D83" s="123">
        <v>2015</v>
      </c>
      <c r="E83" s="123" t="s">
        <v>18</v>
      </c>
      <c r="F83" s="127" t="s">
        <v>442</v>
      </c>
      <c r="G83" s="123" t="s">
        <v>443</v>
      </c>
      <c r="H83" s="105" t="s">
        <v>221</v>
      </c>
      <c r="I83" s="131" t="s">
        <v>444</v>
      </c>
      <c r="J83" s="123" t="s">
        <v>445</v>
      </c>
      <c r="K83" s="123" t="s">
        <v>446</v>
      </c>
    </row>
    <row r="84" spans="1:11" ht="15" customHeight="1">
      <c r="A84" s="353"/>
      <c r="B84" s="249"/>
      <c r="C84" s="249"/>
      <c r="D84" s="249"/>
      <c r="E84" s="249"/>
      <c r="F84" s="124"/>
      <c r="G84" s="124"/>
      <c r="H84" s="105"/>
      <c r="I84" s="124"/>
      <c r="J84" s="124"/>
      <c r="K84" s="124"/>
    </row>
    <row r="85" spans="1:11" ht="45.75">
      <c r="A85" s="250"/>
      <c r="B85" s="162" t="s">
        <v>447</v>
      </c>
      <c r="C85" s="139" t="s">
        <v>448</v>
      </c>
      <c r="D85" s="155">
        <v>2021</v>
      </c>
      <c r="E85" s="77" t="s">
        <v>135</v>
      </c>
      <c r="F85" s="163" t="s">
        <v>449</v>
      </c>
      <c r="G85" s="77" t="s">
        <v>450</v>
      </c>
      <c r="H85" s="105" t="s">
        <v>21</v>
      </c>
      <c r="I85" s="106" t="s">
        <v>451</v>
      </c>
      <c r="J85" s="167" t="s">
        <v>452</v>
      </c>
      <c r="K85" s="168" t="s">
        <v>453</v>
      </c>
    </row>
    <row r="86" spans="1:11" ht="15.75">
      <c r="A86" s="353" t="s">
        <v>454</v>
      </c>
      <c r="B86" s="127" t="s">
        <v>455</v>
      </c>
      <c r="C86" s="123" t="s">
        <v>456</v>
      </c>
      <c r="D86" s="123">
        <v>2024</v>
      </c>
      <c r="E86" s="123" t="s">
        <v>135</v>
      </c>
      <c r="F86" s="166" t="s">
        <v>457</v>
      </c>
      <c r="G86" s="123" t="s">
        <v>458</v>
      </c>
      <c r="H86" s="75" t="s">
        <v>153</v>
      </c>
      <c r="I86" s="97" t="s">
        <v>459</v>
      </c>
      <c r="J86" s="97" t="s">
        <v>460</v>
      </c>
      <c r="K86" s="136" t="s">
        <v>461</v>
      </c>
    </row>
    <row r="87" spans="1:11" ht="43.5">
      <c r="A87" s="353"/>
      <c r="B87" s="77" t="s">
        <v>462</v>
      </c>
      <c r="C87" s="139" t="s">
        <v>463</v>
      </c>
      <c r="D87" s="77">
        <v>2026</v>
      </c>
      <c r="E87" s="77" t="s">
        <v>135</v>
      </c>
      <c r="F87" s="112" t="s">
        <v>464</v>
      </c>
      <c r="G87" s="130" t="s">
        <v>465</v>
      </c>
      <c r="H87" s="105" t="s">
        <v>153</v>
      </c>
      <c r="I87" s="164" t="s">
        <v>466</v>
      </c>
      <c r="J87" s="165" t="s">
        <v>467</v>
      </c>
      <c r="K87" s="165" t="s">
        <v>468</v>
      </c>
    </row>
    <row r="88" spans="1:11" ht="43.5">
      <c r="A88" s="353"/>
      <c r="B88" s="123" t="s">
        <v>469</v>
      </c>
      <c r="C88" s="158" t="s">
        <v>470</v>
      </c>
      <c r="D88" s="97">
        <v>2023</v>
      </c>
      <c r="E88" s="97" t="s">
        <v>135</v>
      </c>
      <c r="F88" s="127" t="s">
        <v>471</v>
      </c>
      <c r="G88" s="97" t="s">
        <v>472</v>
      </c>
      <c r="H88" s="105" t="s">
        <v>153</v>
      </c>
      <c r="I88" s="97" t="s">
        <v>473</v>
      </c>
      <c r="J88" s="97" t="s">
        <v>474</v>
      </c>
      <c r="K88" s="97" t="s">
        <v>475</v>
      </c>
    </row>
    <row r="89" spans="1:11" ht="45.75">
      <c r="A89" s="353"/>
      <c r="B89" s="77" t="s">
        <v>476</v>
      </c>
      <c r="C89" s="139" t="s">
        <v>477</v>
      </c>
      <c r="D89" s="77">
        <v>2026</v>
      </c>
      <c r="E89" s="77" t="s">
        <v>150</v>
      </c>
      <c r="F89" s="112" t="s">
        <v>478</v>
      </c>
      <c r="G89" s="130" t="s">
        <v>479</v>
      </c>
      <c r="H89" s="105" t="s">
        <v>153</v>
      </c>
      <c r="I89" s="164" t="s">
        <v>480</v>
      </c>
      <c r="J89" s="165" t="s">
        <v>481</v>
      </c>
      <c r="K89" s="165" t="s">
        <v>482</v>
      </c>
    </row>
    <row r="90" spans="1:11" ht="16.5">
      <c r="A90" s="353"/>
      <c r="B90" s="35" t="s">
        <v>483</v>
      </c>
      <c r="C90" s="35"/>
      <c r="D90" s="35"/>
      <c r="E90" s="83"/>
      <c r="F90" s="35"/>
      <c r="G90" s="35"/>
      <c r="H90" s="72" t="s">
        <v>55</v>
      </c>
      <c r="I90" s="35"/>
      <c r="J90" s="35"/>
      <c r="K90" s="35"/>
    </row>
    <row r="91" spans="1:11" ht="16.5">
      <c r="A91" s="353"/>
      <c r="B91" t="s">
        <v>483</v>
      </c>
      <c r="F91" s="34"/>
      <c r="G91" s="34"/>
      <c r="H91" s="72" t="s">
        <v>55</v>
      </c>
      <c r="I91" s="34"/>
      <c r="J91" s="34"/>
      <c r="K91" s="34"/>
    </row>
    <row r="92" spans="1:11" ht="16.5">
      <c r="A92" s="353"/>
      <c r="B92" s="35" t="s">
        <v>483</v>
      </c>
      <c r="C92" s="35"/>
      <c r="D92" s="35"/>
      <c r="E92" s="83"/>
      <c r="F92" s="35"/>
      <c r="G92" s="35"/>
      <c r="H92" s="72" t="s">
        <v>55</v>
      </c>
      <c r="I92" s="35"/>
      <c r="J92" s="35"/>
      <c r="K92" s="35"/>
    </row>
    <row r="93" spans="1:11" ht="16.5">
      <c r="A93" s="353"/>
      <c r="B93" t="s">
        <v>483</v>
      </c>
      <c r="F93" s="34"/>
      <c r="G93" s="34"/>
      <c r="H93" s="72" t="s">
        <v>55</v>
      </c>
      <c r="I93" s="34"/>
      <c r="J93" s="34"/>
      <c r="K93" s="34"/>
    </row>
    <row r="94" spans="1:11" ht="16.5">
      <c r="A94" s="353"/>
      <c r="B94" s="35" t="s">
        <v>483</v>
      </c>
      <c r="C94" s="35"/>
      <c r="D94" s="35"/>
      <c r="E94" s="83"/>
      <c r="F94" s="35"/>
      <c r="G94" s="35"/>
      <c r="H94" s="72" t="s">
        <v>55</v>
      </c>
      <c r="I94" s="35"/>
      <c r="J94" s="35"/>
      <c r="K94" s="35"/>
    </row>
    <row r="95" spans="1:11" ht="16.5">
      <c r="A95" s="353"/>
      <c r="B95" t="s">
        <v>483</v>
      </c>
      <c r="F95" s="34"/>
      <c r="G95" s="34"/>
      <c r="H95" s="72" t="s">
        <v>55</v>
      </c>
      <c r="I95" s="34"/>
      <c r="J95" s="34"/>
      <c r="K95" s="34"/>
    </row>
    <row r="96" spans="1:11" ht="16.5">
      <c r="A96" s="353"/>
      <c r="B96" s="35" t="s">
        <v>483</v>
      </c>
      <c r="C96" s="35"/>
      <c r="D96" s="35"/>
      <c r="E96" s="83"/>
      <c r="F96" s="35"/>
      <c r="G96" s="35"/>
      <c r="H96" s="72" t="s">
        <v>55</v>
      </c>
      <c r="I96" s="35"/>
      <c r="J96" s="35"/>
      <c r="K96" s="35"/>
    </row>
    <row r="97" spans="1:11" ht="16.5">
      <c r="A97" s="358"/>
      <c r="B97" t="s">
        <v>483</v>
      </c>
      <c r="F97" s="34"/>
      <c r="G97" s="34"/>
      <c r="H97" s="72" t="s">
        <v>282</v>
      </c>
      <c r="I97" s="34"/>
      <c r="J97" s="34"/>
      <c r="K97" s="34"/>
    </row>
    <row r="98" spans="1:11" ht="115.5">
      <c r="A98" s="359" t="s">
        <v>484</v>
      </c>
      <c r="B98" s="151" t="s">
        <v>485</v>
      </c>
      <c r="C98" s="152" t="s">
        <v>486</v>
      </c>
      <c r="D98" s="136">
        <v>2026</v>
      </c>
      <c r="E98" s="136" t="s">
        <v>150</v>
      </c>
      <c r="F98" s="127" t="s">
        <v>487</v>
      </c>
      <c r="G98" s="135" t="s">
        <v>488</v>
      </c>
      <c r="H98" s="153" t="s">
        <v>153</v>
      </c>
      <c r="I98" s="251" t="s">
        <v>489</v>
      </c>
      <c r="J98" s="152" t="s">
        <v>490</v>
      </c>
      <c r="K98" s="106" t="s">
        <v>491</v>
      </c>
    </row>
    <row r="99" spans="1:11" ht="57.75">
      <c r="A99" s="353"/>
      <c r="B99" s="128" t="s">
        <v>485</v>
      </c>
      <c r="C99" s="139" t="s">
        <v>492</v>
      </c>
      <c r="D99" s="77">
        <v>2025</v>
      </c>
      <c r="E99" s="77" t="s">
        <v>150</v>
      </c>
      <c r="F99" s="112" t="s">
        <v>487</v>
      </c>
      <c r="G99" s="252" t="s">
        <v>493</v>
      </c>
      <c r="H99" s="105" t="s">
        <v>153</v>
      </c>
      <c r="I99" s="110" t="s">
        <v>494</v>
      </c>
      <c r="J99" s="110" t="s">
        <v>495</v>
      </c>
      <c r="K99" s="110" t="s">
        <v>496</v>
      </c>
    </row>
    <row r="100" spans="1:11" ht="76.5">
      <c r="A100" s="353"/>
      <c r="B100" s="151" t="s">
        <v>497</v>
      </c>
      <c r="C100" s="152" t="s">
        <v>498</v>
      </c>
      <c r="D100" s="104">
        <v>2008</v>
      </c>
      <c r="E100" s="136" t="s">
        <v>18</v>
      </c>
      <c r="F100" s="127" t="s">
        <v>499</v>
      </c>
      <c r="G100" s="121" t="s">
        <v>500</v>
      </c>
      <c r="H100" s="105" t="s">
        <v>153</v>
      </c>
      <c r="I100" s="251" t="s">
        <v>501</v>
      </c>
      <c r="J100" s="152" t="s">
        <v>502</v>
      </c>
      <c r="K100" s="106" t="s">
        <v>503</v>
      </c>
    </row>
    <row r="101" spans="1:11" ht="91.5">
      <c r="A101" s="353"/>
      <c r="B101" s="128" t="s">
        <v>504</v>
      </c>
      <c r="C101" s="77" t="s">
        <v>505</v>
      </c>
      <c r="D101" s="77">
        <v>2020</v>
      </c>
      <c r="E101" s="77" t="s">
        <v>150</v>
      </c>
      <c r="F101" s="112" t="s">
        <v>506</v>
      </c>
      <c r="G101" s="156" t="s">
        <v>507</v>
      </c>
      <c r="H101" s="105" t="s">
        <v>153</v>
      </c>
      <c r="I101" s="110" t="s">
        <v>508</v>
      </c>
      <c r="J101" s="34"/>
      <c r="K101" s="34"/>
    </row>
    <row r="102" spans="1:11" ht="16.5">
      <c r="A102" s="353"/>
      <c r="B102" s="35" t="s">
        <v>483</v>
      </c>
      <c r="C102" s="35"/>
      <c r="D102" s="35"/>
      <c r="E102" s="83"/>
      <c r="F102" s="35"/>
      <c r="G102" s="35"/>
      <c r="H102" s="72" t="s">
        <v>282</v>
      </c>
      <c r="I102" s="35"/>
      <c r="J102" s="35"/>
      <c r="K102" s="35"/>
    </row>
    <row r="103" spans="1:11" ht="16.5">
      <c r="A103" s="353"/>
      <c r="B103" t="s">
        <v>483</v>
      </c>
      <c r="F103" s="34"/>
      <c r="G103" s="34"/>
      <c r="H103" s="72" t="s">
        <v>282</v>
      </c>
      <c r="I103" s="34"/>
      <c r="J103" s="34"/>
      <c r="K103" s="34"/>
    </row>
    <row r="104" spans="1:11" ht="16.5">
      <c r="A104" s="353"/>
      <c r="B104" s="35" t="s">
        <v>483</v>
      </c>
      <c r="C104" s="35"/>
      <c r="D104" s="35"/>
      <c r="E104" s="83"/>
      <c r="F104" s="35"/>
      <c r="G104" s="35"/>
      <c r="H104" s="72" t="s">
        <v>282</v>
      </c>
      <c r="I104" s="35"/>
      <c r="J104" s="35"/>
      <c r="K104" s="35"/>
    </row>
    <row r="105" spans="1:11" ht="16.5">
      <c r="A105" s="353"/>
      <c r="B105" t="s">
        <v>483</v>
      </c>
      <c r="F105" s="34"/>
      <c r="G105" s="34"/>
      <c r="H105" s="72" t="s">
        <v>282</v>
      </c>
      <c r="I105" s="34"/>
      <c r="J105" s="34"/>
      <c r="K105" s="34"/>
    </row>
    <row r="106" spans="1:11" ht="16.5">
      <c r="A106" s="353"/>
      <c r="B106" s="35" t="s">
        <v>483</v>
      </c>
      <c r="C106" s="35"/>
      <c r="D106" s="35"/>
      <c r="E106" s="83"/>
      <c r="F106" s="35"/>
      <c r="G106" s="35"/>
      <c r="H106" s="72" t="s">
        <v>282</v>
      </c>
      <c r="I106" s="35"/>
      <c r="J106" s="35"/>
      <c r="K106" s="35"/>
    </row>
    <row r="107" spans="1:11" ht="16.5">
      <c r="A107" s="353"/>
      <c r="B107" t="s">
        <v>483</v>
      </c>
      <c r="F107" s="34"/>
      <c r="G107" s="34"/>
      <c r="H107" s="72" t="s">
        <v>282</v>
      </c>
      <c r="I107" s="34"/>
      <c r="J107" s="34"/>
      <c r="K107" s="34"/>
    </row>
    <row r="108" spans="1:11" ht="16.5">
      <c r="A108" s="353"/>
      <c r="B108" s="35" t="s">
        <v>483</v>
      </c>
      <c r="C108" s="35"/>
      <c r="D108" s="35"/>
      <c r="E108" s="83"/>
      <c r="F108" s="35"/>
      <c r="G108" s="35"/>
      <c r="H108" s="72" t="s">
        <v>282</v>
      </c>
      <c r="I108" s="35"/>
      <c r="J108" s="35"/>
      <c r="K108" s="35"/>
    </row>
    <row r="109" spans="1:11" ht="16.5">
      <c r="A109" s="353"/>
      <c r="B109" s="41" t="s">
        <v>483</v>
      </c>
      <c r="C109" s="40"/>
      <c r="D109" s="44"/>
      <c r="F109" s="45"/>
      <c r="G109" s="34"/>
      <c r="H109" s="72" t="s">
        <v>282</v>
      </c>
      <c r="I109" s="74"/>
      <c r="J109" s="34"/>
      <c r="K109" s="34"/>
    </row>
    <row r="110" spans="1:11" ht="115.5">
      <c r="A110" s="353" t="s">
        <v>509</v>
      </c>
      <c r="B110" s="47" t="s">
        <v>510</v>
      </c>
      <c r="C110" s="227" t="s">
        <v>511</v>
      </c>
      <c r="D110" s="76" t="s">
        <v>512</v>
      </c>
      <c r="E110" s="83" t="s">
        <v>150</v>
      </c>
      <c r="F110" s="230" t="s">
        <v>513</v>
      </c>
      <c r="G110" s="98" t="s">
        <v>514</v>
      </c>
      <c r="H110" s="72" t="s">
        <v>21</v>
      </c>
      <c r="I110" s="227" t="s">
        <v>515</v>
      </c>
      <c r="J110" s="229" t="s">
        <v>516</v>
      </c>
      <c r="K110" s="217" t="s">
        <v>517</v>
      </c>
    </row>
    <row r="111" spans="1:11" ht="16.5">
      <c r="A111" s="353"/>
      <c r="B111" s="41" t="s">
        <v>518</v>
      </c>
      <c r="C111" t="s">
        <v>519</v>
      </c>
      <c r="D111" s="44">
        <v>45886</v>
      </c>
      <c r="E111" s="33" t="s">
        <v>150</v>
      </c>
      <c r="F111" s="223" t="s">
        <v>520</v>
      </c>
      <c r="G111" s="228" t="s">
        <v>521</v>
      </c>
      <c r="H111" s="72" t="s">
        <v>21</v>
      </c>
      <c r="I111" s="228" t="s">
        <v>522</v>
      </c>
      <c r="J111" s="218"/>
      <c r="K111" s="218" t="s">
        <v>523</v>
      </c>
    </row>
    <row r="112" spans="1:11" ht="57.75">
      <c r="A112" s="353"/>
      <c r="B112" s="47" t="s">
        <v>524</v>
      </c>
      <c r="C112" s="35" t="s">
        <v>525</v>
      </c>
      <c r="D112" s="35" t="s">
        <v>526</v>
      </c>
      <c r="E112" s="83" t="s">
        <v>150</v>
      </c>
      <c r="F112" s="222" t="s">
        <v>527</v>
      </c>
      <c r="G112" s="227" t="s">
        <v>528</v>
      </c>
      <c r="H112" s="72" t="s">
        <v>370</v>
      </c>
      <c r="I112" s="217"/>
      <c r="J112" s="98" t="s">
        <v>529</v>
      </c>
      <c r="K112" s="219" t="s">
        <v>530</v>
      </c>
    </row>
    <row r="113" spans="1:11" ht="101.25">
      <c r="A113" s="353"/>
      <c r="B113" s="41" t="s">
        <v>531</v>
      </c>
      <c r="C113" t="s">
        <v>532</v>
      </c>
      <c r="D113" t="s">
        <v>533</v>
      </c>
      <c r="E113" s="33" t="s">
        <v>150</v>
      </c>
      <c r="F113" s="223" t="s">
        <v>534</v>
      </c>
      <c r="G113" s="226" t="s">
        <v>535</v>
      </c>
      <c r="H113" s="72" t="s">
        <v>21</v>
      </c>
      <c r="I113" s="226" t="s">
        <v>536</v>
      </c>
      <c r="J113" s="228" t="s">
        <v>537</v>
      </c>
      <c r="K113" s="220" t="s">
        <v>538</v>
      </c>
    </row>
    <row r="114" spans="1:11" ht="16.5">
      <c r="A114" s="353"/>
      <c r="B114" s="41" t="s">
        <v>539</v>
      </c>
      <c r="C114" s="35" t="s">
        <v>540</v>
      </c>
      <c r="D114" s="76">
        <v>45988</v>
      </c>
      <c r="E114" s="83" t="s">
        <v>150</v>
      </c>
      <c r="F114" s="222" t="s">
        <v>541</v>
      </c>
      <c r="G114" t="s">
        <v>542</v>
      </c>
      <c r="H114" s="72" t="s">
        <v>21</v>
      </c>
      <c r="I114" s="227" t="s">
        <v>543</v>
      </c>
      <c r="J114" t="s">
        <v>544</v>
      </c>
      <c r="K114" s="225" t="s">
        <v>545</v>
      </c>
    </row>
    <row r="115" spans="1:11" ht="152.25">
      <c r="A115" s="353"/>
      <c r="B115" s="253" t="s">
        <v>546</v>
      </c>
      <c r="C115" t="s">
        <v>547</v>
      </c>
      <c r="D115" s="44">
        <v>46006</v>
      </c>
      <c r="E115" s="33" t="s">
        <v>150</v>
      </c>
      <c r="F115" s="45" t="s">
        <v>548</v>
      </c>
      <c r="G115" s="156" t="s">
        <v>549</v>
      </c>
      <c r="H115" s="72" t="s">
        <v>21</v>
      </c>
      <c r="I115" s="224" t="s">
        <v>550</v>
      </c>
      <c r="J115" s="224" t="s">
        <v>551</v>
      </c>
      <c r="K115" s="156" t="s">
        <v>552</v>
      </c>
    </row>
    <row r="116" spans="1:11" ht="16.5">
      <c r="A116" s="353"/>
      <c r="B116" s="47" t="s">
        <v>539</v>
      </c>
      <c r="C116" s="35" t="s">
        <v>540</v>
      </c>
      <c r="D116" s="35"/>
      <c r="E116" s="83"/>
      <c r="F116" s="35"/>
      <c r="G116" s="35"/>
      <c r="H116" s="72" t="s">
        <v>282</v>
      </c>
      <c r="I116" s="35" t="s">
        <v>553</v>
      </c>
      <c r="J116" s="35"/>
      <c r="K116" s="35"/>
    </row>
    <row r="117" spans="1:11" ht="16.5">
      <c r="A117" s="353"/>
      <c r="B117" s="41" t="s">
        <v>554</v>
      </c>
      <c r="C117" t="s">
        <v>555</v>
      </c>
      <c r="D117" t="s">
        <v>556</v>
      </c>
      <c r="E117" s="33" t="s">
        <v>150</v>
      </c>
      <c r="F117" s="45" t="s">
        <v>557</v>
      </c>
      <c r="G117" s="254" t="s">
        <v>558</v>
      </c>
      <c r="H117" s="72" t="s">
        <v>21</v>
      </c>
      <c r="I117" s="224" t="s">
        <v>559</v>
      </c>
      <c r="J117" t="s">
        <v>560</v>
      </c>
      <c r="K117" s="224" t="s">
        <v>561</v>
      </c>
    </row>
    <row r="118" spans="1:11" ht="15.75">
      <c r="A118" s="353"/>
      <c r="B118" s="47" t="s">
        <v>562</v>
      </c>
      <c r="C118" s="225" t="s">
        <v>563</v>
      </c>
      <c r="D118" s="35" t="s">
        <v>564</v>
      </c>
      <c r="E118" s="83" t="s">
        <v>150</v>
      </c>
      <c r="F118" s="41" t="s">
        <v>565</v>
      </c>
      <c r="G118" s="35"/>
      <c r="H118" s="72"/>
      <c r="I118" s="35"/>
      <c r="J118" s="35"/>
      <c r="K118" s="35"/>
    </row>
    <row r="119" spans="1:11" ht="16.5">
      <c r="A119" s="353"/>
      <c r="B119" t="s">
        <v>483</v>
      </c>
      <c r="F119" s="35"/>
      <c r="G119" s="34"/>
      <c r="H119" s="72" t="s">
        <v>282</v>
      </c>
      <c r="I119" s="34"/>
      <c r="J119" s="34"/>
      <c r="K119" s="34"/>
    </row>
    <row r="120" spans="1:11" ht="28.5">
      <c r="A120" s="353"/>
      <c r="B120" s="47" t="s">
        <v>566</v>
      </c>
      <c r="C120" s="42" t="s">
        <v>567</v>
      </c>
      <c r="D120" s="76">
        <v>45924</v>
      </c>
      <c r="E120" s="83" t="s">
        <v>135</v>
      </c>
      <c r="F120" s="47" t="s">
        <v>568</v>
      </c>
      <c r="G120" s="35"/>
      <c r="H120" s="75" t="s">
        <v>282</v>
      </c>
      <c r="I120" s="35" t="s">
        <v>569</v>
      </c>
      <c r="J120" s="35"/>
      <c r="K120" s="35"/>
    </row>
    <row r="121" spans="1:11" ht="45.75">
      <c r="A121" s="353"/>
      <c r="B121" t="s">
        <v>570</v>
      </c>
      <c r="C121" s="40" t="s">
        <v>571</v>
      </c>
      <c r="F121" s="34"/>
      <c r="G121" s="34"/>
      <c r="H121" s="75" t="s">
        <v>21</v>
      </c>
      <c r="I121" s="34"/>
      <c r="J121" s="34"/>
      <c r="K121" s="34"/>
    </row>
    <row r="122" spans="1:11" ht="16.5">
      <c r="A122" s="353" t="s">
        <v>572</v>
      </c>
      <c r="B122" s="35" t="s">
        <v>483</v>
      </c>
      <c r="C122" s="35"/>
      <c r="D122" s="35"/>
      <c r="E122" s="83"/>
      <c r="F122" s="35"/>
      <c r="G122" s="35"/>
      <c r="H122" s="72" t="s">
        <v>282</v>
      </c>
      <c r="I122" s="35" t="s">
        <v>370</v>
      </c>
      <c r="J122" s="35"/>
      <c r="K122" s="35"/>
    </row>
    <row r="123" spans="1:11" ht="16.5">
      <c r="A123" s="353"/>
      <c r="B123" t="s">
        <v>483</v>
      </c>
      <c r="F123" s="34"/>
      <c r="G123" s="34"/>
      <c r="H123" s="72" t="s">
        <v>282</v>
      </c>
      <c r="I123" s="34" t="s">
        <v>370</v>
      </c>
      <c r="J123" s="34"/>
      <c r="K123" s="34"/>
    </row>
    <row r="124" spans="1:11" ht="16.5">
      <c r="A124" s="353"/>
      <c r="B124" s="35" t="s">
        <v>483</v>
      </c>
      <c r="C124" s="35"/>
      <c r="D124" s="35"/>
      <c r="E124" s="83"/>
      <c r="F124" s="35"/>
      <c r="G124" s="35"/>
      <c r="H124" s="72" t="s">
        <v>282</v>
      </c>
      <c r="I124" s="35" t="s">
        <v>370</v>
      </c>
      <c r="J124" s="35"/>
      <c r="K124" s="35"/>
    </row>
    <row r="125" spans="1:11" ht="16.5">
      <c r="A125" s="353"/>
      <c r="B125" t="s">
        <v>483</v>
      </c>
      <c r="F125" s="34"/>
      <c r="G125" s="34"/>
      <c r="H125" s="72" t="s">
        <v>282</v>
      </c>
      <c r="I125" s="34" t="s">
        <v>370</v>
      </c>
      <c r="J125" s="34"/>
      <c r="K125" s="34"/>
    </row>
    <row r="126" spans="1:11" ht="16.5">
      <c r="A126" s="353"/>
      <c r="B126" s="35" t="s">
        <v>483</v>
      </c>
      <c r="C126" s="35"/>
      <c r="D126" s="35"/>
      <c r="E126" s="83"/>
      <c r="F126" s="35"/>
      <c r="G126" s="35"/>
      <c r="H126" s="72" t="s">
        <v>282</v>
      </c>
      <c r="I126" s="35" t="s">
        <v>370</v>
      </c>
      <c r="J126" s="35"/>
      <c r="K126" s="35"/>
    </row>
    <row r="127" spans="1:11" ht="16.5">
      <c r="A127" s="353"/>
      <c r="B127" t="s">
        <v>483</v>
      </c>
      <c r="F127" s="34"/>
      <c r="G127" s="34"/>
      <c r="H127" s="72" t="s">
        <v>282</v>
      </c>
      <c r="I127" s="34" t="s">
        <v>370</v>
      </c>
      <c r="J127" s="34"/>
      <c r="K127" s="34"/>
    </row>
    <row r="128" spans="1:11" ht="57.75">
      <c r="A128" s="353"/>
      <c r="B128" s="35" t="s">
        <v>573</v>
      </c>
      <c r="C128" s="42" t="s">
        <v>650</v>
      </c>
      <c r="D128" s="35"/>
      <c r="E128" s="83"/>
      <c r="F128" s="35"/>
      <c r="G128" s="35"/>
      <c r="H128" s="75" t="s">
        <v>21</v>
      </c>
      <c r="I128" s="35"/>
      <c r="J128" s="35"/>
      <c r="K128" s="35"/>
    </row>
    <row r="129" spans="1:11" ht="30.75">
      <c r="A129" s="353"/>
      <c r="B129" t="s">
        <v>585</v>
      </c>
      <c r="C129" s="40" t="s">
        <v>586</v>
      </c>
      <c r="D129" s="107">
        <v>37967</v>
      </c>
      <c r="F129" s="34"/>
      <c r="G129" s="34"/>
      <c r="H129" s="72" t="s">
        <v>282</v>
      </c>
      <c r="I129" s="34" t="s">
        <v>587</v>
      </c>
      <c r="J129" s="34"/>
      <c r="K129" s="34"/>
    </row>
    <row r="130" spans="1:11" ht="43.5">
      <c r="A130" s="353"/>
      <c r="B130" s="35" t="s">
        <v>483</v>
      </c>
      <c r="C130" s="42" t="s">
        <v>588</v>
      </c>
      <c r="D130" s="35"/>
      <c r="E130" s="83"/>
      <c r="F130" s="35"/>
      <c r="G130" s="35"/>
      <c r="H130" s="72" t="s">
        <v>282</v>
      </c>
      <c r="I130" s="35" t="s">
        <v>587</v>
      </c>
      <c r="J130" s="35"/>
      <c r="K130" s="35"/>
    </row>
    <row r="131" spans="1:11" ht="30.75">
      <c r="A131" s="353"/>
      <c r="B131" s="41" t="s">
        <v>589</v>
      </c>
      <c r="C131" s="40" t="s">
        <v>590</v>
      </c>
      <c r="D131" s="44">
        <v>45088</v>
      </c>
      <c r="E131" s="33" t="s">
        <v>135</v>
      </c>
      <c r="F131" s="45" t="s">
        <v>591</v>
      </c>
      <c r="G131" s="34"/>
      <c r="H131" s="75" t="s">
        <v>153</v>
      </c>
      <c r="I131" s="34"/>
      <c r="J131" s="34"/>
      <c r="K131" s="34"/>
    </row>
    <row r="132" spans="1:11" ht="32.25">
      <c r="A132" s="353"/>
      <c r="B132" s="35" t="s">
        <v>594</v>
      </c>
      <c r="C132" s="72" t="s">
        <v>595</v>
      </c>
      <c r="D132" s="35" t="s">
        <v>596</v>
      </c>
      <c r="E132" s="83" t="s">
        <v>64</v>
      </c>
      <c r="F132" s="35"/>
      <c r="G132" s="35"/>
      <c r="H132" s="72" t="s">
        <v>282</v>
      </c>
      <c r="I132" s="35" t="s">
        <v>597</v>
      </c>
      <c r="J132" s="35"/>
      <c r="K132" s="35"/>
    </row>
    <row r="133" spans="1:11" ht="45.75">
      <c r="A133" s="353"/>
      <c r="B133" t="s">
        <v>598</v>
      </c>
      <c r="C133" s="40" t="s">
        <v>651</v>
      </c>
      <c r="D133" s="40" t="s">
        <v>652</v>
      </c>
      <c r="E133" s="33" t="s">
        <v>653</v>
      </c>
      <c r="F133" s="45" t="s">
        <v>601</v>
      </c>
      <c r="G133" s="34"/>
      <c r="H133" s="75" t="s">
        <v>153</v>
      </c>
      <c r="I133" s="34"/>
      <c r="J133" s="34"/>
      <c r="K133" s="34"/>
    </row>
    <row r="134" spans="1:11" ht="43.5">
      <c r="A134" s="353" t="s">
        <v>572</v>
      </c>
      <c r="B134" s="35" t="s">
        <v>654</v>
      </c>
      <c r="C134" s="42" t="s">
        <v>611</v>
      </c>
      <c r="D134" s="92">
        <v>44287</v>
      </c>
      <c r="E134" s="83" t="s">
        <v>64</v>
      </c>
      <c r="F134" s="47" t="s">
        <v>612</v>
      </c>
      <c r="G134" s="35"/>
      <c r="H134" s="75" t="s">
        <v>153</v>
      </c>
      <c r="I134" s="35"/>
      <c r="J134" s="35"/>
      <c r="K134" s="35"/>
    </row>
    <row r="135" spans="1:11" ht="30.75">
      <c r="A135" s="353"/>
      <c r="B135" s="41" t="s">
        <v>615</v>
      </c>
      <c r="C135" s="40" t="s">
        <v>616</v>
      </c>
      <c r="D135" s="44">
        <v>45800</v>
      </c>
      <c r="E135" s="33" t="s">
        <v>135</v>
      </c>
      <c r="F135" s="45" t="s">
        <v>617</v>
      </c>
      <c r="G135" s="34"/>
      <c r="H135" s="75" t="s">
        <v>153</v>
      </c>
      <c r="I135" s="34"/>
      <c r="J135" s="34"/>
      <c r="K135" s="34"/>
    </row>
    <row r="136" spans="1:11" ht="16.5">
      <c r="A136" s="353"/>
      <c r="B136" s="35" t="s">
        <v>619</v>
      </c>
      <c r="C136" s="35" t="s">
        <v>620</v>
      </c>
      <c r="D136" s="107">
        <v>40148</v>
      </c>
      <c r="E136" s="83" t="s">
        <v>621</v>
      </c>
      <c r="F136" s="47" t="s">
        <v>622</v>
      </c>
      <c r="G136" s="35"/>
      <c r="H136" s="72" t="s">
        <v>282</v>
      </c>
      <c r="I136" s="35" t="s">
        <v>587</v>
      </c>
      <c r="J136" s="35"/>
      <c r="K136" s="35"/>
    </row>
    <row r="137" spans="1:11" ht="16.5">
      <c r="A137" s="353"/>
      <c r="B137" t="s">
        <v>483</v>
      </c>
      <c r="F137" s="34"/>
      <c r="G137" s="34"/>
      <c r="H137" s="72" t="s">
        <v>282</v>
      </c>
      <c r="I137" s="34"/>
      <c r="J137" s="34"/>
      <c r="K137" s="34"/>
    </row>
    <row r="138" spans="1:11">
      <c r="A138" s="353"/>
      <c r="B138" s="35"/>
      <c r="C138" s="35"/>
      <c r="D138" s="35"/>
      <c r="E138" s="83"/>
      <c r="F138" s="35"/>
      <c r="G138" s="35"/>
      <c r="H138" s="35"/>
      <c r="I138" s="35"/>
      <c r="J138" s="35"/>
      <c r="K138" s="35"/>
    </row>
    <row r="139" spans="1:11">
      <c r="A139" s="353"/>
      <c r="F139" s="34"/>
      <c r="G139" s="34"/>
      <c r="H139" s="34"/>
      <c r="I139" s="34"/>
      <c r="J139" s="34"/>
      <c r="K139" s="34"/>
    </row>
    <row r="140" spans="1:11">
      <c r="A140" s="353"/>
      <c r="B140" s="35"/>
      <c r="C140" s="35"/>
      <c r="D140" s="35"/>
      <c r="E140" s="83"/>
      <c r="F140" s="35"/>
      <c r="G140" s="35"/>
      <c r="H140" s="35"/>
      <c r="I140" s="35"/>
      <c r="J140" s="35"/>
      <c r="K140" s="35"/>
    </row>
    <row r="141" spans="1:11">
      <c r="A141" s="353"/>
      <c r="D141" s="34"/>
      <c r="E141" s="91"/>
      <c r="F141" s="34"/>
      <c r="G141" s="28"/>
    </row>
    <row r="142" spans="1:11">
      <c r="A142" s="353"/>
    </row>
    <row r="143" spans="1:11">
      <c r="A143" s="353"/>
    </row>
    <row r="144" spans="1:11">
      <c r="A144" s="353"/>
    </row>
    <row r="145" spans="1:7">
      <c r="A145" s="353"/>
    </row>
    <row r="152" spans="1:7">
      <c r="B152" s="25" t="str">
        <f>IF(C152="","","PID-"&amp;TEXT(ROW()-2,"0000"))</f>
        <v/>
      </c>
      <c r="D152" s="25"/>
      <c r="F152" s="25"/>
      <c r="G152" s="25"/>
    </row>
    <row r="153" spans="1:7">
      <c r="B153" s="25" t="str">
        <f>IF(C153="","","PID-"&amp;TEXT(ROW()-2,"0000"))</f>
        <v/>
      </c>
      <c r="D153" s="25"/>
      <c r="F153" s="25"/>
      <c r="G153" s="25"/>
    </row>
    <row r="154" spans="1:7">
      <c r="B154" s="25" t="str">
        <f>IF(C154="","","PID-"&amp;TEXT(ROW()-2,"0000"))</f>
        <v/>
      </c>
      <c r="D154" s="25"/>
      <c r="F154" s="25"/>
      <c r="G154" s="25"/>
    </row>
    <row r="155" spans="1:7">
      <c r="B155" s="25" t="str">
        <f>IF(C155="","","PID-"&amp;TEXT(ROW()-2,"0000"))</f>
        <v/>
      </c>
      <c r="D155" s="25"/>
      <c r="F155" s="25"/>
      <c r="G155" s="25"/>
    </row>
    <row r="156" spans="1:7">
      <c r="B156" s="25" t="str">
        <f>IF(C156="","","PID-"&amp;TEXT(ROW()-2,"0000"))</f>
        <v/>
      </c>
      <c r="D156" s="25"/>
      <c r="F156" s="25"/>
      <c r="G156" s="25"/>
    </row>
    <row r="157" spans="1:7">
      <c r="B157" s="25" t="str">
        <f>IF(C157="","","PID-"&amp;TEXT(ROW()-2,"0000"))</f>
        <v/>
      </c>
      <c r="D157" s="25"/>
      <c r="F157" s="25"/>
      <c r="G157" s="25"/>
    </row>
    <row r="158" spans="1:7">
      <c r="B158" s="25" t="str">
        <f>IF(C158="","","PID-"&amp;TEXT(ROW()-2,"0000"))</f>
        <v/>
      </c>
      <c r="C158" s="25"/>
      <c r="D158" s="25"/>
      <c r="F158" s="25"/>
      <c r="G158" s="25"/>
    </row>
    <row r="159" spans="1:7">
      <c r="B159" s="25" t="str">
        <f>IF(C159="","","PID-"&amp;TEXT(ROW()-2,"0000"))</f>
        <v/>
      </c>
      <c r="C159" s="25"/>
      <c r="D159" s="25"/>
      <c r="E159" s="255"/>
      <c r="F159" s="25"/>
      <c r="G159" s="25"/>
    </row>
    <row r="160" spans="1:7">
      <c r="B160" s="25" t="str">
        <f>IF(C160="","","PID-"&amp;TEXT(ROW()-2,"0000"))</f>
        <v/>
      </c>
      <c r="C160" s="25"/>
      <c r="D160" s="25"/>
      <c r="E160" s="255"/>
      <c r="F160" s="25"/>
      <c r="G160" s="25"/>
    </row>
    <row r="161" spans="2:7">
      <c r="B161" s="25" t="str">
        <f>IF(C161="","","PID-"&amp;TEXT(ROW()-2,"0000"))</f>
        <v/>
      </c>
      <c r="C161" s="25"/>
      <c r="D161" s="25"/>
      <c r="E161" s="255"/>
      <c r="F161" s="25"/>
      <c r="G161" s="25"/>
    </row>
    <row r="162" spans="2:7">
      <c r="B162" s="25" t="str">
        <f>IF(C162="","","PID-"&amp;TEXT(ROW()-2,"0000"))</f>
        <v/>
      </c>
      <c r="C162" s="25"/>
      <c r="D162" s="25"/>
      <c r="E162" s="255"/>
      <c r="F162" s="25"/>
      <c r="G162" s="25"/>
    </row>
    <row r="163" spans="2:7">
      <c r="B163" s="25" t="str">
        <f>IF(C163="","","PID-"&amp;TEXT(ROW()-2,"0000"))</f>
        <v/>
      </c>
      <c r="C163" s="25"/>
      <c r="D163" s="25"/>
      <c r="E163" s="255"/>
      <c r="F163" s="25"/>
      <c r="G163" s="25"/>
    </row>
    <row r="164" spans="2:7">
      <c r="B164" s="25" t="str">
        <f>IF(C164="","","PID-"&amp;TEXT(ROW()-2,"0000"))</f>
        <v/>
      </c>
      <c r="C164" s="25"/>
      <c r="D164" s="25"/>
      <c r="E164" s="255"/>
      <c r="F164" s="25"/>
      <c r="G164" s="25"/>
    </row>
    <row r="165" spans="2:7">
      <c r="B165" s="25" t="str">
        <f>IF(C165="","","PID-"&amp;TEXT(ROW()-2,"0000"))</f>
        <v/>
      </c>
      <c r="C165" s="25"/>
      <c r="D165" s="25"/>
      <c r="E165" s="255"/>
      <c r="F165" s="25"/>
      <c r="G165" s="25"/>
    </row>
    <row r="166" spans="2:7">
      <c r="B166" s="25" t="str">
        <f>IF(C166="","","PID-"&amp;TEXT(ROW()-2,"0000"))</f>
        <v/>
      </c>
      <c r="C166" s="25"/>
      <c r="D166" s="25"/>
      <c r="E166" s="255"/>
      <c r="F166" s="25"/>
      <c r="G166" s="25"/>
    </row>
    <row r="167" spans="2:7">
      <c r="B167" s="25" t="str">
        <f>IF(C167="","","PID-"&amp;TEXT(ROW()-2,"0000"))</f>
        <v/>
      </c>
      <c r="C167" s="25"/>
      <c r="D167" s="25"/>
      <c r="E167" s="255"/>
      <c r="F167" s="25"/>
      <c r="G167" s="25"/>
    </row>
    <row r="168" spans="2:7">
      <c r="B168" s="25" t="str">
        <f>IF(C168="","","PID-"&amp;TEXT(ROW()-2,"0000"))</f>
        <v/>
      </c>
      <c r="C168" s="25"/>
      <c r="D168" s="25"/>
      <c r="E168" s="255"/>
      <c r="F168" s="25"/>
      <c r="G168" s="25"/>
    </row>
    <row r="169" spans="2:7">
      <c r="B169" s="25" t="str">
        <f>IF(C169="","","PID-"&amp;TEXT(ROW()-2,"0000"))</f>
        <v/>
      </c>
      <c r="C169" s="25"/>
      <c r="D169" s="25"/>
      <c r="E169" s="255"/>
      <c r="F169" s="25"/>
      <c r="G169" s="25"/>
    </row>
    <row r="170" spans="2:7">
      <c r="B170" s="25" t="str">
        <f>IF(C170="","","PID-"&amp;TEXT(ROW()-2,"0000"))</f>
        <v/>
      </c>
      <c r="C170" s="25"/>
      <c r="D170" s="25"/>
      <c r="E170" s="255"/>
      <c r="F170" s="25"/>
      <c r="G170" s="25"/>
    </row>
    <row r="171" spans="2:7">
      <c r="B171" s="25" t="str">
        <f>IF(C171="","","PID-"&amp;TEXT(ROW()-2,"0000"))</f>
        <v/>
      </c>
      <c r="C171" s="25"/>
      <c r="D171" s="25"/>
      <c r="E171" s="255"/>
      <c r="F171" s="25"/>
      <c r="G171" s="25"/>
    </row>
    <row r="172" spans="2:7">
      <c r="B172" s="25" t="str">
        <f>IF(C172="","","PID-"&amp;TEXT(ROW()-2,"0000"))</f>
        <v/>
      </c>
      <c r="C172" s="25"/>
      <c r="D172" s="25"/>
      <c r="E172" s="255"/>
      <c r="F172" s="25"/>
      <c r="G172" s="25"/>
    </row>
    <row r="173" spans="2:7">
      <c r="B173" s="25" t="str">
        <f>IF(C173="","","PID-"&amp;TEXT(ROW()-2,"0000"))</f>
        <v/>
      </c>
      <c r="C173" s="25"/>
      <c r="D173" s="25"/>
      <c r="E173" s="255"/>
      <c r="F173" s="25"/>
      <c r="G173" s="25"/>
    </row>
    <row r="174" spans="2:7">
      <c r="B174" s="25" t="str">
        <f>IF(C174="","","PID-"&amp;TEXT(ROW()-2,"0000"))</f>
        <v/>
      </c>
      <c r="C174" s="25"/>
      <c r="D174" s="25"/>
      <c r="E174" s="255"/>
      <c r="F174" s="25"/>
      <c r="G174" s="25"/>
    </row>
    <row r="175" spans="2:7">
      <c r="B175" s="25" t="str">
        <f>IF(C175="","","PID-"&amp;TEXT(ROW()-2,"0000"))</f>
        <v/>
      </c>
      <c r="C175" s="25"/>
      <c r="D175" s="25"/>
      <c r="E175" s="255"/>
      <c r="F175" s="25"/>
      <c r="G175" s="25"/>
    </row>
    <row r="176" spans="2:7">
      <c r="B176" s="25" t="str">
        <f>IF(C176="","","PID-"&amp;TEXT(ROW()-2,"0000"))</f>
        <v/>
      </c>
      <c r="C176" s="25"/>
      <c r="D176" s="25"/>
      <c r="E176" s="255"/>
      <c r="F176" s="25"/>
      <c r="G176" s="25"/>
    </row>
    <row r="177" spans="2:7">
      <c r="B177" s="25" t="str">
        <f>IF(C177="","","PID-"&amp;TEXT(ROW()-2,"0000"))</f>
        <v/>
      </c>
      <c r="C177" s="25"/>
      <c r="D177" s="25"/>
      <c r="E177" s="255"/>
      <c r="F177" s="25"/>
      <c r="G177" s="25"/>
    </row>
    <row r="178" spans="2:7">
      <c r="B178" s="25" t="str">
        <f>IF(C178="","","PID-"&amp;TEXT(ROW()-2,"0000"))</f>
        <v/>
      </c>
      <c r="C178" s="25"/>
      <c r="D178" s="25"/>
      <c r="E178" s="255"/>
      <c r="F178" s="25"/>
      <c r="G178" s="25"/>
    </row>
    <row r="179" spans="2:7">
      <c r="B179" s="25" t="str">
        <f>IF(C179="","","PID-"&amp;TEXT(ROW()-2,"0000"))</f>
        <v/>
      </c>
      <c r="C179" s="25"/>
      <c r="D179" s="25"/>
      <c r="E179" s="255"/>
      <c r="F179" s="25"/>
      <c r="G179" s="25"/>
    </row>
    <row r="180" spans="2:7">
      <c r="B180" s="25" t="str">
        <f>IF(C180="","","PID-"&amp;TEXT(ROW()-2,"0000"))</f>
        <v/>
      </c>
      <c r="C180" s="25"/>
      <c r="D180" s="25"/>
      <c r="E180" s="255"/>
      <c r="F180" s="25"/>
      <c r="G180" s="25"/>
    </row>
    <row r="181" spans="2:7">
      <c r="B181" s="25" t="str">
        <f>IF(C181="","","PID-"&amp;TEXT(ROW()-2,"0000"))</f>
        <v/>
      </c>
      <c r="C181" s="25"/>
      <c r="D181" s="25"/>
      <c r="E181" s="255"/>
      <c r="F181" s="25"/>
      <c r="G181" s="25"/>
    </row>
    <row r="182" spans="2:7">
      <c r="B182" s="25" t="str">
        <f>IF(C182="","","PID-"&amp;TEXT(ROW()-2,"0000"))</f>
        <v/>
      </c>
      <c r="C182" s="25"/>
      <c r="D182" s="25"/>
      <c r="E182" s="255"/>
      <c r="F182" s="25"/>
      <c r="G182" s="25"/>
    </row>
    <row r="183" spans="2:7">
      <c r="B183" s="25" t="str">
        <f>IF(C183="","","PID-"&amp;TEXT(ROW()-2,"0000"))</f>
        <v/>
      </c>
      <c r="C183" s="25"/>
      <c r="D183" s="25"/>
      <c r="E183" s="255"/>
      <c r="F183" s="25"/>
      <c r="G183" s="25"/>
    </row>
    <row r="184" spans="2:7">
      <c r="B184" s="25" t="str">
        <f>IF(C184="","","PID-"&amp;TEXT(ROW()-2,"0000"))</f>
        <v/>
      </c>
      <c r="C184" s="25"/>
      <c r="D184" s="25"/>
      <c r="E184" s="255"/>
      <c r="F184" s="25"/>
      <c r="G184" s="25"/>
    </row>
    <row r="185" spans="2:7">
      <c r="B185" s="25" t="str">
        <f>IF(C185="","","PID-"&amp;TEXT(ROW()-2,"0000"))</f>
        <v/>
      </c>
      <c r="C185" s="25"/>
      <c r="D185" s="25"/>
      <c r="E185" s="255"/>
      <c r="F185" s="25"/>
      <c r="G185" s="25"/>
    </row>
    <row r="186" spans="2:7">
      <c r="B186" s="25" t="str">
        <f>IF(C186="","","PID-"&amp;TEXT(ROW()-2,"0000"))</f>
        <v/>
      </c>
      <c r="C186" s="25"/>
      <c r="D186" s="25"/>
      <c r="E186" s="255"/>
      <c r="F186" s="25"/>
      <c r="G186" s="25"/>
    </row>
    <row r="187" spans="2:7">
      <c r="B187" s="25" t="str">
        <f>IF(C187="","","PID-"&amp;TEXT(ROW()-2,"0000"))</f>
        <v/>
      </c>
      <c r="C187" s="25"/>
      <c r="D187" s="25"/>
      <c r="E187" s="255"/>
      <c r="F187" s="25"/>
      <c r="G187" s="25"/>
    </row>
    <row r="188" spans="2:7">
      <c r="B188" s="25" t="str">
        <f>IF(C188="","","PID-"&amp;TEXT(ROW()-2,"0000"))</f>
        <v/>
      </c>
      <c r="C188" s="25"/>
      <c r="D188" s="25"/>
      <c r="E188" s="255"/>
      <c r="F188" s="25"/>
      <c r="G188" s="25"/>
    </row>
    <row r="189" spans="2:7">
      <c r="B189" s="25" t="str">
        <f>IF(C189="","","PID-"&amp;TEXT(ROW()-2,"0000"))</f>
        <v/>
      </c>
      <c r="C189" s="25"/>
      <c r="D189" s="25"/>
      <c r="E189" s="255"/>
      <c r="F189" s="25"/>
      <c r="G189" s="25"/>
    </row>
    <row r="190" spans="2:7">
      <c r="B190" s="25" t="str">
        <f>IF(C190="","","PID-"&amp;TEXT(ROW()-2,"0000"))</f>
        <v/>
      </c>
      <c r="C190" s="25"/>
      <c r="D190" s="25"/>
      <c r="E190" s="255"/>
      <c r="F190" s="25"/>
      <c r="G190" s="25"/>
    </row>
    <row r="191" spans="2:7">
      <c r="B191" s="25" t="str">
        <f>IF(C191="","","PID-"&amp;TEXT(ROW()-2,"0000"))</f>
        <v/>
      </c>
      <c r="C191" s="25"/>
      <c r="D191" s="25"/>
      <c r="E191" s="255"/>
      <c r="F191" s="25"/>
      <c r="G191" s="25"/>
    </row>
    <row r="192" spans="2:7">
      <c r="B192" s="25" t="str">
        <f>IF(C192="","","PID-"&amp;TEXT(ROW()-2,"0000"))</f>
        <v/>
      </c>
      <c r="C192" s="25"/>
      <c r="D192" s="25"/>
      <c r="E192" s="255"/>
      <c r="F192" s="25"/>
      <c r="G192" s="25"/>
    </row>
    <row r="193" spans="2:7">
      <c r="B193" s="25" t="str">
        <f>IF(C193="","","PID-"&amp;TEXT(ROW()-2,"0000"))</f>
        <v/>
      </c>
      <c r="C193" s="25"/>
      <c r="D193" s="25"/>
      <c r="E193" s="255"/>
      <c r="F193" s="25"/>
      <c r="G193" s="25"/>
    </row>
    <row r="194" spans="2:7">
      <c r="B194" s="25" t="str">
        <f>IF(C194="","","PID-"&amp;TEXT(ROW()-2,"0000"))</f>
        <v/>
      </c>
      <c r="C194" s="25"/>
      <c r="D194" s="25"/>
      <c r="E194" s="255"/>
      <c r="F194" s="25"/>
      <c r="G194" s="25"/>
    </row>
    <row r="195" spans="2:7">
      <c r="B195" s="25" t="str">
        <f>IF(C195="","","PID-"&amp;TEXT(ROW()-2,"0000"))</f>
        <v/>
      </c>
      <c r="C195" s="25"/>
      <c r="D195" s="25"/>
      <c r="E195" s="255"/>
      <c r="F195" s="25"/>
      <c r="G195" s="25"/>
    </row>
    <row r="196" spans="2:7">
      <c r="B196" s="25" t="str">
        <f>IF(C196="","","PID-"&amp;TEXT(ROW()-2,"0000"))</f>
        <v/>
      </c>
      <c r="C196" s="25"/>
      <c r="D196" s="25"/>
      <c r="E196" s="255"/>
      <c r="F196" s="25"/>
      <c r="G196" s="25"/>
    </row>
    <row r="197" spans="2:7">
      <c r="B197" s="25" t="str">
        <f>IF(C197="","","PID-"&amp;TEXT(ROW()-2,"0000"))</f>
        <v/>
      </c>
      <c r="C197" s="25"/>
      <c r="D197" s="25"/>
      <c r="E197" s="255"/>
      <c r="F197" s="25"/>
      <c r="G197" s="25"/>
    </row>
    <row r="198" spans="2:7">
      <c r="B198" s="25" t="str">
        <f>IF(C198="","","PID-"&amp;TEXT(ROW()-2,"0000"))</f>
        <v/>
      </c>
      <c r="C198" s="25"/>
      <c r="D198" s="25"/>
      <c r="E198" s="255"/>
      <c r="F198" s="25"/>
      <c r="G198" s="25"/>
    </row>
    <row r="199" spans="2:7">
      <c r="B199" s="25" t="str">
        <f>IF(C199="","","PID-"&amp;TEXT(ROW()-2,"0000"))</f>
        <v/>
      </c>
      <c r="C199" s="25"/>
      <c r="D199" s="25"/>
      <c r="E199" s="255"/>
      <c r="F199" s="25"/>
      <c r="G199" s="25"/>
    </row>
    <row r="200" spans="2:7">
      <c r="B200" s="25" t="str">
        <f>IF(C200="","","PID-"&amp;TEXT(ROW()-2,"0000"))</f>
        <v/>
      </c>
      <c r="C200" s="25"/>
      <c r="D200" s="25"/>
      <c r="E200" s="255"/>
      <c r="F200" s="25"/>
      <c r="G200" s="25"/>
    </row>
    <row r="201" spans="2:7">
      <c r="B201" s="25" t="str">
        <f>IF(C201="","","PID-"&amp;TEXT(ROW()-2,"0000"))</f>
        <v/>
      </c>
      <c r="C201" s="25"/>
      <c r="D201" s="25"/>
      <c r="E201" s="255"/>
      <c r="F201" s="25"/>
      <c r="G201" s="25"/>
    </row>
    <row r="202" spans="2:7">
      <c r="B202" s="25" t="str">
        <f>IF(C202="","","PID-"&amp;TEXT(ROW()-2,"0000"))</f>
        <v/>
      </c>
      <c r="C202" s="25"/>
      <c r="D202" s="25"/>
      <c r="E202" s="255"/>
      <c r="F202" s="25"/>
      <c r="G202" s="25"/>
    </row>
    <row r="203" spans="2:7">
      <c r="B203" s="25" t="str">
        <f>IF(C203="","","PID-"&amp;TEXT(ROW()-2,"0000"))</f>
        <v/>
      </c>
      <c r="C203" s="25"/>
      <c r="D203" s="25"/>
      <c r="E203" s="255"/>
      <c r="F203" s="25"/>
      <c r="G203" s="25"/>
    </row>
    <row r="204" spans="2:7">
      <c r="B204" s="25" t="str">
        <f>IF(C204="","","PID-"&amp;TEXT(ROW()-2,"0000"))</f>
        <v/>
      </c>
      <c r="C204" s="25"/>
      <c r="D204" s="25"/>
      <c r="E204" s="255"/>
      <c r="F204" s="25"/>
      <c r="G204" s="25"/>
    </row>
    <row r="205" spans="2:7">
      <c r="B205" s="25" t="str">
        <f>IF(C205="","","PID-"&amp;TEXT(ROW()-2,"0000"))</f>
        <v/>
      </c>
      <c r="C205" s="25"/>
      <c r="D205" s="25"/>
      <c r="E205" s="255"/>
      <c r="F205" s="25"/>
      <c r="G205" s="25"/>
    </row>
    <row r="206" spans="2:7">
      <c r="B206" s="25" t="str">
        <f>IF(C206="","","PID-"&amp;TEXT(ROW()-2,"0000"))</f>
        <v/>
      </c>
      <c r="C206" s="25"/>
      <c r="D206" s="25"/>
      <c r="E206" s="255"/>
      <c r="F206" s="25"/>
      <c r="G206" s="25"/>
    </row>
    <row r="207" spans="2:7">
      <c r="B207" s="25" t="str">
        <f>IF(C207="","","PID-"&amp;TEXT(ROW()-2,"0000"))</f>
        <v/>
      </c>
      <c r="C207" s="25"/>
      <c r="D207" s="25"/>
      <c r="E207" s="255"/>
      <c r="F207" s="25"/>
      <c r="G207" s="25"/>
    </row>
    <row r="208" spans="2:7">
      <c r="B208" s="25" t="str">
        <f>IF(C208="","","PID-"&amp;TEXT(ROW()-2,"0000"))</f>
        <v/>
      </c>
      <c r="C208" s="25"/>
      <c r="D208" s="25"/>
      <c r="E208" s="255"/>
      <c r="F208" s="25"/>
      <c r="G208" s="25"/>
    </row>
    <row r="209" spans="2:7">
      <c r="B209" s="25" t="str">
        <f>IF(C209="","","PID-"&amp;TEXT(ROW()-2,"0000"))</f>
        <v/>
      </c>
      <c r="C209" s="25"/>
      <c r="D209" s="25"/>
      <c r="E209" s="255"/>
      <c r="F209" s="25"/>
      <c r="G209" s="25"/>
    </row>
    <row r="210" spans="2:7">
      <c r="B210" s="25" t="str">
        <f>IF(C210="","","PID-"&amp;TEXT(ROW()-2,"0000"))</f>
        <v/>
      </c>
      <c r="C210" s="25"/>
      <c r="D210" s="25"/>
      <c r="E210" s="255"/>
      <c r="F210" s="25"/>
      <c r="G210" s="25"/>
    </row>
    <row r="211" spans="2:7">
      <c r="B211" s="25" t="str">
        <f>IF(C211="","","PID-"&amp;TEXT(ROW()-2,"0000"))</f>
        <v/>
      </c>
      <c r="C211" s="25"/>
      <c r="D211" s="25"/>
      <c r="E211" s="255"/>
      <c r="F211" s="25"/>
      <c r="G211" s="25"/>
    </row>
    <row r="212" spans="2:7">
      <c r="B212" s="25" t="str">
        <f>IF(C212="","","PID-"&amp;TEXT(ROW()-2,"0000"))</f>
        <v/>
      </c>
      <c r="C212" s="25"/>
      <c r="D212" s="25"/>
      <c r="E212" s="255"/>
      <c r="F212" s="25"/>
      <c r="G212" s="25"/>
    </row>
    <row r="213" spans="2:7">
      <c r="B213" s="25" t="str">
        <f>IF(C213="","","PID-"&amp;TEXT(ROW()-2,"0000"))</f>
        <v/>
      </c>
      <c r="C213" s="25"/>
      <c r="D213" s="25"/>
      <c r="E213" s="255"/>
      <c r="F213" s="25"/>
      <c r="G213" s="25"/>
    </row>
    <row r="214" spans="2:7">
      <c r="B214" s="25" t="str">
        <f>IF(C214="","","PID-"&amp;TEXT(ROW()-2,"0000"))</f>
        <v/>
      </c>
      <c r="C214" s="25"/>
      <c r="D214" s="25"/>
      <c r="E214" s="255"/>
      <c r="F214" s="25"/>
      <c r="G214" s="25"/>
    </row>
    <row r="215" spans="2:7">
      <c r="B215" s="25" t="str">
        <f>IF(C215="","","PID-"&amp;TEXT(ROW()-2,"0000"))</f>
        <v/>
      </c>
      <c r="C215" s="25"/>
      <c r="D215" s="25"/>
      <c r="E215" s="255"/>
      <c r="F215" s="25"/>
      <c r="G215" s="25"/>
    </row>
    <row r="216" spans="2:7">
      <c r="B216" s="25" t="str">
        <f>IF(C216="","","PID-"&amp;TEXT(ROW()-2,"0000"))</f>
        <v/>
      </c>
      <c r="C216" s="25"/>
      <c r="D216" s="25"/>
      <c r="E216" s="255"/>
      <c r="F216" s="25"/>
      <c r="G216" s="25"/>
    </row>
    <row r="217" spans="2:7">
      <c r="B217" s="25" t="str">
        <f>IF(C217="","","PID-"&amp;TEXT(ROW()-2,"0000"))</f>
        <v/>
      </c>
      <c r="C217" s="25"/>
      <c r="D217" s="25"/>
      <c r="E217" s="255"/>
      <c r="F217" s="25"/>
      <c r="G217" s="25"/>
    </row>
    <row r="218" spans="2:7">
      <c r="B218" s="25" t="str">
        <f>IF(C218="","","PID-"&amp;TEXT(ROW()-2,"0000"))</f>
        <v/>
      </c>
      <c r="C218" s="25"/>
      <c r="D218" s="25"/>
      <c r="E218" s="255"/>
      <c r="F218" s="25"/>
      <c r="G218" s="25"/>
    </row>
    <row r="219" spans="2:7">
      <c r="B219" s="25" t="str">
        <f>IF(C219="","","PID-"&amp;TEXT(ROW()-2,"0000"))</f>
        <v/>
      </c>
      <c r="C219" s="25"/>
      <c r="D219" s="25"/>
      <c r="E219" s="255"/>
      <c r="F219" s="25"/>
      <c r="G219" s="25"/>
    </row>
    <row r="220" spans="2:7">
      <c r="B220" s="25" t="str">
        <f>IF(C220="","","PID-"&amp;TEXT(ROW()-2,"0000"))</f>
        <v/>
      </c>
      <c r="C220" s="25"/>
      <c r="D220" s="25"/>
      <c r="E220" s="255"/>
      <c r="F220" s="25"/>
      <c r="G220" s="25"/>
    </row>
    <row r="221" spans="2:7">
      <c r="B221" s="25" t="str">
        <f>IF(C221="","","PID-"&amp;TEXT(ROW()-2,"0000"))</f>
        <v/>
      </c>
      <c r="C221" s="25"/>
      <c r="D221" s="25"/>
      <c r="E221" s="255"/>
      <c r="F221" s="25"/>
      <c r="G221" s="25"/>
    </row>
    <row r="222" spans="2:7">
      <c r="B222" s="25" t="str">
        <f>IF(C222="","","PID-"&amp;TEXT(ROW()-2,"0000"))</f>
        <v/>
      </c>
      <c r="C222" s="25"/>
      <c r="D222" s="25"/>
      <c r="E222" s="255"/>
      <c r="F222" s="25"/>
      <c r="G222" s="25"/>
    </row>
    <row r="223" spans="2:7">
      <c r="B223" s="25" t="str">
        <f>IF(C223="","","PID-"&amp;TEXT(ROW()-2,"0000"))</f>
        <v/>
      </c>
      <c r="C223" s="25"/>
      <c r="D223" s="25"/>
      <c r="E223" s="255"/>
      <c r="F223" s="25"/>
      <c r="G223" s="25"/>
    </row>
    <row r="224" spans="2:7">
      <c r="B224" s="25" t="str">
        <f>IF(C224="","","PID-"&amp;TEXT(ROW()-2,"0000"))</f>
        <v/>
      </c>
      <c r="C224" s="25"/>
      <c r="D224" s="25"/>
      <c r="E224" s="255"/>
      <c r="F224" s="25"/>
      <c r="G224" s="25"/>
    </row>
    <row r="225" spans="2:7">
      <c r="B225" s="25" t="str">
        <f>IF(C225="","","PID-"&amp;TEXT(ROW()-2,"0000"))</f>
        <v/>
      </c>
      <c r="C225" s="25"/>
      <c r="D225" s="25"/>
      <c r="E225" s="255"/>
      <c r="F225" s="25"/>
      <c r="G225" s="25"/>
    </row>
    <row r="226" spans="2:7">
      <c r="B226" s="25" t="str">
        <f>IF(C226="","","PID-"&amp;TEXT(ROW()-2,"0000"))</f>
        <v/>
      </c>
      <c r="C226" s="25"/>
      <c r="D226" s="25"/>
      <c r="E226" s="255"/>
      <c r="F226" s="25"/>
      <c r="G226" s="25"/>
    </row>
    <row r="227" spans="2:7">
      <c r="B227" s="25" t="str">
        <f>IF(C227="","","PID-"&amp;TEXT(ROW()-2,"0000"))</f>
        <v/>
      </c>
      <c r="C227" s="25"/>
      <c r="D227" s="25"/>
      <c r="E227" s="255"/>
      <c r="F227" s="25"/>
      <c r="G227" s="25"/>
    </row>
    <row r="228" spans="2:7">
      <c r="B228" s="25" t="str">
        <f>IF(C228="","","PID-"&amp;TEXT(ROW()-2,"0000"))</f>
        <v/>
      </c>
      <c r="C228" s="25"/>
      <c r="D228" s="25"/>
      <c r="E228" s="255"/>
      <c r="F228" s="25"/>
      <c r="G228" s="25"/>
    </row>
    <row r="229" spans="2:7">
      <c r="B229" s="25" t="str">
        <f>IF(C229="","","PID-"&amp;TEXT(ROW()-2,"0000"))</f>
        <v/>
      </c>
      <c r="C229" s="25"/>
      <c r="D229" s="25"/>
      <c r="E229" s="255"/>
      <c r="F229" s="25"/>
      <c r="G229" s="25"/>
    </row>
    <row r="230" spans="2:7">
      <c r="B230" s="25" t="str">
        <f>IF(C230="","","PID-"&amp;TEXT(ROW()-2,"0000"))</f>
        <v/>
      </c>
      <c r="C230" s="25"/>
      <c r="D230" s="25"/>
      <c r="E230" s="255"/>
      <c r="F230" s="25"/>
      <c r="G230" s="25"/>
    </row>
    <row r="231" spans="2:7">
      <c r="B231" s="25" t="str">
        <f>IF(C231="","","PID-"&amp;TEXT(ROW()-2,"0000"))</f>
        <v/>
      </c>
      <c r="C231" s="25"/>
      <c r="D231" s="25"/>
      <c r="E231" s="255"/>
      <c r="F231" s="25"/>
      <c r="G231" s="25"/>
    </row>
    <row r="232" spans="2:7">
      <c r="B232" s="25" t="str">
        <f>IF(C232="","","PID-"&amp;TEXT(ROW()-2,"0000"))</f>
        <v/>
      </c>
      <c r="C232" s="25"/>
      <c r="D232" s="25"/>
      <c r="E232" s="255"/>
      <c r="F232" s="25"/>
      <c r="G232" s="25"/>
    </row>
    <row r="233" spans="2:7">
      <c r="B233" s="25" t="str">
        <f>IF(C233="","","PID-"&amp;TEXT(ROW()-2,"0000"))</f>
        <v/>
      </c>
      <c r="C233" s="25"/>
      <c r="D233" s="25"/>
      <c r="E233" s="255"/>
      <c r="F233" s="25"/>
      <c r="G233" s="25"/>
    </row>
    <row r="234" spans="2:7">
      <c r="B234" s="25" t="str">
        <f>IF(C234="","","PID-"&amp;TEXT(ROW()-2,"0000"))</f>
        <v/>
      </c>
      <c r="C234" s="25"/>
      <c r="D234" s="25"/>
      <c r="E234" s="255"/>
      <c r="F234" s="25"/>
      <c r="G234" s="25"/>
    </row>
    <row r="235" spans="2:7">
      <c r="B235" s="25" t="str">
        <f>IF(C235="","","PID-"&amp;TEXT(ROW()-2,"0000"))</f>
        <v/>
      </c>
      <c r="C235" s="25"/>
      <c r="D235" s="25"/>
      <c r="E235" s="255"/>
      <c r="F235" s="25"/>
      <c r="G235" s="25"/>
    </row>
    <row r="236" spans="2:7">
      <c r="B236" s="25" t="str">
        <f>IF(C236="","","PID-"&amp;TEXT(ROW()-2,"0000"))</f>
        <v/>
      </c>
      <c r="C236" s="25"/>
      <c r="D236" s="25"/>
      <c r="E236" s="255"/>
      <c r="F236" s="25"/>
      <c r="G236" s="25"/>
    </row>
    <row r="237" spans="2:7">
      <c r="B237" s="25" t="str">
        <f>IF(C237="","","PID-"&amp;TEXT(ROW()-2,"0000"))</f>
        <v/>
      </c>
      <c r="C237" s="25"/>
      <c r="D237" s="25"/>
      <c r="E237" s="255"/>
      <c r="F237" s="25"/>
      <c r="G237" s="25"/>
    </row>
    <row r="238" spans="2:7">
      <c r="B238" s="25" t="str">
        <f>IF(C238="","","PID-"&amp;TEXT(ROW()-2,"0000"))</f>
        <v/>
      </c>
      <c r="C238" s="25"/>
      <c r="D238" s="25"/>
      <c r="E238" s="255"/>
      <c r="F238" s="25"/>
      <c r="G238" s="25"/>
    </row>
    <row r="239" spans="2:7">
      <c r="B239" s="25" t="str">
        <f>IF(C239="","","PID-"&amp;TEXT(ROW()-2,"0000"))</f>
        <v/>
      </c>
      <c r="C239" s="25"/>
      <c r="D239" s="25"/>
      <c r="E239" s="255"/>
      <c r="F239" s="25"/>
      <c r="G239" s="25"/>
    </row>
    <row r="240" spans="2:7">
      <c r="B240" s="25" t="str">
        <f>IF(C240="","","PID-"&amp;TEXT(ROW()-2,"0000"))</f>
        <v/>
      </c>
      <c r="C240" s="25"/>
      <c r="D240" s="25"/>
      <c r="E240" s="255"/>
      <c r="F240" s="25"/>
      <c r="G240" s="25"/>
    </row>
    <row r="241" spans="2:7">
      <c r="B241" s="25" t="str">
        <f>IF(C241="","","PID-"&amp;TEXT(ROW()-2,"0000"))</f>
        <v/>
      </c>
      <c r="C241" s="25"/>
      <c r="D241" s="25"/>
      <c r="E241" s="255"/>
      <c r="F241" s="25"/>
      <c r="G241" s="25"/>
    </row>
    <row r="242" spans="2:7">
      <c r="B242" s="25" t="str">
        <f>IF(C242="","","PID-"&amp;TEXT(ROW()-2,"0000"))</f>
        <v/>
      </c>
      <c r="C242" s="25"/>
      <c r="D242" s="25"/>
      <c r="E242" s="255"/>
      <c r="F242" s="25"/>
      <c r="G242" s="25"/>
    </row>
    <row r="243" spans="2:7">
      <c r="B243" s="25" t="str">
        <f>IF(C243="","","PID-"&amp;TEXT(ROW()-2,"0000"))</f>
        <v/>
      </c>
      <c r="C243" s="25"/>
      <c r="D243" s="25"/>
      <c r="E243" s="255"/>
      <c r="F243" s="25"/>
      <c r="G243" s="25"/>
    </row>
    <row r="244" spans="2:7">
      <c r="B244" s="25" t="str">
        <f>IF(C244="","","PID-"&amp;TEXT(ROW()-2,"0000"))</f>
        <v/>
      </c>
      <c r="C244" s="25"/>
      <c r="D244" s="25"/>
      <c r="E244" s="255"/>
      <c r="F244" s="25"/>
      <c r="G244" s="25"/>
    </row>
    <row r="245" spans="2:7">
      <c r="B245" s="25" t="str">
        <f>IF(C245="","","PID-"&amp;TEXT(ROW()-2,"0000"))</f>
        <v/>
      </c>
      <c r="C245" s="25"/>
      <c r="D245" s="25"/>
      <c r="E245" s="255"/>
      <c r="F245" s="25"/>
      <c r="G245" s="25"/>
    </row>
    <row r="246" spans="2:7">
      <c r="B246" s="25" t="str">
        <f>IF(C246="","","PID-"&amp;TEXT(ROW()-2,"0000"))</f>
        <v/>
      </c>
      <c r="C246" s="25"/>
      <c r="D246" s="25"/>
      <c r="E246" s="255"/>
      <c r="F246" s="25"/>
      <c r="G246" s="25"/>
    </row>
    <row r="247" spans="2:7">
      <c r="B247" s="25" t="str">
        <f>IF(C247="","","PID-"&amp;TEXT(ROW()-2,"0000"))</f>
        <v/>
      </c>
      <c r="C247" s="25"/>
      <c r="D247" s="25"/>
      <c r="E247" s="255"/>
      <c r="F247" s="25"/>
      <c r="G247" s="25"/>
    </row>
    <row r="248" spans="2:7">
      <c r="B248" s="25" t="str">
        <f>IF(C248="","","PID-"&amp;TEXT(ROW()-2,"0000"))</f>
        <v/>
      </c>
      <c r="C248" s="25"/>
      <c r="D248" s="25"/>
      <c r="E248" s="255"/>
      <c r="F248" s="25"/>
      <c r="G248" s="25"/>
    </row>
    <row r="249" spans="2:7">
      <c r="B249" s="25" t="str">
        <f>IF(C249="","","PID-"&amp;TEXT(ROW()-2,"0000"))</f>
        <v/>
      </c>
      <c r="C249" s="25"/>
      <c r="D249" s="25"/>
      <c r="E249" s="255"/>
      <c r="F249" s="25"/>
      <c r="G249" s="25"/>
    </row>
    <row r="250" spans="2:7">
      <c r="B250" s="25" t="str">
        <f>IF(C250="","","PID-"&amp;TEXT(ROW()-2,"0000"))</f>
        <v/>
      </c>
      <c r="C250" s="25"/>
      <c r="D250" s="25"/>
      <c r="E250" s="255"/>
      <c r="F250" s="25"/>
      <c r="G250" s="25"/>
    </row>
    <row r="251" spans="2:7">
      <c r="B251" s="25" t="str">
        <f>IF(C251="","","PID-"&amp;TEXT(ROW()-2,"0000"))</f>
        <v/>
      </c>
      <c r="C251" s="25"/>
      <c r="D251" s="25"/>
      <c r="E251" s="255"/>
      <c r="F251" s="25"/>
      <c r="G251" s="25"/>
    </row>
    <row r="252" spans="2:7">
      <c r="B252" s="25" t="str">
        <f>IF(C252="","","PID-"&amp;TEXT(ROW()-2,"0000"))</f>
        <v/>
      </c>
      <c r="C252" s="25"/>
      <c r="D252" s="25"/>
      <c r="E252" s="255"/>
      <c r="F252" s="25"/>
      <c r="G252" s="25"/>
    </row>
    <row r="253" spans="2:7">
      <c r="B253" s="25" t="str">
        <f>IF(C253="","","PID-"&amp;TEXT(ROW()-2,"0000"))</f>
        <v/>
      </c>
      <c r="C253" s="25"/>
      <c r="D253" s="25"/>
      <c r="E253" s="255"/>
      <c r="F253" s="25"/>
      <c r="G253" s="25"/>
    </row>
    <row r="254" spans="2:7">
      <c r="B254" s="25" t="str">
        <f>IF(C254="","","PID-"&amp;TEXT(ROW()-2,"0000"))</f>
        <v/>
      </c>
      <c r="C254" s="25"/>
      <c r="D254" s="25"/>
      <c r="E254" s="255"/>
      <c r="F254" s="25"/>
      <c r="G254" s="25"/>
    </row>
    <row r="255" spans="2:7">
      <c r="B255" s="25" t="str">
        <f>IF(C255="","","PID-"&amp;TEXT(ROW()-2,"0000"))</f>
        <v/>
      </c>
      <c r="C255" s="25"/>
      <c r="D255" s="25"/>
      <c r="E255" s="255"/>
      <c r="F255" s="25"/>
      <c r="G255" s="25"/>
    </row>
    <row r="256" spans="2:7">
      <c r="B256" s="25" t="str">
        <f>IF(C256="","","PID-"&amp;TEXT(ROW()-2,"0000"))</f>
        <v/>
      </c>
      <c r="C256" s="25"/>
      <c r="D256" s="25"/>
      <c r="E256" s="255"/>
      <c r="F256" s="25"/>
      <c r="G256" s="25"/>
    </row>
    <row r="257" spans="2:7">
      <c r="B257" s="25" t="str">
        <f>IF(C257="","","PID-"&amp;TEXT(ROW()-2,"0000"))</f>
        <v/>
      </c>
      <c r="C257" s="25"/>
      <c r="D257" s="25"/>
      <c r="E257" s="255"/>
      <c r="F257" s="25"/>
      <c r="G257" s="25"/>
    </row>
    <row r="258" spans="2:7">
      <c r="B258" s="25" t="str">
        <f>IF(C258="","","PID-"&amp;TEXT(ROW()-2,"0000"))</f>
        <v/>
      </c>
      <c r="C258" s="25"/>
      <c r="D258" s="25"/>
      <c r="E258" s="255"/>
      <c r="F258" s="25"/>
      <c r="G258" s="25"/>
    </row>
    <row r="259" spans="2:7">
      <c r="B259" s="25" t="str">
        <f>IF(C259="","","PID-"&amp;TEXT(ROW()-2,"0000"))</f>
        <v/>
      </c>
      <c r="C259" s="25"/>
      <c r="D259" s="25"/>
      <c r="E259" s="255"/>
      <c r="F259" s="25"/>
      <c r="G259" s="25"/>
    </row>
    <row r="260" spans="2:7">
      <c r="B260" s="25" t="str">
        <f>IF(C260="","","PID-"&amp;TEXT(ROW()-2,"0000"))</f>
        <v/>
      </c>
      <c r="C260" s="25"/>
      <c r="D260" s="25"/>
      <c r="E260" s="255"/>
      <c r="F260" s="25"/>
      <c r="G260" s="25"/>
    </row>
    <row r="261" spans="2:7">
      <c r="B261" s="25" t="str">
        <f>IF(C261="","","PID-"&amp;TEXT(ROW()-2,"0000"))</f>
        <v/>
      </c>
      <c r="C261" s="25"/>
      <c r="D261" s="25"/>
      <c r="E261" s="255"/>
      <c r="F261" s="25"/>
      <c r="G261" s="25"/>
    </row>
    <row r="262" spans="2:7">
      <c r="B262" s="25" t="str">
        <f>IF(C262="","","PID-"&amp;TEXT(ROW()-2,"0000"))</f>
        <v/>
      </c>
      <c r="C262" s="25"/>
      <c r="D262" s="25"/>
      <c r="E262" s="255"/>
      <c r="F262" s="25"/>
      <c r="G262" s="25"/>
    </row>
    <row r="263" spans="2:7">
      <c r="B263" s="25" t="str">
        <f>IF(C263="","","PID-"&amp;TEXT(ROW()-2,"0000"))</f>
        <v/>
      </c>
      <c r="C263" s="25"/>
      <c r="D263" s="25"/>
      <c r="E263" s="255"/>
      <c r="F263" s="25"/>
      <c r="G263" s="25"/>
    </row>
    <row r="264" spans="2:7">
      <c r="B264" s="25" t="str">
        <f>IF(C264="","","PID-"&amp;TEXT(ROW()-2,"0000"))</f>
        <v/>
      </c>
      <c r="C264" s="25"/>
      <c r="D264" s="25"/>
      <c r="E264" s="255"/>
      <c r="F264" s="25"/>
      <c r="G264" s="25"/>
    </row>
    <row r="265" spans="2:7">
      <c r="B265" s="25" t="str">
        <f>IF(C265="","","PID-"&amp;TEXT(ROW()-2,"0000"))</f>
        <v/>
      </c>
      <c r="C265" s="25"/>
      <c r="D265" s="25"/>
      <c r="E265" s="255"/>
      <c r="F265" s="25"/>
      <c r="G265" s="25"/>
    </row>
    <row r="266" spans="2:7">
      <c r="B266" s="25" t="str">
        <f>IF(C266="","","PID-"&amp;TEXT(ROW()-2,"0000"))</f>
        <v/>
      </c>
      <c r="C266" s="25"/>
      <c r="D266" s="25"/>
      <c r="E266" s="255"/>
      <c r="F266" s="25"/>
      <c r="G266" s="25"/>
    </row>
    <row r="267" spans="2:7">
      <c r="B267" s="25" t="str">
        <f>IF(C267="","","PID-"&amp;TEXT(ROW()-2,"0000"))</f>
        <v/>
      </c>
      <c r="C267" s="25"/>
      <c r="D267" s="25"/>
      <c r="E267" s="255"/>
      <c r="F267" s="25"/>
      <c r="G267" s="25"/>
    </row>
    <row r="268" spans="2:7">
      <c r="B268" s="25" t="str">
        <f>IF(C268="","","PID-"&amp;TEXT(ROW()-2,"0000"))</f>
        <v/>
      </c>
      <c r="C268" s="25"/>
      <c r="D268" s="25"/>
      <c r="E268" s="255"/>
      <c r="F268" s="25"/>
      <c r="G268" s="25"/>
    </row>
    <row r="269" spans="2:7">
      <c r="B269" s="25" t="str">
        <f>IF(C269="","","PID-"&amp;TEXT(ROW()-2,"0000"))</f>
        <v/>
      </c>
      <c r="C269" s="25"/>
      <c r="D269" s="25"/>
      <c r="E269" s="255"/>
      <c r="F269" s="25"/>
      <c r="G269" s="25"/>
    </row>
    <row r="270" spans="2:7">
      <c r="B270" s="25" t="str">
        <f>IF(C270="","","PID-"&amp;TEXT(ROW()-2,"0000"))</f>
        <v/>
      </c>
      <c r="C270" s="25"/>
      <c r="D270" s="25"/>
      <c r="E270" s="255"/>
      <c r="F270" s="25"/>
      <c r="G270" s="25"/>
    </row>
    <row r="271" spans="2:7">
      <c r="B271" s="25" t="str">
        <f>IF(C271="","","PID-"&amp;TEXT(ROW()-2,"0000"))</f>
        <v/>
      </c>
      <c r="C271" s="25"/>
      <c r="D271" s="25"/>
      <c r="E271" s="255"/>
      <c r="F271" s="25"/>
      <c r="G271" s="25"/>
    </row>
    <row r="272" spans="2:7">
      <c r="B272" s="25" t="str">
        <f>IF(C272="","","PID-"&amp;TEXT(ROW()-2,"0000"))</f>
        <v/>
      </c>
      <c r="C272" s="25"/>
      <c r="D272" s="25"/>
      <c r="E272" s="255"/>
      <c r="F272" s="25"/>
      <c r="G272" s="25"/>
    </row>
    <row r="273" spans="2:7">
      <c r="B273" s="25" t="str">
        <f>IF(C273="","","PID-"&amp;TEXT(ROW()-2,"0000"))</f>
        <v/>
      </c>
      <c r="C273" s="25"/>
      <c r="D273" s="25"/>
      <c r="E273" s="255"/>
      <c r="F273" s="25"/>
      <c r="G273" s="25"/>
    </row>
    <row r="274" spans="2:7">
      <c r="B274" s="25" t="str">
        <f>IF(C274="","","PID-"&amp;TEXT(ROW()-2,"0000"))</f>
        <v/>
      </c>
      <c r="C274" s="25"/>
      <c r="D274" s="25"/>
      <c r="E274" s="255"/>
      <c r="F274" s="25"/>
      <c r="G274" s="25"/>
    </row>
    <row r="275" spans="2:7">
      <c r="B275" s="25" t="str">
        <f>IF(C275="","","PID-"&amp;TEXT(ROW()-2,"0000"))</f>
        <v/>
      </c>
      <c r="C275" s="25"/>
      <c r="D275" s="25"/>
      <c r="E275" s="255"/>
      <c r="F275" s="25"/>
      <c r="G275" s="25"/>
    </row>
    <row r="276" spans="2:7">
      <c r="B276" s="25" t="str">
        <f>IF(C276="","","PID-"&amp;TEXT(ROW()-2,"0000"))</f>
        <v/>
      </c>
      <c r="C276" s="25"/>
      <c r="D276" s="25"/>
      <c r="E276" s="255"/>
      <c r="F276" s="25"/>
      <c r="G276" s="25"/>
    </row>
    <row r="277" spans="2:7">
      <c r="B277" s="25" t="str">
        <f>IF(C277="","","PID-"&amp;TEXT(ROW()-2,"0000"))</f>
        <v/>
      </c>
      <c r="C277" s="25"/>
      <c r="D277" s="25"/>
      <c r="E277" s="255"/>
      <c r="F277" s="25"/>
      <c r="G277" s="25"/>
    </row>
    <row r="278" spans="2:7">
      <c r="B278" s="25" t="str">
        <f>IF(C278="","","PID-"&amp;TEXT(ROW()-2,"0000"))</f>
        <v/>
      </c>
      <c r="C278" s="25"/>
      <c r="D278" s="25"/>
      <c r="E278" s="255"/>
      <c r="F278" s="25"/>
      <c r="G278" s="25"/>
    </row>
    <row r="279" spans="2:7">
      <c r="B279" s="25" t="str">
        <f>IF(C279="","","PID-"&amp;TEXT(ROW()-2,"0000"))</f>
        <v/>
      </c>
      <c r="C279" s="25"/>
      <c r="D279" s="25"/>
      <c r="E279" s="255"/>
      <c r="F279" s="25"/>
      <c r="G279" s="25"/>
    </row>
    <row r="280" spans="2:7">
      <c r="B280" s="25" t="str">
        <f>IF(C280="","","PID-"&amp;TEXT(ROW()-2,"0000"))</f>
        <v/>
      </c>
      <c r="C280" s="25"/>
      <c r="D280" s="25"/>
      <c r="E280" s="255"/>
      <c r="F280" s="25"/>
      <c r="G280" s="25"/>
    </row>
    <row r="281" spans="2:7">
      <c r="B281" s="25" t="str">
        <f>IF(C281="","","PID-"&amp;TEXT(ROW()-2,"0000"))</f>
        <v/>
      </c>
      <c r="C281" s="25"/>
      <c r="D281" s="25"/>
      <c r="E281" s="255"/>
      <c r="F281" s="25"/>
      <c r="G281" s="25"/>
    </row>
    <row r="282" spans="2:7">
      <c r="B282" s="25" t="str">
        <f>IF(C282="","","PID-"&amp;TEXT(ROW()-2,"0000"))</f>
        <v/>
      </c>
      <c r="C282" s="25"/>
      <c r="D282" s="25"/>
      <c r="E282" s="255"/>
      <c r="F282" s="25"/>
      <c r="G282" s="25"/>
    </row>
    <row r="283" spans="2:7">
      <c r="B283" s="25" t="str">
        <f>IF(C283="","","PID-"&amp;TEXT(ROW()-2,"0000"))</f>
        <v/>
      </c>
      <c r="C283" s="25"/>
      <c r="D283" s="25"/>
      <c r="E283" s="255"/>
      <c r="F283" s="25"/>
      <c r="G283" s="25"/>
    </row>
    <row r="284" spans="2:7">
      <c r="B284" s="25" t="str">
        <f>IF(C284="","","PID-"&amp;TEXT(ROW()-2,"0000"))</f>
        <v/>
      </c>
      <c r="C284" s="25"/>
      <c r="D284" s="25"/>
      <c r="E284" s="255"/>
      <c r="F284" s="25"/>
      <c r="G284" s="25"/>
    </row>
    <row r="285" spans="2:7">
      <c r="B285" s="25" t="str">
        <f>IF(C285="","","PID-"&amp;TEXT(ROW()-2,"0000"))</f>
        <v/>
      </c>
      <c r="C285" s="25"/>
      <c r="D285" s="25"/>
      <c r="E285" s="255"/>
      <c r="F285" s="25"/>
      <c r="G285" s="25"/>
    </row>
    <row r="286" spans="2:7">
      <c r="B286" s="25" t="str">
        <f>IF(C286="","","PID-"&amp;TEXT(ROW()-2,"0000"))</f>
        <v/>
      </c>
      <c r="C286" s="25"/>
      <c r="D286" s="25"/>
      <c r="E286" s="255"/>
      <c r="F286" s="25"/>
      <c r="G286" s="25"/>
    </row>
    <row r="287" spans="2:7">
      <c r="B287" s="25" t="str">
        <f>IF(C287="","","PID-"&amp;TEXT(ROW()-2,"0000"))</f>
        <v/>
      </c>
      <c r="C287" s="25"/>
      <c r="D287" s="25"/>
      <c r="E287" s="255"/>
      <c r="F287" s="25"/>
      <c r="G287" s="25"/>
    </row>
    <row r="288" spans="2:7">
      <c r="B288" s="25" t="str">
        <f>IF(C288="","","PID-"&amp;TEXT(ROW()-2,"0000"))</f>
        <v/>
      </c>
      <c r="C288" s="25"/>
      <c r="D288" s="25"/>
      <c r="E288" s="255"/>
      <c r="F288" s="25"/>
      <c r="G288" s="25"/>
    </row>
    <row r="289" spans="2:7">
      <c r="B289" s="25" t="str">
        <f>IF(C289="","","PID-"&amp;TEXT(ROW()-2,"0000"))</f>
        <v/>
      </c>
      <c r="C289" s="25"/>
      <c r="D289" s="25"/>
      <c r="E289" s="255"/>
      <c r="F289" s="25"/>
      <c r="G289" s="25"/>
    </row>
    <row r="290" spans="2:7">
      <c r="B290" s="25" t="str">
        <f>IF(C290="","","PID-"&amp;TEXT(ROW()-2,"0000"))</f>
        <v/>
      </c>
      <c r="C290" s="25"/>
      <c r="D290" s="25"/>
      <c r="E290" s="255"/>
      <c r="F290" s="25"/>
      <c r="G290" s="25"/>
    </row>
    <row r="291" spans="2:7">
      <c r="B291" s="25" t="str">
        <f>IF(C291="","","PID-"&amp;TEXT(ROW()-2,"0000"))</f>
        <v/>
      </c>
      <c r="C291" s="25"/>
      <c r="D291" s="25"/>
      <c r="E291" s="255"/>
      <c r="F291" s="25"/>
      <c r="G291" s="25"/>
    </row>
    <row r="292" spans="2:7">
      <c r="B292" s="25" t="str">
        <f>IF(C292="","","PID-"&amp;TEXT(ROW()-2,"0000"))</f>
        <v/>
      </c>
      <c r="C292" s="25"/>
      <c r="D292" s="25"/>
      <c r="E292" s="255"/>
      <c r="F292" s="25"/>
      <c r="G292" s="25"/>
    </row>
    <row r="293" spans="2:7">
      <c r="B293" s="25" t="str">
        <f>IF(C293="","","PID-"&amp;TEXT(ROW()-2,"0000"))</f>
        <v/>
      </c>
      <c r="C293" s="25"/>
      <c r="D293" s="25"/>
      <c r="E293" s="255"/>
      <c r="F293" s="25"/>
      <c r="G293" s="25"/>
    </row>
    <row r="294" spans="2:7">
      <c r="B294" s="25" t="str">
        <f>IF(C294="","","PID-"&amp;TEXT(ROW()-2,"0000"))</f>
        <v/>
      </c>
      <c r="C294" s="25"/>
      <c r="D294" s="25"/>
      <c r="E294" s="255"/>
      <c r="F294" s="25"/>
      <c r="G294" s="25"/>
    </row>
    <row r="295" spans="2:7">
      <c r="B295" s="25" t="str">
        <f>IF(C295="","","PID-"&amp;TEXT(ROW()-2,"0000"))</f>
        <v/>
      </c>
      <c r="C295" s="25"/>
      <c r="D295" s="25"/>
      <c r="E295" s="255"/>
      <c r="F295" s="25"/>
      <c r="G295" s="25"/>
    </row>
    <row r="296" spans="2:7">
      <c r="B296" s="25" t="str">
        <f>IF(C296="","","PID-"&amp;TEXT(ROW()-2,"0000"))</f>
        <v/>
      </c>
      <c r="C296" s="25"/>
      <c r="D296" s="25"/>
      <c r="E296" s="255"/>
      <c r="F296" s="25"/>
      <c r="G296" s="25"/>
    </row>
    <row r="297" spans="2:7">
      <c r="B297" s="25" t="str">
        <f>IF(C297="","","PID-"&amp;TEXT(ROW()-2,"0000"))</f>
        <v/>
      </c>
      <c r="C297" s="25"/>
      <c r="D297" s="25"/>
      <c r="E297" s="255"/>
      <c r="F297" s="25"/>
      <c r="G297" s="25"/>
    </row>
    <row r="298" spans="2:7">
      <c r="B298" s="25" t="str">
        <f>IF(C298="","","PID-"&amp;TEXT(ROW()-2,"0000"))</f>
        <v/>
      </c>
      <c r="C298" s="25"/>
      <c r="D298" s="25"/>
      <c r="E298" s="255"/>
      <c r="F298" s="25"/>
      <c r="G298" s="25"/>
    </row>
    <row r="299" spans="2:7">
      <c r="B299" s="25" t="str">
        <f>IF(C299="","","PID-"&amp;TEXT(ROW()-2,"0000"))</f>
        <v/>
      </c>
      <c r="C299" s="25"/>
      <c r="D299" s="25"/>
      <c r="E299" s="255"/>
      <c r="F299" s="25"/>
      <c r="G299" s="25"/>
    </row>
    <row r="300" spans="2:7">
      <c r="B300" s="25" t="str">
        <f>IF(C300="","","PID-"&amp;TEXT(ROW()-2,"0000"))</f>
        <v/>
      </c>
      <c r="C300" s="25"/>
      <c r="D300" s="25"/>
      <c r="E300" s="255"/>
      <c r="F300" s="25"/>
      <c r="G300" s="25"/>
    </row>
    <row r="301" spans="2:7">
      <c r="B301" s="25" t="str">
        <f>IF(C301="","","PID-"&amp;TEXT(ROW()-2,"0000"))</f>
        <v/>
      </c>
      <c r="C301" s="25"/>
      <c r="D301" s="25"/>
      <c r="E301" s="255"/>
      <c r="F301" s="25"/>
      <c r="G301" s="25"/>
    </row>
    <row r="302" spans="2:7">
      <c r="B302" s="25" t="str">
        <f>IF(C302="","","PID-"&amp;TEXT(ROW()-2,"0000"))</f>
        <v/>
      </c>
      <c r="C302" s="25"/>
      <c r="D302" s="25"/>
      <c r="E302" s="255"/>
      <c r="F302" s="25"/>
      <c r="G302" s="25"/>
    </row>
    <row r="303" spans="2:7">
      <c r="B303" s="25" t="str">
        <f>IF(C303="","","PID-"&amp;TEXT(ROW()-2,"0000"))</f>
        <v/>
      </c>
      <c r="C303" s="25"/>
      <c r="D303" s="25"/>
      <c r="E303" s="255"/>
      <c r="F303" s="25"/>
      <c r="G303" s="25"/>
    </row>
    <row r="304" spans="2:7">
      <c r="B304" s="25" t="str">
        <f>IF(C304="","","PID-"&amp;TEXT(ROW()-2,"0000"))</f>
        <v/>
      </c>
      <c r="C304" s="25"/>
      <c r="D304" s="25"/>
      <c r="E304" s="255"/>
      <c r="F304" s="25"/>
      <c r="G304" s="25"/>
    </row>
    <row r="305" spans="2:7">
      <c r="B305" s="25" t="str">
        <f>IF(C305="","","PID-"&amp;TEXT(ROW()-2,"0000"))</f>
        <v/>
      </c>
      <c r="C305" s="25"/>
      <c r="D305" s="25"/>
      <c r="E305" s="255"/>
      <c r="F305" s="25"/>
      <c r="G305" s="25"/>
    </row>
    <row r="306" spans="2:7">
      <c r="B306" s="25" t="str">
        <f>IF(C306="","","PID-"&amp;TEXT(ROW()-2,"0000"))</f>
        <v/>
      </c>
      <c r="C306" s="25"/>
      <c r="D306" s="25"/>
      <c r="E306" s="255"/>
      <c r="F306" s="25"/>
      <c r="G306" s="25"/>
    </row>
    <row r="307" spans="2:7">
      <c r="B307" s="25" t="str">
        <f>IF(C307="","","PID-"&amp;TEXT(ROW()-2,"0000"))</f>
        <v/>
      </c>
      <c r="C307" s="25"/>
      <c r="D307" s="25"/>
      <c r="E307" s="255"/>
      <c r="F307" s="25"/>
      <c r="G307" s="25"/>
    </row>
    <row r="308" spans="2:7">
      <c r="B308" s="25" t="str">
        <f>IF(C308="","","PID-"&amp;TEXT(ROW()-2,"0000"))</f>
        <v/>
      </c>
      <c r="C308" s="25"/>
      <c r="D308" s="25"/>
      <c r="E308" s="255"/>
      <c r="F308" s="25"/>
      <c r="G308" s="25"/>
    </row>
    <row r="309" spans="2:7">
      <c r="B309" s="25" t="str">
        <f>IF(C309="","","PID-"&amp;TEXT(ROW()-2,"0000"))</f>
        <v/>
      </c>
      <c r="C309" s="25"/>
      <c r="D309" s="25"/>
      <c r="E309" s="255"/>
      <c r="F309" s="25"/>
      <c r="G309" s="25"/>
    </row>
    <row r="310" spans="2:7">
      <c r="B310" s="25" t="str">
        <f>IF(C310="","","PID-"&amp;TEXT(ROW()-2,"0000"))</f>
        <v/>
      </c>
      <c r="C310" s="25"/>
      <c r="D310" s="25"/>
      <c r="E310" s="255"/>
      <c r="F310" s="25"/>
      <c r="G310" s="25"/>
    </row>
    <row r="311" spans="2:7">
      <c r="B311" s="25" t="str">
        <f>IF(C311="","","PID-"&amp;TEXT(ROW()-2,"0000"))</f>
        <v/>
      </c>
      <c r="C311" s="25"/>
      <c r="D311" s="25"/>
      <c r="E311" s="255"/>
      <c r="F311" s="25"/>
      <c r="G311" s="25"/>
    </row>
    <row r="312" spans="2:7">
      <c r="B312" s="25" t="str">
        <f>IF(C312="","","PID-"&amp;TEXT(ROW()-2,"0000"))</f>
        <v/>
      </c>
      <c r="C312" s="25"/>
      <c r="D312" s="25"/>
      <c r="E312" s="255"/>
      <c r="F312" s="25"/>
      <c r="G312" s="25"/>
    </row>
    <row r="313" spans="2:7">
      <c r="B313" s="25" t="str">
        <f>IF(C313="","","PID-"&amp;TEXT(ROW()-2,"0000"))</f>
        <v/>
      </c>
      <c r="C313" s="25"/>
      <c r="D313" s="25"/>
      <c r="E313" s="255"/>
      <c r="F313" s="25"/>
      <c r="G313" s="25"/>
    </row>
    <row r="314" spans="2:7">
      <c r="B314" s="25" t="str">
        <f>IF(C314="","","PID-"&amp;TEXT(ROW()-2,"0000"))</f>
        <v/>
      </c>
      <c r="C314" s="25"/>
      <c r="D314" s="25"/>
      <c r="E314" s="255"/>
      <c r="F314" s="25"/>
      <c r="G314" s="25"/>
    </row>
    <row r="315" spans="2:7">
      <c r="B315" s="25" t="str">
        <f>IF(C315="","","PID-"&amp;TEXT(ROW()-2,"0000"))</f>
        <v/>
      </c>
      <c r="C315" s="25"/>
      <c r="D315" s="25"/>
      <c r="E315" s="255"/>
      <c r="F315" s="25"/>
      <c r="G315" s="25"/>
    </row>
    <row r="316" spans="2:7">
      <c r="B316" s="25" t="str">
        <f>IF(C316="","","PID-"&amp;TEXT(ROW()-2,"0000"))</f>
        <v/>
      </c>
      <c r="C316" s="25"/>
      <c r="D316" s="25"/>
      <c r="E316" s="255"/>
      <c r="F316" s="25"/>
      <c r="G316" s="25"/>
    </row>
    <row r="317" spans="2:7">
      <c r="B317" s="25" t="str">
        <f>IF(C317="","","PID-"&amp;TEXT(ROW()-2,"0000"))</f>
        <v/>
      </c>
      <c r="C317" s="25"/>
      <c r="D317" s="25"/>
      <c r="E317" s="255"/>
      <c r="F317" s="25"/>
      <c r="G317" s="25"/>
    </row>
    <row r="318" spans="2:7">
      <c r="B318" s="25" t="str">
        <f>IF(C318="","","PID-"&amp;TEXT(ROW()-2,"0000"))</f>
        <v/>
      </c>
      <c r="C318" s="25"/>
      <c r="D318" s="25"/>
      <c r="E318" s="255"/>
      <c r="F318" s="25"/>
      <c r="G318" s="25"/>
    </row>
    <row r="319" spans="2:7">
      <c r="B319" s="25" t="str">
        <f>IF(C319="","","PID-"&amp;TEXT(ROW()-2,"0000"))</f>
        <v/>
      </c>
      <c r="C319" s="25"/>
      <c r="D319" s="25"/>
      <c r="E319" s="255"/>
      <c r="F319" s="25"/>
      <c r="G319" s="25"/>
    </row>
  </sheetData>
  <mergeCells count="12">
    <mergeCell ref="A134:A145"/>
    <mergeCell ref="A2:A13"/>
    <mergeCell ref="A14:A25"/>
    <mergeCell ref="A26:A37"/>
    <mergeCell ref="A38:A49"/>
    <mergeCell ref="A50:A61"/>
    <mergeCell ref="A62:A73"/>
    <mergeCell ref="A74:A84"/>
    <mergeCell ref="A86:A97"/>
    <mergeCell ref="A98:A109"/>
    <mergeCell ref="A110:A121"/>
    <mergeCell ref="A122:A133"/>
  </mergeCells>
  <conditionalFormatting sqref="D152:E319 E2 E4 E18 E20 E22 E29 E37 E39 E47 E61 E63 E65 E67 E69 E71 E87 E89 E91 E93 E95 E97 E99 E101 E103 E105 E107 E109 E111 E113 E115 E117 E119 E121 E123 E125 E127 E129 E131 E133 E135 E137 E139 D26 E49 E75 E77 E79 E81:E82 E41 E85 E73 BC33 E33">
    <cfRule type="expression" dxfId="85" priority="8">
      <formula>AND($C2&lt;&gt;"",D2="")</formula>
    </cfRule>
  </conditionalFormatting>
  <conditionalFormatting sqref="I26">
    <cfRule type="expression" dxfId="84" priority="7">
      <formula>AND($C26&lt;&gt;"",I26="")</formula>
    </cfRule>
  </conditionalFormatting>
  <conditionalFormatting sqref="E43">
    <cfRule type="expression" dxfId="83" priority="6">
      <formula>AND($C43&lt;&gt;"",E43="")</formula>
    </cfRule>
  </conditionalFormatting>
  <conditionalFormatting sqref="E45">
    <cfRule type="expression" dxfId="82" priority="5">
      <formula>AND($C45&lt;&gt;"",E45="")</formula>
    </cfRule>
  </conditionalFormatting>
  <conditionalFormatting sqref="I31">
    <cfRule type="expression" dxfId="81" priority="4">
      <formula>AND($C31&lt;&gt;"",I31="")</formula>
    </cfRule>
  </conditionalFormatting>
  <conditionalFormatting sqref="BD33">
    <cfRule type="expression" dxfId="80" priority="3">
      <formula>AND($C35&lt;&gt;"",BD33="")</formula>
    </cfRule>
  </conditionalFormatting>
  <conditionalFormatting sqref="I14">
    <cfRule type="expression" dxfId="79" priority="2">
      <formula>AND($C14&lt;&gt;"",I14="")</formula>
    </cfRule>
  </conditionalFormatting>
  <conditionalFormatting sqref="I21">
    <cfRule type="expression" dxfId="78" priority="1">
      <formula>AND($C21&lt;&gt;"",I21="")</formula>
    </cfRule>
  </conditionalFormatting>
  <conditionalFormatting sqref="C152:C319">
    <cfRule type="expression" dxfId="77" priority="9">
      <formula>AND(C152&lt;&gt;"",COUNTIF($C$2:$C$319,C152)&gt;1)</formula>
    </cfRule>
    <cfRule type="expression" dxfId="76" priority="10">
      <formula>AND($C152&lt;&gt;"",C152="")</formula>
    </cfRule>
  </conditionalFormatting>
  <conditionalFormatting sqref="F141 F152:F319">
    <cfRule type="expression" dxfId="75" priority="11">
      <formula>AND(F141&lt;&gt;"",COUNTIF($F$2:$F$319,F141)&gt;1)</formula>
    </cfRule>
    <cfRule type="expression" dxfId="74" priority="12">
      <formula>AND(C141&lt;&gt;"",F141="")</formula>
    </cfRule>
  </conditionalFormatting>
  <dataValidations count="1">
    <dataValidation type="whole" allowBlank="1" errorTitle="Invalid year" error="Enter a year between 2014 and 2030." promptTitle="Publication Year" prompt="Enter the publication year (numeric)." sqref="D152:D319" xr:uid="{231732E9-DC31-4B05-A82D-6705CF8AE061}">
      <formula1>2014</formula1>
      <formula2>2030</formula2>
    </dataValidation>
  </dataValidations>
  <hyperlinks>
    <hyperlink ref="B49" r:id="rId1" xr:uid="{BC4E057E-6306-4346-9E2A-7FF5AA3B2E5B}"/>
    <hyperlink ref="F61" r:id="rId2" xr:uid="{D3D7BB27-9A78-4313-B93B-FB69EF62C830}"/>
    <hyperlink ref="B50" r:id="rId3" xr:uid="{85F8745A-84EE-4859-83EE-7E2A905AC8E3}"/>
    <hyperlink ref="B51" r:id="rId4" xr:uid="{C3DF2E65-5974-4C52-9ACA-B1BC0092D6A0}"/>
    <hyperlink ref="F49" r:id="rId5" xr:uid="{50AA87A9-7499-4E11-A5C8-DAE84945A40A}"/>
    <hyperlink ref="F50" r:id="rId6" xr:uid="{E767B85D-3EB9-4B4E-99FC-C42B6C5B0B2B}"/>
    <hyperlink ref="F51" r:id="rId7" xr:uid="{E5CC79B5-D45D-4DFF-9D35-A5E72230FA00}"/>
    <hyperlink ref="F52" r:id="rId8" xr:uid="{741B61C2-E222-4ED9-8F37-FBCB4C04E145}"/>
    <hyperlink ref="B52" r:id="rId9" xr:uid="{EB938583-9DBA-4CAC-831D-B268888CB55A}"/>
    <hyperlink ref="F73" r:id="rId10" xr:uid="{299834C7-BBEE-43CD-AB64-447CC6C5450C}"/>
    <hyperlink ref="F53" r:id="rId11" xr:uid="{6DEBE7C5-75E7-4586-9348-4B32F06C6FB1}"/>
    <hyperlink ref="B53" r:id="rId12" xr:uid="{314ADA0A-3E98-4975-AB2E-DCD09723908D}"/>
    <hyperlink ref="F54" r:id="rId13" xr:uid="{E97B3BD5-12C4-4DB7-B771-AB00E77D9F9D}"/>
    <hyperlink ref="B54" r:id="rId14" xr:uid="{767D7E31-C147-4917-A800-D11936D7DF01}"/>
    <hyperlink ref="F26" r:id="rId15" xr:uid="{06ACF2C8-77FF-461B-8B8E-4D1763434B1D}"/>
    <hyperlink ref="F55" r:id="rId16" xr:uid="{3AD4EC40-6056-452B-AD38-15A7DBCE4EAE}"/>
    <hyperlink ref="B55" r:id="rId17" display="10.1177/10711813251360704" xr:uid="{CA977D9B-6C46-4C84-94EE-5491EBC41D69}"/>
    <hyperlink ref="F74" r:id="rId18" xr:uid="{3541EDA7-E0AD-4652-8365-691034B57300}"/>
    <hyperlink ref="F56" r:id="rId19" xr:uid="{CB84B4CA-DE5B-49CC-9870-9C88BF0CC21E}"/>
    <hyperlink ref="F57" r:id="rId20" xr:uid="{005E8F9C-2655-4CC8-983F-3989F7AEB65A}"/>
    <hyperlink ref="B57" r:id="rId21" xr:uid="{C6298ED1-E59C-4F79-9834-1D0322C05EEE}"/>
    <hyperlink ref="B37" r:id="rId22" xr:uid="{3C3664E3-FC6A-42B3-9A15-92698587904D}"/>
    <hyperlink ref="B58" r:id="rId23" xr:uid="{094B3FB4-FBAE-45D6-90AC-261F79386B54}"/>
    <hyperlink ref="F58" r:id="rId24" xr:uid="{F26B9EA2-E7E4-4CFC-AE8C-ACE95A05F82A}"/>
    <hyperlink ref="F59" r:id="rId25" xr:uid="{FF9E3FDC-F87B-4074-B686-E178167ED063}"/>
    <hyperlink ref="F37" r:id="rId26" xr:uid="{D3D678C0-86E9-43F6-A328-DA6175604249}"/>
    <hyperlink ref="B59" r:id="rId27" xr:uid="{5DCF143A-3301-4FDB-B8C1-86BC3A26A3D6}"/>
    <hyperlink ref="B60" r:id="rId28" xr:uid="{54FC4BBE-9B07-4F76-8127-31BF15CBED8F}"/>
    <hyperlink ref="F60" r:id="rId29" xr:uid="{9F85AA80-5883-43B4-A897-277113E9240B}"/>
    <hyperlink ref="F75" r:id="rId30" xr:uid="{0E9B53CB-5571-468F-955F-14339C3072C4}"/>
    <hyperlink ref="F76" r:id="rId31" xr:uid="{1361819A-5AAB-4D7C-8F09-51448478EE30}"/>
    <hyperlink ref="F77" r:id="rId32" xr:uid="{8B660489-E0FE-4879-B0EF-C00ED8B623D2}"/>
    <hyperlink ref="F78" r:id="rId33" xr:uid="{3B82FF6C-6032-4387-B500-735B27872BA7}"/>
    <hyperlink ref="D62" r:id="rId34" display="10.1016/j.neubiorev.2007.05.010" xr:uid="{26D2177A-205C-46D4-939F-B612989ECFEE}"/>
    <hyperlink ref="F62" r:id="rId35" xr:uid="{BC9E3B3C-D4AF-42C2-8FFD-BC4EC098EB38}"/>
    <hyperlink ref="F63" r:id="rId36" xr:uid="{BB56C174-5862-4BEA-9883-CE349DF1A64A}"/>
    <hyperlink ref="F79" r:id="rId37" xr:uid="{43126F0F-64A6-419E-9B60-44640D8BC921}"/>
    <hyperlink ref="B38" r:id="rId38" xr:uid="{6B3E63A0-2405-4B4B-A700-4BC776F2E68C}"/>
    <hyperlink ref="F38" r:id="rId39" xr:uid="{D944820A-C2CD-493D-BC40-E08B4B8A11FD}"/>
    <hyperlink ref="F64" r:id="rId40" xr:uid="{AFCF2CB5-12EB-4BE0-8723-562C14E0A846}"/>
    <hyperlink ref="F80" r:id="rId41" xr:uid="{307637BA-05FA-477A-A4FF-C63224EBA79B}"/>
    <hyperlink ref="F81" r:id="rId42" xr:uid="{6C0277CF-CAF0-4190-AB6B-D378AEA78ABA}"/>
    <hyperlink ref="B67" r:id="rId43" xr:uid="{664A8B3F-8E19-4AC4-8770-59033EB7CAD8}"/>
    <hyperlink ref="F67" r:id="rId44" xr:uid="{137A1512-4AE9-4739-901F-1408C19F8BC5}"/>
    <hyperlink ref="B39" r:id="rId45" xr:uid="{16B60BB3-DEAA-4EEC-A1AB-DADCA5AF7C3B}"/>
    <hyperlink ref="F39" r:id="rId46" xr:uid="{7919023E-886F-4283-BCC6-9BFBDAD55014}"/>
    <hyperlink ref="B131" r:id="rId47" xr:uid="{D854DBA7-4FF3-4402-A235-A3583F97152D}"/>
    <hyperlink ref="F40" r:id="rId48" xr:uid="{8271F648-8A36-4967-BE25-FB324068183B}"/>
    <hyperlink ref="F131" r:id="rId49" xr:uid="{9E7CBDA4-8BE0-4B53-ABFA-AE6B90325D65}"/>
    <hyperlink ref="F133" r:id="rId50" xr:uid="{AD6DE82D-0650-46E4-BF19-9533119EF6E8}"/>
    <hyperlink ref="F134" r:id="rId51" xr:uid="{E053AEAF-2B34-4862-8317-89E9CFE3B810}"/>
    <hyperlink ref="B135" r:id="rId52" xr:uid="{485F097A-4D53-4AB2-B6A7-D315BEBE3471}"/>
    <hyperlink ref="F135" r:id="rId53" xr:uid="{5B05427C-FA28-4DD6-8EB6-07BDE8EF3556}"/>
    <hyperlink ref="F136" r:id="rId54" xr:uid="{33EA074B-F0D9-4EA7-8510-8DF6CBF1B0EF}"/>
    <hyperlink ref="F82" r:id="rId55" xr:uid="{B4D7B584-38CF-4C89-BEC9-15852EA5F473}"/>
    <hyperlink ref="F41" r:id="rId56" xr:uid="{85B575BB-ADBA-4520-A094-8A2847B377B4}"/>
    <hyperlink ref="F2" r:id="rId57" xr:uid="{44EE790A-1543-4658-856C-3C3B894167CB}"/>
    <hyperlink ref="B3" r:id="rId58" xr:uid="{A78836A1-8417-4618-BDE3-502D54A9F33E}"/>
    <hyperlink ref="F3" r:id="rId59" xr:uid="{B5D2C848-9B69-484C-8C25-CDDB2A2F989C}"/>
    <hyperlink ref="B4" r:id="rId60" xr:uid="{AAB02F18-F17D-4FB2-A46F-C8E6D8B5AC76}"/>
    <hyperlink ref="F4" r:id="rId61" xr:uid="{3E768DA1-456F-400A-9562-A37DB745D182}"/>
    <hyperlink ref="B5" r:id="rId62" xr:uid="{0BD21C74-F09C-4DF3-B31E-18950841BC67}"/>
    <hyperlink ref="F5" r:id="rId63" xr:uid="{28F86890-3C71-4C3B-948F-5D454D607668}"/>
    <hyperlink ref="F29" r:id="rId64" xr:uid="{A31D041F-4A0F-40F0-B13A-3045859C36E1}"/>
    <hyperlink ref="F31" r:id="rId65" xr:uid="{8E7E4271-8645-42CD-B9A9-A05290293F20}"/>
    <hyperlink ref="F19" r:id="rId66" xr:uid="{C476EF10-268B-4150-BD73-F72EDB5A363A}"/>
    <hyperlink ref="B20" r:id="rId67" xr:uid="{7DB538E3-A7F5-4194-851D-B0FD24CB8519}"/>
    <hyperlink ref="F20" r:id="rId68" xr:uid="{10486A94-ADF1-400B-A200-07B1F3211F51}"/>
    <hyperlink ref="B22" r:id="rId69" xr:uid="{7AE19E94-F138-406D-98AD-2D5ED5A77738}"/>
    <hyperlink ref="F22" r:id="rId70" xr:uid="{5D1ED0D6-E3F4-4F3A-961E-EE439910FC61}"/>
    <hyperlink ref="F28" r:id="rId71" xr:uid="{409A2D0E-04DE-4445-B398-F71BE3084A13}"/>
    <hyperlink ref="F23" r:id="rId72" xr:uid="{2AE4AC62-9081-4564-9BDF-0883C805CBE1}"/>
    <hyperlink ref="B42" r:id="rId73" xr:uid="{4045ABE5-AB10-4510-A7AC-A7BD768BBADF}"/>
    <hyperlink ref="F42" r:id="rId74" xr:uid="{CAF14944-6C46-4797-A3C3-D5953D87BF50}"/>
    <hyperlink ref="F43" r:id="rId75" xr:uid="{0EC95690-6D63-4D1A-BA6D-DDBFA1C0860B}"/>
    <hyperlink ref="B44" r:id="rId76" xr:uid="{CE7718D9-686E-4F48-A1B1-FD1A2CDD8D33}"/>
    <hyperlink ref="F44" r:id="rId77" xr:uid="{5177BFFC-BBD9-4FF4-95C5-6BAFC2DB94AF}"/>
    <hyperlink ref="B45" r:id="rId78" xr:uid="{2F906310-370A-4D9F-B48E-174DC7638D84}"/>
    <hyperlink ref="F45" r:id="rId79" xr:uid="{D4A95463-5D75-4481-BDD1-C2E7B1045F2E}"/>
    <hyperlink ref="F83" r:id="rId80" xr:uid="{8F2D2622-E39D-45D7-BEEF-5447CF87B4EC}"/>
    <hyperlink ref="B109" r:id="rId81" xr:uid="{E208D62F-1922-4F33-A257-F2BADA7EB373}"/>
    <hyperlink ref="B120" r:id="rId82" xr:uid="{8932BD25-4AE6-4BB0-8FF0-4B5A1483686E}"/>
    <hyperlink ref="F120" r:id="rId83" xr:uid="{E1F32AE7-DA64-47B1-8FD1-914D98230729}"/>
    <hyperlink ref="B85" r:id="rId84" xr:uid="{11EF24F9-CD13-4514-99CC-0F3F0904FD42}"/>
    <hyperlink ref="F85" r:id="rId85" xr:uid="{191A31D1-2130-49CB-B4FF-21019C0D6E58}"/>
    <hyperlink ref="B86" r:id="rId86" xr:uid="{9DAAAFF7-E5CF-49CD-93EA-B7208E91FF25}"/>
    <hyperlink ref="F86" r:id="rId87" xr:uid="{821B228F-28A3-441A-A971-A903942831BC}"/>
    <hyperlink ref="F87" r:id="rId88" xr:uid="{44D47250-7BB8-40FE-8817-1A96DEB04F40}"/>
    <hyperlink ref="F88" r:id="rId89" xr:uid="{17A1F3E9-1F6E-4A4A-A9E5-CBF896F3829B}"/>
    <hyperlink ref="F89" r:id="rId90" xr:uid="{3E208F1D-6776-4C81-AAA6-22F803096C9E}"/>
    <hyperlink ref="B46" r:id="rId91" xr:uid="{AA4046E4-825E-4516-B48E-57A2BF4AEA58}"/>
    <hyperlink ref="B47" r:id="rId92" xr:uid="{4C94FCB9-40D6-455C-8017-137DA96D51DD}"/>
    <hyperlink ref="F47" r:id="rId93" xr:uid="{9BD3E6B8-2C33-45EE-B165-8744D032012F}"/>
    <hyperlink ref="B48" r:id="rId94" xr:uid="{542768B7-3BA5-4182-A234-1FF7E29BF54A}"/>
    <hyperlink ref="F48" r:id="rId95" xr:uid="{974C017C-B04A-4EAE-9AC9-A844FA5A12EB}"/>
    <hyperlink ref="F14" r:id="rId96" xr:uid="{DDE134A8-F785-4885-B45A-B3A41AE0A664}"/>
    <hyperlink ref="B32" r:id="rId97" display="https://doi.org/10.1007/s11042-022-12577-w" xr:uid="{A6E1765E-0D64-4BA7-BA8D-0EB98F111639}"/>
    <hyperlink ref="F32" r:id="rId98" xr:uid="{17268B44-EEA7-4E02-A882-FAEE5090BE5F}"/>
    <hyperlink ref="F33" r:id="rId99" xr:uid="{A991681F-0BE7-42DB-828D-7886EC06E54A}"/>
    <hyperlink ref="F34" r:id="rId100" xr:uid="{CB394CD6-7118-4DD2-AA78-CEBCFA05EB3F}"/>
    <hyperlink ref="F36" r:id="rId101" xr:uid="{6B479A38-A7DD-4273-B96B-6EF48B7F54B6}"/>
    <hyperlink ref="F21" r:id="rId102" xr:uid="{7E83F3C1-191D-4006-A97A-1356D19A5DDC}"/>
    <hyperlink ref="B18" r:id="rId103" xr:uid="{71B510CD-C314-4347-AA44-96DE40273104}"/>
    <hyperlink ref="F18" r:id="rId104" xr:uid="{DEAE2ACB-1501-4AD5-8FE7-8EFF913D4184}"/>
    <hyperlink ref="F98" r:id="rId105" xr:uid="{4E6B64A3-01DB-4E8E-9E3C-93B9C75A083A}"/>
    <hyperlink ref="B98" r:id="rId106" xr:uid="{E8795A9B-E4F4-4A4A-83E2-8CC9504EE022}"/>
    <hyperlink ref="B99" r:id="rId107" xr:uid="{B46D4169-67DD-4132-86E6-1544CA234657}"/>
    <hyperlink ref="F99" r:id="rId108" xr:uid="{9902BEB2-E646-49C0-BDEB-3C9B398A4040}"/>
    <hyperlink ref="F100" r:id="rId109" xr:uid="{0321A624-7552-44A0-96A9-29C293BFCF8A}"/>
    <hyperlink ref="F101" r:id="rId110" xr:uid="{8128C542-6A34-4C7E-877E-E7236EFED0E0}"/>
    <hyperlink ref="F15" r:id="rId111" xr:uid="{F1E0DFEE-A0E5-43D2-97DF-D4A53522E53C}"/>
    <hyperlink ref="B110" r:id="rId112" xr:uid="{0404B889-803D-48FD-97A1-936F6BA6B5FA}"/>
    <hyperlink ref="F110" r:id="rId113" xr:uid="{18428326-7943-4C39-9C23-D8DE9D5E98FF}"/>
    <hyperlink ref="B111" r:id="rId114" xr:uid="{274FAD8E-5C62-48D1-900F-6D9815E2D05F}"/>
    <hyperlink ref="F111" r:id="rId115" location="Sec12" xr:uid="{E12FADBE-0970-41BE-9741-457DF39F08BA}"/>
    <hyperlink ref="B112" r:id="rId116" xr:uid="{EF7CD562-13D5-44F5-904B-E1030C5D93D9}"/>
    <hyperlink ref="F112" r:id="rId117" location="Abs1" xr:uid="{9F744F9A-6BF3-4643-866E-94A6F77D0881}"/>
    <hyperlink ref="B6" r:id="rId118" display="https://journals.sagepub.com/doi/10.1177/0145482X19842491" xr:uid="{AEFD5AE9-8737-4EAB-B0F6-8D59D147A183}"/>
    <hyperlink ref="B7" r:id="rId119" display="https://pdfs.semanticscholar.org/9dc6/62fe1c66d32fd96ad040285a9ec3af56c912.pdf/1000" xr:uid="{9CE84567-9F74-4FC3-B491-F1C917F1CCDF}"/>
    <hyperlink ref="B8" r:id="rId120" display="https://ojs.aaai.org/index.php/AAAI/article/view/25233?utm_source=chatgpt.com" xr:uid="{453D1C7A-A0FA-4764-B6AA-0CA8741AB665}"/>
    <hyperlink ref="B9" r:id="rId121" display="https://ieeexplore.ieee.org/document/6611022" xr:uid="{276EAC32-D923-42A3-A637-EDDE9A70F6BD}"/>
    <hyperlink ref="B10" r:id="rId122" display="https://ecasp.ece.iit.edu/publications/2012-present/2021-10.pdf" xr:uid="{6428AAAD-9606-4DB8-B2C3-A9FAB5B10B97}"/>
    <hyperlink ref="B11" r:id="rId123" display="https://arxiv.org/abs/2108.09174" xr:uid="{86EE1234-411E-45A2-A0E2-06D82FEAE2BA}"/>
    <hyperlink ref="B12" r:id="rId124" display="https://arxiv.org/abs/2201.03036" xr:uid="{71E22A33-06A4-451F-BB79-99DA09E07BF2}"/>
    <hyperlink ref="B13" r:id="rId125" display="https://arxiv.org/abs/2201.04453like " xr:uid="{C7D0DB2E-472C-4C04-8CF7-6F9639F6FEE2}"/>
    <hyperlink ref="F6" r:id="rId126" xr:uid="{3769F3C8-326A-444B-A6D0-176763558C56}"/>
    <hyperlink ref="F7" r:id="rId127" xr:uid="{1258BFD0-70EF-4764-8B76-3E807901716F}"/>
    <hyperlink ref="F8" r:id="rId128" xr:uid="{D1053B0C-25AA-42E1-8996-34ED881415F6}"/>
    <hyperlink ref="F9" r:id="rId129" xr:uid="{278C509F-7BF4-443B-953F-CC5AD2CEDB45}"/>
    <hyperlink ref="F10" r:id="rId130" xr:uid="{5738529B-02C9-46AD-9D3E-948872E6FB01}"/>
    <hyperlink ref="F11" r:id="rId131" xr:uid="{AC5B8272-DBC1-463A-88F4-3C2DFDEB8F6D}"/>
    <hyperlink ref="B113" r:id="rId132" xr:uid="{1131AE2C-265A-4A6F-BA10-3A9C691BE74B}"/>
    <hyperlink ref="F13" r:id="rId133" xr:uid="{B157A735-EEBD-412C-B2A0-71698D470DED}"/>
    <hyperlink ref="F113" r:id="rId134" location="Abs1" xr:uid="{0D845CC5-545F-494E-B3F8-B45E48E10AC5}"/>
    <hyperlink ref="F12" r:id="rId135" xr:uid="{F7610D62-63DF-45D4-86F3-4D1EFE96CD09}"/>
    <hyperlink ref="F114" r:id="rId136" location="Abs1" xr:uid="{BC53268C-122C-4B0E-BC92-DDA7C9193BC2}"/>
    <hyperlink ref="F115" r:id="rId137" location="Abs1" xr:uid="{CE00FF78-A843-4516-BA7E-41A15506B15B}"/>
    <hyperlink ref="B114" r:id="rId138" xr:uid="{172839CC-00BF-4DCA-AFEA-9B27AE0763B7}"/>
    <hyperlink ref="B116" r:id="rId139" xr:uid="{898EB911-85D5-4566-9C04-6D363BC0215F}"/>
    <hyperlink ref="B117" r:id="rId140" xr:uid="{266DABB3-93EC-44B8-9F8E-4904211D8390}"/>
    <hyperlink ref="F117" r:id="rId141" location="Abs1" xr:uid="{A5C1B74E-42CF-4642-83A6-0BB7011E80FC}"/>
    <hyperlink ref="B118" r:id="rId142" xr:uid="{3C05C4B8-C830-42AB-B2FD-A05A5344FA8C}"/>
    <hyperlink ref="F118" r:id="rId143" location="Abs1" xr:uid="{763FFED8-59C5-4DCC-8BD0-8AE7D2015E32}"/>
  </hyperlinks>
  <pageMargins left="0.75" right="0.75" top="1" bottom="1" header="0.511811023622047" footer="0.511811023622047"/>
  <pageSetup paperSize="9" orientation="portrait" horizontalDpi="300" verticalDpi="300"/>
  <tableParts count="1">
    <tablePart r:id="rId144"/>
  </tableParts>
  <extLst>
    <ext xmlns:x14="http://schemas.microsoft.com/office/spreadsheetml/2009/9/main" uri="{CCE6A557-97BC-4b89-ADB6-D9C93CAAB3DF}">
      <x14:dataValidations xmlns:xm="http://schemas.microsoft.com/office/excel/2006/main" count="1">
        <x14:dataValidation type="list" allowBlank="1" errorTitle="Invalid entry" error="Please choose a value from the dropdown list." promptTitle="Publisher" prompt="Select the publisher." xr:uid="{FD031193-5BE2-46A8-B059-D9AE5C6596E2}">
          <x14:formula1>
            <xm:f>Lists!$B$2:$B$11</xm:f>
          </x14:formula1>
          <x14:formula2>
            <xm:f>0</xm:f>
          </x14:formula2>
          <xm:sqref>E139 E2 E4 E137 E135 E133 E131 E14 E16 E18 E20 E22 E85 E26 E119 E29 E31 BC33 E35 E37 E39 E41 E43 E45 E47 E49 E121 E123 E125 E127 E129 E61 E63 E65 E67 E69 E71 E74 E76 E78 E80 E82 E152:E319 E87 E89 E91 E93 E95 E97 E99 E101 E103 E105 E107 E109 E111 E113 E115 E117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CB80-E348-4113-B99C-D14971046DFE}">
  <sheetPr>
    <tabColor rgb="FF003C71"/>
  </sheetPr>
  <dimension ref="A1:M187"/>
  <sheetViews>
    <sheetView zoomScaleNormal="100" workbookViewId="0">
      <pane xSplit="1" topLeftCell="K1" activePane="topRight" state="frozen"/>
      <selection pane="topRight" activeCell="K5" sqref="K5"/>
      <selection activeCell="A3" sqref="A3"/>
    </sheetView>
  </sheetViews>
  <sheetFormatPr defaultColWidth="13.42578125" defaultRowHeight="15"/>
  <cols>
    <col min="1" max="1" width="5" customWidth="1"/>
    <col min="2" max="2" width="33.28515625" customWidth="1"/>
    <col min="3" max="3" width="122.28515625" bestFit="1" customWidth="1"/>
    <col min="4" max="4" width="21.5703125" style="270" customWidth="1"/>
    <col min="5" max="5" width="17" style="33" bestFit="1" customWidth="1"/>
    <col min="6" max="6" width="78" bestFit="1" customWidth="1"/>
    <col min="7" max="7" width="44.140625" bestFit="1" customWidth="1"/>
    <col min="8" max="8" width="23.140625" customWidth="1"/>
    <col min="9" max="9" width="133" bestFit="1" customWidth="1"/>
    <col min="10" max="10" width="99.140625" bestFit="1" customWidth="1"/>
    <col min="11" max="11" width="221.7109375" bestFit="1" customWidth="1"/>
    <col min="12" max="12" width="99.140625" customWidth="1"/>
    <col min="13" max="13" width="15" customWidth="1"/>
    <col min="14" max="14" width="18" customWidth="1"/>
  </cols>
  <sheetData>
    <row r="1" spans="1:13">
      <c r="B1" s="38" t="s">
        <v>0</v>
      </c>
      <c r="C1" s="38" t="s">
        <v>1</v>
      </c>
      <c r="D1" s="264" t="s">
        <v>2</v>
      </c>
      <c r="E1" s="38" t="s">
        <v>3</v>
      </c>
      <c r="F1" s="38" t="s">
        <v>4</v>
      </c>
      <c r="G1" s="38" t="s">
        <v>5</v>
      </c>
      <c r="H1" s="38" t="s">
        <v>6</v>
      </c>
      <c r="I1" s="38" t="s">
        <v>7</v>
      </c>
      <c r="J1" s="38" t="s">
        <v>8</v>
      </c>
      <c r="K1" s="38" t="s">
        <v>9</v>
      </c>
      <c r="L1" s="38" t="s">
        <v>10</v>
      </c>
      <c r="M1" s="38" t="s">
        <v>11</v>
      </c>
    </row>
    <row r="2" spans="1:13" ht="28.5">
      <c r="A2" s="353" t="s">
        <v>352</v>
      </c>
      <c r="B2" s="35" t="s">
        <v>353</v>
      </c>
      <c r="C2" s="98" t="s">
        <v>354</v>
      </c>
      <c r="D2" s="266">
        <v>2007</v>
      </c>
      <c r="E2" s="172" t="s">
        <v>18</v>
      </c>
      <c r="F2" s="47" t="s">
        <v>355</v>
      </c>
      <c r="G2" s="35"/>
      <c r="H2" s="72" t="s">
        <v>55</v>
      </c>
      <c r="I2" s="177"/>
      <c r="J2" s="35"/>
      <c r="K2" s="35"/>
    </row>
    <row r="3" spans="1:13" ht="45.75">
      <c r="A3" s="353"/>
      <c r="B3" s="57" t="s">
        <v>356</v>
      </c>
      <c r="C3" s="173" t="s">
        <v>357</v>
      </c>
      <c r="D3" s="366">
        <v>2024</v>
      </c>
      <c r="E3" s="33" t="s">
        <v>64</v>
      </c>
      <c r="F3" s="45" t="s">
        <v>358</v>
      </c>
      <c r="G3" s="80" t="s">
        <v>359</v>
      </c>
      <c r="H3" s="75" t="s">
        <v>21</v>
      </c>
      <c r="I3" s="176" t="s">
        <v>360</v>
      </c>
      <c r="J3" s="34" t="s">
        <v>361</v>
      </c>
      <c r="K3" s="34" t="s">
        <v>362</v>
      </c>
    </row>
    <row r="4" spans="1:13" ht="57.75">
      <c r="A4" s="353"/>
      <c r="B4" s="35" t="s">
        <v>363</v>
      </c>
      <c r="C4" s="175" t="s">
        <v>364</v>
      </c>
      <c r="D4" s="267">
        <v>2025</v>
      </c>
      <c r="E4" s="172" t="s">
        <v>143</v>
      </c>
      <c r="F4" s="47" t="s">
        <v>366</v>
      </c>
      <c r="G4" s="179" t="s">
        <v>367</v>
      </c>
      <c r="H4" s="75" t="s">
        <v>368</v>
      </c>
      <c r="I4" s="177"/>
      <c r="J4" s="35"/>
      <c r="K4" s="35"/>
    </row>
    <row r="5" spans="1:13" ht="30.75">
      <c r="A5" s="353"/>
      <c r="C5" s="174" t="s">
        <v>369</v>
      </c>
      <c r="D5" s="267">
        <v>2024</v>
      </c>
      <c r="E5" s="44">
        <v>2024</v>
      </c>
      <c r="F5" s="34"/>
      <c r="G5" s="34"/>
      <c r="H5" s="72" t="s">
        <v>55</v>
      </c>
      <c r="I5" s="176" t="s">
        <v>370</v>
      </c>
      <c r="J5" s="34"/>
      <c r="K5" s="34"/>
    </row>
    <row r="6" spans="1:13" ht="28.5">
      <c r="A6" s="353"/>
      <c r="B6" s="35"/>
      <c r="C6" s="98" t="s">
        <v>371</v>
      </c>
      <c r="D6" s="268">
        <v>45778</v>
      </c>
      <c r="E6" s="83"/>
      <c r="F6" s="35"/>
      <c r="G6" s="35"/>
      <c r="H6" s="72" t="s">
        <v>55</v>
      </c>
      <c r="I6" s="177" t="s">
        <v>370</v>
      </c>
      <c r="J6" s="35"/>
      <c r="K6" s="35"/>
    </row>
    <row r="7" spans="1:13" ht="30.75">
      <c r="A7" s="353"/>
      <c r="B7" s="41" t="s">
        <v>372</v>
      </c>
      <c r="C7" s="174" t="s">
        <v>373</v>
      </c>
      <c r="D7" s="267">
        <v>2024</v>
      </c>
      <c r="E7" s="33" t="s">
        <v>374</v>
      </c>
      <c r="F7" s="45" t="s">
        <v>375</v>
      </c>
      <c r="G7" s="34"/>
      <c r="H7" s="72" t="s">
        <v>55</v>
      </c>
      <c r="I7" s="176" t="s">
        <v>370</v>
      </c>
      <c r="J7" s="34"/>
      <c r="K7" s="34"/>
    </row>
    <row r="8" spans="1:13" ht="43.5">
      <c r="A8" s="353"/>
      <c r="B8" s="76">
        <v>2025</v>
      </c>
      <c r="C8" s="98" t="s">
        <v>376</v>
      </c>
      <c r="D8" s="269">
        <v>40765</v>
      </c>
      <c r="E8" s="172" t="s">
        <v>377</v>
      </c>
      <c r="F8" s="35"/>
      <c r="G8" s="35"/>
      <c r="H8" s="72" t="s">
        <v>55</v>
      </c>
      <c r="I8" s="177" t="s">
        <v>370</v>
      </c>
      <c r="J8" s="35"/>
      <c r="K8" s="35"/>
    </row>
    <row r="9" spans="1:13" ht="16.5">
      <c r="A9" s="353"/>
      <c r="E9" s="33" t="s">
        <v>378</v>
      </c>
      <c r="F9" s="34"/>
      <c r="G9" s="34"/>
      <c r="H9" s="72" t="s">
        <v>55</v>
      </c>
      <c r="I9" s="176" t="s">
        <v>370</v>
      </c>
      <c r="J9" s="34"/>
      <c r="K9" s="34"/>
    </row>
    <row r="10" spans="1:13" ht="16.5">
      <c r="A10" s="353"/>
      <c r="B10" s="35"/>
      <c r="C10" s="35"/>
      <c r="D10" s="271"/>
      <c r="E10" s="83"/>
      <c r="F10" s="35"/>
      <c r="G10" s="35"/>
      <c r="H10" s="72" t="s">
        <v>55</v>
      </c>
      <c r="I10" s="177" t="s">
        <v>370</v>
      </c>
      <c r="J10" s="35"/>
      <c r="K10" s="35"/>
    </row>
    <row r="11" spans="1:13" ht="16.5">
      <c r="A11" s="353"/>
      <c r="F11" s="34"/>
      <c r="G11" s="34"/>
      <c r="H11" s="72" t="s">
        <v>55</v>
      </c>
      <c r="I11" s="176" t="s">
        <v>370</v>
      </c>
      <c r="J11" s="34"/>
      <c r="K11" s="34"/>
    </row>
    <row r="12" spans="1:13" ht="16.5">
      <c r="A12" s="353"/>
      <c r="B12" s="35"/>
      <c r="C12" s="35"/>
      <c r="D12" s="271"/>
      <c r="E12" s="83"/>
      <c r="F12" s="35"/>
      <c r="G12" s="35"/>
      <c r="H12" s="72" t="s">
        <v>55</v>
      </c>
      <c r="I12" s="177" t="s">
        <v>370</v>
      </c>
      <c r="J12" s="35"/>
      <c r="K12" s="35"/>
    </row>
    <row r="13" spans="1:13" ht="43.5">
      <c r="A13" s="353"/>
      <c r="B13" s="55" t="s">
        <v>379</v>
      </c>
      <c r="C13" s="43" t="s">
        <v>380</v>
      </c>
      <c r="D13" s="265">
        <v>2026</v>
      </c>
      <c r="E13" s="77" t="s">
        <v>239</v>
      </c>
      <c r="F13" s="78" t="s">
        <v>381</v>
      </c>
      <c r="G13" s="49" t="s">
        <v>382</v>
      </c>
      <c r="H13" s="75" t="s">
        <v>221</v>
      </c>
      <c r="I13" s="49" t="s">
        <v>383</v>
      </c>
      <c r="J13" s="42" t="s">
        <v>384</v>
      </c>
      <c r="K13" s="35" t="s">
        <v>385</v>
      </c>
    </row>
    <row r="20" spans="2:7">
      <c r="B20" s="25"/>
      <c r="D20" s="272"/>
      <c r="F20" s="25"/>
      <c r="G20" s="25"/>
    </row>
    <row r="21" spans="2:7">
      <c r="B21" s="25" t="str">
        <f>IF(C21="","","PID-"&amp;TEXT(ROW()-2,"0000"))</f>
        <v/>
      </c>
      <c r="D21" s="272"/>
      <c r="F21" s="25"/>
      <c r="G21" s="25"/>
    </row>
    <row r="22" spans="2:7">
      <c r="B22" s="25" t="str">
        <f>IF(C22="","","PID-"&amp;TEXT(ROW()-2,"0000"))</f>
        <v/>
      </c>
      <c r="D22" s="272"/>
      <c r="F22" s="25"/>
      <c r="G22" s="25"/>
    </row>
    <row r="23" spans="2:7">
      <c r="B23" s="25" t="str">
        <f>IF(C23="","","PID-"&amp;TEXT(ROW()-2,"0000"))</f>
        <v/>
      </c>
      <c r="D23" s="272"/>
      <c r="F23" s="25"/>
      <c r="G23" s="25"/>
    </row>
    <row r="24" spans="2:7">
      <c r="B24" s="25" t="str">
        <f>IF(C24="","","PID-"&amp;TEXT(ROW()-2,"0000"))</f>
        <v/>
      </c>
      <c r="D24" s="272"/>
      <c r="F24" s="25"/>
      <c r="G24" s="25"/>
    </row>
    <row r="25" spans="2:7">
      <c r="B25" s="25" t="str">
        <f>IF(C25="","","PID-"&amp;TEXT(ROW()-2,"0000"))</f>
        <v/>
      </c>
      <c r="D25" s="272"/>
      <c r="F25" s="25"/>
      <c r="G25" s="25"/>
    </row>
    <row r="26" spans="2:7">
      <c r="B26" s="25" t="str">
        <f>IF(C26="","","PID-"&amp;TEXT(ROW()-2,"0000"))</f>
        <v/>
      </c>
      <c r="C26" s="25"/>
      <c r="D26" s="272"/>
      <c r="F26" s="25"/>
      <c r="G26" s="25"/>
    </row>
    <row r="27" spans="2:7">
      <c r="B27" s="25" t="str">
        <f>IF(C27="","","PID-"&amp;TEXT(ROW()-2,"0000"))</f>
        <v/>
      </c>
      <c r="C27" s="25"/>
      <c r="D27" s="272"/>
      <c r="E27" s="255"/>
      <c r="F27" s="25"/>
      <c r="G27" s="25"/>
    </row>
    <row r="28" spans="2:7">
      <c r="B28" s="25" t="str">
        <f>IF(C28="","","PID-"&amp;TEXT(ROW()-2,"0000"))</f>
        <v/>
      </c>
      <c r="C28" s="25"/>
      <c r="D28" s="272"/>
      <c r="E28" s="255"/>
      <c r="F28" s="25"/>
      <c r="G28" s="25"/>
    </row>
    <row r="29" spans="2:7">
      <c r="B29" s="25" t="str">
        <f>IF(C29="","","PID-"&amp;TEXT(ROW()-2,"0000"))</f>
        <v/>
      </c>
      <c r="C29" s="25"/>
      <c r="D29" s="272"/>
      <c r="E29" s="255"/>
      <c r="F29" s="25"/>
      <c r="G29" s="25"/>
    </row>
    <row r="30" spans="2:7">
      <c r="B30" s="25" t="str">
        <f>IF(C30="","","PID-"&amp;TEXT(ROW()-2,"0000"))</f>
        <v/>
      </c>
      <c r="C30" s="25"/>
      <c r="D30" s="272"/>
      <c r="E30" s="255"/>
      <c r="F30" s="25"/>
      <c r="G30" s="25"/>
    </row>
    <row r="31" spans="2:7">
      <c r="B31" s="25" t="str">
        <f>IF(C31="","","PID-"&amp;TEXT(ROW()-2,"0000"))</f>
        <v/>
      </c>
      <c r="C31" s="25"/>
      <c r="D31" s="272"/>
      <c r="E31" s="255"/>
      <c r="F31" s="25"/>
      <c r="G31" s="25"/>
    </row>
    <row r="32" spans="2:7">
      <c r="B32" s="25" t="str">
        <f>IF(C32="","","PID-"&amp;TEXT(ROW()-2,"0000"))</f>
        <v/>
      </c>
      <c r="C32" s="25"/>
      <c r="D32" s="272"/>
      <c r="E32" s="255"/>
      <c r="F32" s="25"/>
      <c r="G32" s="25"/>
    </row>
    <row r="33" spans="2:7">
      <c r="B33" s="25" t="str">
        <f>IF(C33="","","PID-"&amp;TEXT(ROW()-2,"0000"))</f>
        <v/>
      </c>
      <c r="C33" s="25"/>
      <c r="D33" s="272"/>
      <c r="E33" s="255"/>
      <c r="F33" s="25"/>
      <c r="G33" s="25"/>
    </row>
    <row r="34" spans="2:7">
      <c r="B34" s="25" t="str">
        <f>IF(C34="","","PID-"&amp;TEXT(ROW()-2,"0000"))</f>
        <v/>
      </c>
      <c r="C34" s="25"/>
      <c r="D34" s="272"/>
      <c r="E34" s="255"/>
      <c r="F34" s="25"/>
      <c r="G34" s="25"/>
    </row>
    <row r="35" spans="2:7">
      <c r="B35" s="25" t="str">
        <f>IF(C35="","","PID-"&amp;TEXT(ROW()-2,"0000"))</f>
        <v/>
      </c>
      <c r="C35" s="25"/>
      <c r="D35" s="272"/>
      <c r="E35" s="255"/>
      <c r="F35" s="25"/>
      <c r="G35" s="25"/>
    </row>
    <row r="36" spans="2:7">
      <c r="B36" s="25" t="str">
        <f>IF(C36="","","PID-"&amp;TEXT(ROW()-2,"0000"))</f>
        <v/>
      </c>
      <c r="C36" s="25"/>
      <c r="D36" s="272"/>
      <c r="E36" s="255"/>
      <c r="F36" s="25"/>
      <c r="G36" s="25"/>
    </row>
    <row r="37" spans="2:7">
      <c r="B37" s="25" t="str">
        <f>IF(C37="","","PID-"&amp;TEXT(ROW()-2,"0000"))</f>
        <v/>
      </c>
      <c r="C37" s="25"/>
      <c r="D37" s="272"/>
      <c r="E37" s="255"/>
      <c r="F37" s="25"/>
      <c r="G37" s="25"/>
    </row>
    <row r="38" spans="2:7">
      <c r="B38" s="25" t="str">
        <f>IF(C38="","","PID-"&amp;TEXT(ROW()-2,"0000"))</f>
        <v/>
      </c>
      <c r="C38" s="25"/>
      <c r="D38" s="272"/>
      <c r="E38" s="255"/>
      <c r="F38" s="25"/>
      <c r="G38" s="25"/>
    </row>
    <row r="39" spans="2:7">
      <c r="B39" s="25" t="str">
        <f>IF(C39="","","PID-"&amp;TEXT(ROW()-2,"0000"))</f>
        <v/>
      </c>
      <c r="C39" s="25"/>
      <c r="D39" s="272"/>
      <c r="E39" s="255"/>
      <c r="F39" s="25"/>
      <c r="G39" s="25"/>
    </row>
    <row r="40" spans="2:7">
      <c r="B40" s="25" t="str">
        <f>IF(C40="","","PID-"&amp;TEXT(ROW()-2,"0000"))</f>
        <v/>
      </c>
      <c r="C40" s="25"/>
      <c r="D40" s="272"/>
      <c r="E40" s="255"/>
      <c r="F40" s="25"/>
      <c r="G40" s="25"/>
    </row>
    <row r="41" spans="2:7">
      <c r="B41" s="25" t="str">
        <f>IF(C41="","","PID-"&amp;TEXT(ROW()-2,"0000"))</f>
        <v/>
      </c>
      <c r="C41" s="25"/>
      <c r="D41" s="272"/>
      <c r="E41" s="255"/>
      <c r="F41" s="25"/>
      <c r="G41" s="25"/>
    </row>
    <row r="42" spans="2:7">
      <c r="B42" s="25" t="str">
        <f>IF(C42="","","PID-"&amp;TEXT(ROW()-2,"0000"))</f>
        <v/>
      </c>
      <c r="C42" s="25"/>
      <c r="D42" s="272"/>
      <c r="E42" s="255"/>
      <c r="F42" s="25"/>
      <c r="G42" s="25"/>
    </row>
    <row r="43" spans="2:7">
      <c r="B43" s="25" t="str">
        <f>IF(C43="","","PID-"&amp;TEXT(ROW()-2,"0000"))</f>
        <v/>
      </c>
      <c r="C43" s="25"/>
      <c r="D43" s="272"/>
      <c r="E43" s="255"/>
      <c r="F43" s="25"/>
      <c r="G43" s="25"/>
    </row>
    <row r="44" spans="2:7">
      <c r="B44" s="25" t="str">
        <f>IF(C44="","","PID-"&amp;TEXT(ROW()-2,"0000"))</f>
        <v/>
      </c>
      <c r="C44" s="25"/>
      <c r="D44" s="272"/>
      <c r="E44" s="255"/>
      <c r="F44" s="25"/>
      <c r="G44" s="25"/>
    </row>
    <row r="45" spans="2:7">
      <c r="B45" s="25" t="str">
        <f>IF(C45="","","PID-"&amp;TEXT(ROW()-2,"0000"))</f>
        <v/>
      </c>
      <c r="C45" s="25"/>
      <c r="D45" s="272"/>
      <c r="E45" s="255"/>
      <c r="F45" s="25"/>
      <c r="G45" s="25"/>
    </row>
    <row r="46" spans="2:7">
      <c r="B46" s="25" t="str">
        <f>IF(C46="","","PID-"&amp;TEXT(ROW()-2,"0000"))</f>
        <v/>
      </c>
      <c r="C46" s="25"/>
      <c r="D46" s="272"/>
      <c r="E46" s="255"/>
      <c r="F46" s="25"/>
      <c r="G46" s="25"/>
    </row>
    <row r="47" spans="2:7">
      <c r="B47" s="25" t="str">
        <f>IF(C47="","","PID-"&amp;TEXT(ROW()-2,"0000"))</f>
        <v/>
      </c>
      <c r="C47" s="25"/>
      <c r="D47" s="272"/>
      <c r="E47" s="255"/>
      <c r="F47" s="25"/>
      <c r="G47" s="25"/>
    </row>
    <row r="48" spans="2:7">
      <c r="B48" s="25" t="str">
        <f>IF(C48="","","PID-"&amp;TEXT(ROW()-2,"0000"))</f>
        <v/>
      </c>
      <c r="C48" s="25"/>
      <c r="D48" s="272"/>
      <c r="E48" s="255"/>
      <c r="F48" s="25"/>
      <c r="G48" s="25"/>
    </row>
    <row r="49" spans="2:7">
      <c r="B49" s="25" t="str">
        <f>IF(C49="","","PID-"&amp;TEXT(ROW()-2,"0000"))</f>
        <v/>
      </c>
      <c r="C49" s="25"/>
      <c r="D49" s="272"/>
      <c r="E49" s="255"/>
      <c r="F49" s="25"/>
      <c r="G49" s="25"/>
    </row>
    <row r="50" spans="2:7">
      <c r="B50" s="25" t="str">
        <f>IF(C50="","","PID-"&amp;TEXT(ROW()-2,"0000"))</f>
        <v/>
      </c>
      <c r="C50" s="25"/>
      <c r="D50" s="272"/>
      <c r="E50" s="255"/>
      <c r="F50" s="25"/>
      <c r="G50" s="25"/>
    </row>
    <row r="51" spans="2:7">
      <c r="B51" s="25" t="str">
        <f>IF(C51="","","PID-"&amp;TEXT(ROW()-2,"0000"))</f>
        <v/>
      </c>
      <c r="C51" s="25"/>
      <c r="D51" s="272"/>
      <c r="E51" s="255"/>
      <c r="F51" s="25"/>
      <c r="G51" s="25"/>
    </row>
    <row r="52" spans="2:7">
      <c r="B52" s="25" t="str">
        <f>IF(C52="","","PID-"&amp;TEXT(ROW()-2,"0000"))</f>
        <v/>
      </c>
      <c r="C52" s="25"/>
      <c r="D52" s="272"/>
      <c r="E52" s="255"/>
      <c r="F52" s="25"/>
      <c r="G52" s="25"/>
    </row>
    <row r="53" spans="2:7">
      <c r="B53" s="25" t="str">
        <f>IF(C53="","","PID-"&amp;TEXT(ROW()-2,"0000"))</f>
        <v/>
      </c>
      <c r="C53" s="25"/>
      <c r="D53" s="272"/>
      <c r="E53" s="255"/>
      <c r="F53" s="25"/>
      <c r="G53" s="25"/>
    </row>
    <row r="54" spans="2:7">
      <c r="B54" s="25" t="str">
        <f>IF(C54="","","PID-"&amp;TEXT(ROW()-2,"0000"))</f>
        <v/>
      </c>
      <c r="C54" s="25"/>
      <c r="D54" s="272"/>
      <c r="E54" s="255"/>
      <c r="F54" s="25"/>
      <c r="G54" s="25"/>
    </row>
    <row r="55" spans="2:7">
      <c r="B55" s="25" t="str">
        <f>IF(C55="","","PID-"&amp;TEXT(ROW()-2,"0000"))</f>
        <v/>
      </c>
      <c r="C55" s="25"/>
      <c r="D55" s="272"/>
      <c r="E55" s="255"/>
      <c r="F55" s="25"/>
      <c r="G55" s="25"/>
    </row>
    <row r="56" spans="2:7">
      <c r="B56" s="25" t="str">
        <f>IF(C56="","","PID-"&amp;TEXT(ROW()-2,"0000"))</f>
        <v/>
      </c>
      <c r="C56" s="25"/>
      <c r="D56" s="272"/>
      <c r="E56" s="255"/>
      <c r="F56" s="25"/>
      <c r="G56" s="25"/>
    </row>
    <row r="57" spans="2:7">
      <c r="B57" s="25" t="str">
        <f>IF(C57="","","PID-"&amp;TEXT(ROW()-2,"0000"))</f>
        <v/>
      </c>
      <c r="C57" s="25"/>
      <c r="D57" s="272"/>
      <c r="E57" s="255"/>
      <c r="F57" s="25"/>
      <c r="G57" s="25"/>
    </row>
    <row r="58" spans="2:7">
      <c r="B58" s="25" t="str">
        <f>IF(C58="","","PID-"&amp;TEXT(ROW()-2,"0000"))</f>
        <v/>
      </c>
      <c r="C58" s="25"/>
      <c r="D58" s="272"/>
      <c r="E58" s="255"/>
      <c r="F58" s="25"/>
      <c r="G58" s="25"/>
    </row>
    <row r="59" spans="2:7">
      <c r="B59" s="25" t="str">
        <f>IF(C59="","","PID-"&amp;TEXT(ROW()-2,"0000"))</f>
        <v/>
      </c>
      <c r="C59" s="25"/>
      <c r="D59" s="272"/>
      <c r="E59" s="255"/>
      <c r="F59" s="25"/>
      <c r="G59" s="25"/>
    </row>
    <row r="60" spans="2:7">
      <c r="B60" s="25" t="str">
        <f>IF(C60="","","PID-"&amp;TEXT(ROW()-2,"0000"))</f>
        <v/>
      </c>
      <c r="C60" s="25"/>
      <c r="D60" s="272"/>
      <c r="E60" s="255"/>
      <c r="F60" s="25"/>
      <c r="G60" s="25"/>
    </row>
    <row r="61" spans="2:7">
      <c r="B61" s="25" t="str">
        <f>IF(C61="","","PID-"&amp;TEXT(ROW()-2,"0000"))</f>
        <v/>
      </c>
      <c r="C61" s="25"/>
      <c r="D61" s="272"/>
      <c r="E61" s="255"/>
      <c r="F61" s="25"/>
      <c r="G61" s="25"/>
    </row>
    <row r="62" spans="2:7">
      <c r="B62" s="25" t="str">
        <f>IF(C62="","","PID-"&amp;TEXT(ROW()-2,"0000"))</f>
        <v/>
      </c>
      <c r="C62" s="25"/>
      <c r="D62" s="272"/>
      <c r="E62" s="255"/>
      <c r="F62" s="25"/>
      <c r="G62" s="25"/>
    </row>
    <row r="63" spans="2:7">
      <c r="B63" s="25" t="str">
        <f>IF(C63="","","PID-"&amp;TEXT(ROW()-2,"0000"))</f>
        <v/>
      </c>
      <c r="C63" s="25"/>
      <c r="D63" s="272"/>
      <c r="E63" s="255"/>
      <c r="F63" s="25"/>
      <c r="G63" s="25"/>
    </row>
    <row r="64" spans="2:7">
      <c r="B64" s="25" t="str">
        <f>IF(C64="","","PID-"&amp;TEXT(ROW()-2,"0000"))</f>
        <v/>
      </c>
      <c r="C64" s="25"/>
      <c r="D64" s="272"/>
      <c r="E64" s="255"/>
      <c r="F64" s="25"/>
      <c r="G64" s="25"/>
    </row>
    <row r="65" spans="2:7">
      <c r="B65" s="25" t="str">
        <f>IF(C65="","","PID-"&amp;TEXT(ROW()-2,"0000"))</f>
        <v/>
      </c>
      <c r="C65" s="25"/>
      <c r="D65" s="272"/>
      <c r="E65" s="255"/>
      <c r="F65" s="25"/>
      <c r="G65" s="25"/>
    </row>
    <row r="66" spans="2:7">
      <c r="B66" s="25" t="str">
        <f>IF(C66="","","PID-"&amp;TEXT(ROW()-2,"0000"))</f>
        <v/>
      </c>
      <c r="C66" s="25"/>
      <c r="D66" s="272"/>
      <c r="E66" s="255"/>
      <c r="F66" s="25"/>
      <c r="G66" s="25"/>
    </row>
    <row r="67" spans="2:7">
      <c r="B67" s="25" t="str">
        <f>IF(C67="","","PID-"&amp;TEXT(ROW()-2,"0000"))</f>
        <v/>
      </c>
      <c r="C67" s="25"/>
      <c r="D67" s="272"/>
      <c r="E67" s="255"/>
      <c r="F67" s="25"/>
      <c r="G67" s="25"/>
    </row>
    <row r="68" spans="2:7">
      <c r="B68" s="25" t="str">
        <f>IF(C68="","","PID-"&amp;TEXT(ROW()-2,"0000"))</f>
        <v/>
      </c>
      <c r="C68" s="25"/>
      <c r="D68" s="272"/>
      <c r="E68" s="255"/>
      <c r="F68" s="25"/>
      <c r="G68" s="25"/>
    </row>
    <row r="69" spans="2:7">
      <c r="B69" s="25" t="str">
        <f>IF(C69="","","PID-"&amp;TEXT(ROW()-2,"0000"))</f>
        <v/>
      </c>
      <c r="C69" s="25"/>
      <c r="D69" s="272"/>
      <c r="E69" s="255"/>
      <c r="F69" s="25"/>
      <c r="G69" s="25"/>
    </row>
    <row r="70" spans="2:7">
      <c r="B70" s="25" t="str">
        <f>IF(C70="","","PID-"&amp;TEXT(ROW()-2,"0000"))</f>
        <v/>
      </c>
      <c r="C70" s="25"/>
      <c r="D70" s="272"/>
      <c r="E70" s="255"/>
      <c r="F70" s="25"/>
      <c r="G70" s="25"/>
    </row>
    <row r="71" spans="2:7">
      <c r="B71" s="25" t="str">
        <f>IF(C71="","","PID-"&amp;TEXT(ROW()-2,"0000"))</f>
        <v/>
      </c>
      <c r="C71" s="25"/>
      <c r="D71" s="272"/>
      <c r="E71" s="255"/>
      <c r="F71" s="25"/>
      <c r="G71" s="25"/>
    </row>
    <row r="72" spans="2:7">
      <c r="B72" s="25" t="str">
        <f>IF(C72="","","PID-"&amp;TEXT(ROW()-2,"0000"))</f>
        <v/>
      </c>
      <c r="C72" s="25"/>
      <c r="D72" s="272"/>
      <c r="E72" s="255"/>
      <c r="F72" s="25"/>
      <c r="G72" s="25"/>
    </row>
    <row r="73" spans="2:7">
      <c r="B73" s="25" t="str">
        <f>IF(C73="","","PID-"&amp;TEXT(ROW()-2,"0000"))</f>
        <v/>
      </c>
      <c r="C73" s="25"/>
      <c r="D73" s="272"/>
      <c r="E73" s="255"/>
      <c r="F73" s="25"/>
      <c r="G73" s="25"/>
    </row>
    <row r="74" spans="2:7">
      <c r="B74" s="25" t="str">
        <f>IF(C74="","","PID-"&amp;TEXT(ROW()-2,"0000"))</f>
        <v/>
      </c>
      <c r="C74" s="25"/>
      <c r="D74" s="272"/>
      <c r="E74" s="255"/>
      <c r="F74" s="25"/>
      <c r="G74" s="25"/>
    </row>
    <row r="75" spans="2:7">
      <c r="B75" s="25" t="str">
        <f>IF(C75="","","PID-"&amp;TEXT(ROW()-2,"0000"))</f>
        <v/>
      </c>
      <c r="C75" s="25"/>
      <c r="D75" s="272"/>
      <c r="E75" s="255"/>
      <c r="F75" s="25"/>
      <c r="G75" s="25"/>
    </row>
    <row r="76" spans="2:7">
      <c r="B76" s="25" t="str">
        <f>IF(C76="","","PID-"&amp;TEXT(ROW()-2,"0000"))</f>
        <v/>
      </c>
      <c r="C76" s="25"/>
      <c r="D76" s="272"/>
      <c r="E76" s="255"/>
      <c r="F76" s="25"/>
      <c r="G76" s="25"/>
    </row>
    <row r="77" spans="2:7">
      <c r="B77" s="25" t="str">
        <f>IF(C77="","","PID-"&amp;TEXT(ROW()-2,"0000"))</f>
        <v/>
      </c>
      <c r="C77" s="25"/>
      <c r="D77" s="272"/>
      <c r="E77" s="255"/>
      <c r="F77" s="25"/>
      <c r="G77" s="25"/>
    </row>
    <row r="78" spans="2:7">
      <c r="B78" s="25" t="str">
        <f>IF(C78="","","PID-"&amp;TEXT(ROW()-2,"0000"))</f>
        <v/>
      </c>
      <c r="C78" s="25"/>
      <c r="D78" s="272"/>
      <c r="E78" s="255"/>
      <c r="F78" s="25"/>
      <c r="G78" s="25"/>
    </row>
    <row r="79" spans="2:7">
      <c r="B79" s="25" t="str">
        <f>IF(C79="","","PID-"&amp;TEXT(ROW()-2,"0000"))</f>
        <v/>
      </c>
      <c r="C79" s="25"/>
      <c r="D79" s="272"/>
      <c r="E79" s="255"/>
      <c r="F79" s="25"/>
      <c r="G79" s="25"/>
    </row>
    <row r="80" spans="2:7">
      <c r="B80" s="25" t="str">
        <f>IF(C80="","","PID-"&amp;TEXT(ROW()-2,"0000"))</f>
        <v/>
      </c>
      <c r="C80" s="25"/>
      <c r="D80" s="272"/>
      <c r="E80" s="255"/>
      <c r="F80" s="25"/>
      <c r="G80" s="25"/>
    </row>
    <row r="81" spans="2:7">
      <c r="B81" s="25" t="str">
        <f>IF(C81="","","PID-"&amp;TEXT(ROW()-2,"0000"))</f>
        <v/>
      </c>
      <c r="C81" s="25"/>
      <c r="D81" s="272"/>
      <c r="E81" s="255"/>
      <c r="F81" s="25"/>
      <c r="G81" s="25"/>
    </row>
    <row r="82" spans="2:7">
      <c r="B82" s="25" t="str">
        <f>IF(C82="","","PID-"&amp;TEXT(ROW()-2,"0000"))</f>
        <v/>
      </c>
      <c r="C82" s="25"/>
      <c r="D82" s="272"/>
      <c r="E82" s="255"/>
      <c r="F82" s="25"/>
      <c r="G82" s="25"/>
    </row>
    <row r="83" spans="2:7">
      <c r="B83" s="25" t="str">
        <f>IF(C83="","","PID-"&amp;TEXT(ROW()-2,"0000"))</f>
        <v/>
      </c>
      <c r="C83" s="25"/>
      <c r="D83" s="272"/>
      <c r="E83" s="255"/>
      <c r="F83" s="25"/>
      <c r="G83" s="25"/>
    </row>
    <row r="84" spans="2:7">
      <c r="B84" s="25" t="str">
        <f>IF(C84="","","PID-"&amp;TEXT(ROW()-2,"0000"))</f>
        <v/>
      </c>
      <c r="C84" s="25"/>
      <c r="D84" s="272"/>
      <c r="E84" s="255"/>
      <c r="F84" s="25"/>
      <c r="G84" s="25"/>
    </row>
    <row r="85" spans="2:7">
      <c r="B85" s="25" t="str">
        <f>IF(C85="","","PID-"&amp;TEXT(ROW()-2,"0000"))</f>
        <v/>
      </c>
      <c r="C85" s="25"/>
      <c r="D85" s="272"/>
      <c r="E85" s="255"/>
      <c r="F85" s="25"/>
      <c r="G85" s="25"/>
    </row>
    <row r="86" spans="2:7">
      <c r="B86" s="25" t="str">
        <f>IF(C86="","","PID-"&amp;TEXT(ROW()-2,"0000"))</f>
        <v/>
      </c>
      <c r="C86" s="25"/>
      <c r="D86" s="272"/>
      <c r="E86" s="255"/>
      <c r="F86" s="25"/>
      <c r="G86" s="25"/>
    </row>
    <row r="87" spans="2:7">
      <c r="B87" s="25" t="str">
        <f>IF(C87="","","PID-"&amp;TEXT(ROW()-2,"0000"))</f>
        <v/>
      </c>
      <c r="C87" s="25"/>
      <c r="D87" s="272"/>
      <c r="E87" s="255"/>
      <c r="F87" s="25"/>
      <c r="G87" s="25"/>
    </row>
    <row r="88" spans="2:7">
      <c r="B88" s="25" t="str">
        <f>IF(C88="","","PID-"&amp;TEXT(ROW()-2,"0000"))</f>
        <v/>
      </c>
      <c r="C88" s="25"/>
      <c r="D88" s="272"/>
      <c r="E88" s="255"/>
      <c r="F88" s="25"/>
      <c r="G88" s="25"/>
    </row>
    <row r="89" spans="2:7">
      <c r="B89" s="25" t="str">
        <f>IF(C89="","","PID-"&amp;TEXT(ROW()-2,"0000"))</f>
        <v/>
      </c>
      <c r="C89" s="25"/>
      <c r="D89" s="272"/>
      <c r="E89" s="255"/>
      <c r="F89" s="25"/>
      <c r="G89" s="25"/>
    </row>
    <row r="90" spans="2:7">
      <c r="B90" s="25" t="str">
        <f>IF(C90="","","PID-"&amp;TEXT(ROW()-2,"0000"))</f>
        <v/>
      </c>
      <c r="C90" s="25"/>
      <c r="D90" s="272"/>
      <c r="E90" s="255"/>
      <c r="F90" s="25"/>
      <c r="G90" s="25"/>
    </row>
    <row r="91" spans="2:7">
      <c r="B91" s="25" t="str">
        <f>IF(C91="","","PID-"&amp;TEXT(ROW()-2,"0000"))</f>
        <v/>
      </c>
      <c r="C91" s="25"/>
      <c r="D91" s="272"/>
      <c r="E91" s="255"/>
      <c r="F91" s="25"/>
      <c r="G91" s="25"/>
    </row>
    <row r="92" spans="2:7">
      <c r="B92" s="25" t="str">
        <f>IF(C92="","","PID-"&amp;TEXT(ROW()-2,"0000"))</f>
        <v/>
      </c>
      <c r="C92" s="25"/>
      <c r="D92" s="272"/>
      <c r="E92" s="255"/>
      <c r="F92" s="25"/>
      <c r="G92" s="25"/>
    </row>
    <row r="93" spans="2:7">
      <c r="B93" s="25" t="str">
        <f>IF(C93="","","PID-"&amp;TEXT(ROW()-2,"0000"))</f>
        <v/>
      </c>
      <c r="C93" s="25"/>
      <c r="D93" s="272"/>
      <c r="E93" s="255"/>
      <c r="F93" s="25"/>
      <c r="G93" s="25"/>
    </row>
    <row r="94" spans="2:7">
      <c r="B94" s="25" t="str">
        <f>IF(C94="","","PID-"&amp;TEXT(ROW()-2,"0000"))</f>
        <v/>
      </c>
      <c r="C94" s="25"/>
      <c r="D94" s="272"/>
      <c r="E94" s="255"/>
      <c r="F94" s="25"/>
      <c r="G94" s="25"/>
    </row>
    <row r="95" spans="2:7">
      <c r="B95" s="25" t="str">
        <f>IF(C95="","","PID-"&amp;TEXT(ROW()-2,"0000"))</f>
        <v/>
      </c>
      <c r="C95" s="25"/>
      <c r="D95" s="272"/>
      <c r="E95" s="255"/>
      <c r="F95" s="25"/>
      <c r="G95" s="25"/>
    </row>
    <row r="96" spans="2:7">
      <c r="B96" s="25" t="str">
        <f>IF(C96="","","PID-"&amp;TEXT(ROW()-2,"0000"))</f>
        <v/>
      </c>
      <c r="C96" s="25"/>
      <c r="D96" s="272"/>
      <c r="E96" s="255"/>
      <c r="F96" s="25"/>
      <c r="G96" s="25"/>
    </row>
    <row r="97" spans="2:7">
      <c r="B97" s="25" t="str">
        <f>IF(C97="","","PID-"&amp;TEXT(ROW()-2,"0000"))</f>
        <v/>
      </c>
      <c r="C97" s="25"/>
      <c r="D97" s="272"/>
      <c r="E97" s="255"/>
      <c r="F97" s="25"/>
      <c r="G97" s="25"/>
    </row>
    <row r="98" spans="2:7">
      <c r="B98" s="25" t="str">
        <f>IF(C98="","","PID-"&amp;TEXT(ROW()-2,"0000"))</f>
        <v/>
      </c>
      <c r="C98" s="25"/>
      <c r="D98" s="272"/>
      <c r="E98" s="255"/>
      <c r="F98" s="25"/>
      <c r="G98" s="25"/>
    </row>
    <row r="99" spans="2:7">
      <c r="B99" s="25" t="str">
        <f>IF(C99="","","PID-"&amp;TEXT(ROW()-2,"0000"))</f>
        <v/>
      </c>
      <c r="C99" s="25"/>
      <c r="D99" s="272"/>
      <c r="E99" s="255"/>
      <c r="F99" s="25"/>
      <c r="G99" s="25"/>
    </row>
    <row r="100" spans="2:7">
      <c r="B100" s="25" t="str">
        <f>IF(C100="","","PID-"&amp;TEXT(ROW()-2,"0000"))</f>
        <v/>
      </c>
      <c r="C100" s="25"/>
      <c r="D100" s="272"/>
      <c r="E100" s="255"/>
      <c r="F100" s="25"/>
      <c r="G100" s="25"/>
    </row>
    <row r="101" spans="2:7">
      <c r="B101" s="25" t="str">
        <f>IF(C101="","","PID-"&amp;TEXT(ROW()-2,"0000"))</f>
        <v/>
      </c>
      <c r="C101" s="25"/>
      <c r="D101" s="272"/>
      <c r="E101" s="255"/>
      <c r="F101" s="25"/>
      <c r="G101" s="25"/>
    </row>
    <row r="102" spans="2:7">
      <c r="B102" s="25" t="str">
        <f>IF(C102="","","PID-"&amp;TEXT(ROW()-2,"0000"))</f>
        <v/>
      </c>
      <c r="C102" s="25"/>
      <c r="D102" s="272"/>
      <c r="E102" s="255"/>
      <c r="F102" s="25"/>
      <c r="G102" s="25"/>
    </row>
    <row r="103" spans="2:7">
      <c r="B103" s="25" t="str">
        <f>IF(C103="","","PID-"&amp;TEXT(ROW()-2,"0000"))</f>
        <v/>
      </c>
      <c r="C103" s="25"/>
      <c r="D103" s="272"/>
      <c r="E103" s="255"/>
      <c r="F103" s="25"/>
      <c r="G103" s="25"/>
    </row>
    <row r="104" spans="2:7">
      <c r="B104" s="25" t="str">
        <f>IF(C104="","","PID-"&amp;TEXT(ROW()-2,"0000"))</f>
        <v/>
      </c>
      <c r="C104" s="25"/>
      <c r="D104" s="272"/>
      <c r="E104" s="255"/>
      <c r="F104" s="25"/>
      <c r="G104" s="25"/>
    </row>
    <row r="105" spans="2:7">
      <c r="B105" s="25" t="str">
        <f>IF(C105="","","PID-"&amp;TEXT(ROW()-2,"0000"))</f>
        <v/>
      </c>
      <c r="C105" s="25"/>
      <c r="D105" s="272"/>
      <c r="E105" s="255"/>
      <c r="F105" s="25"/>
      <c r="G105" s="25"/>
    </row>
    <row r="106" spans="2:7">
      <c r="B106" s="25" t="str">
        <f>IF(C106="","","PID-"&amp;TEXT(ROW()-2,"0000"))</f>
        <v/>
      </c>
      <c r="C106" s="25"/>
      <c r="D106" s="272"/>
      <c r="E106" s="255"/>
      <c r="F106" s="25"/>
      <c r="G106" s="25"/>
    </row>
    <row r="107" spans="2:7">
      <c r="B107" s="25" t="str">
        <f>IF(C107="","","PID-"&amp;TEXT(ROW()-2,"0000"))</f>
        <v/>
      </c>
      <c r="C107" s="25"/>
      <c r="D107" s="272"/>
      <c r="E107" s="255"/>
      <c r="F107" s="25"/>
      <c r="G107" s="25"/>
    </row>
    <row r="108" spans="2:7">
      <c r="B108" s="25" t="str">
        <f>IF(C108="","","PID-"&amp;TEXT(ROW()-2,"0000"))</f>
        <v/>
      </c>
      <c r="C108" s="25"/>
      <c r="D108" s="272"/>
      <c r="E108" s="255"/>
      <c r="F108" s="25"/>
      <c r="G108" s="25"/>
    </row>
    <row r="109" spans="2:7">
      <c r="B109" s="25" t="str">
        <f>IF(C109="","","PID-"&amp;TEXT(ROW()-2,"0000"))</f>
        <v/>
      </c>
      <c r="C109" s="25"/>
      <c r="D109" s="272"/>
      <c r="E109" s="255"/>
      <c r="F109" s="25"/>
      <c r="G109" s="25"/>
    </row>
    <row r="110" spans="2:7">
      <c r="B110" s="25" t="str">
        <f>IF(C110="","","PID-"&amp;TEXT(ROW()-2,"0000"))</f>
        <v/>
      </c>
      <c r="C110" s="25"/>
      <c r="D110" s="272"/>
      <c r="E110" s="255"/>
      <c r="F110" s="25"/>
      <c r="G110" s="25"/>
    </row>
    <row r="111" spans="2:7">
      <c r="B111" s="25" t="str">
        <f>IF(C111="","","PID-"&amp;TEXT(ROW()-2,"0000"))</f>
        <v/>
      </c>
      <c r="C111" s="25"/>
      <c r="D111" s="272"/>
      <c r="E111" s="255"/>
      <c r="F111" s="25"/>
      <c r="G111" s="25"/>
    </row>
    <row r="112" spans="2:7">
      <c r="B112" s="25" t="str">
        <f>IF(C112="","","PID-"&amp;TEXT(ROW()-2,"0000"))</f>
        <v/>
      </c>
      <c r="C112" s="25"/>
      <c r="D112" s="272"/>
      <c r="E112" s="255"/>
      <c r="F112" s="25"/>
      <c r="G112" s="25"/>
    </row>
    <row r="113" spans="2:7">
      <c r="B113" s="25" t="str">
        <f>IF(C113="","","PID-"&amp;TEXT(ROW()-2,"0000"))</f>
        <v/>
      </c>
      <c r="C113" s="25"/>
      <c r="D113" s="272"/>
      <c r="E113" s="255"/>
      <c r="F113" s="25"/>
      <c r="G113" s="25"/>
    </row>
    <row r="114" spans="2:7">
      <c r="B114" s="25" t="str">
        <f>IF(C114="","","PID-"&amp;TEXT(ROW()-2,"0000"))</f>
        <v/>
      </c>
      <c r="C114" s="25"/>
      <c r="D114" s="272"/>
      <c r="E114" s="255"/>
      <c r="F114" s="25"/>
      <c r="G114" s="25"/>
    </row>
    <row r="115" spans="2:7">
      <c r="B115" s="25" t="str">
        <f>IF(C115="","","PID-"&amp;TEXT(ROW()-2,"0000"))</f>
        <v/>
      </c>
      <c r="C115" s="25"/>
      <c r="D115" s="272"/>
      <c r="E115" s="255"/>
      <c r="F115" s="25"/>
      <c r="G115" s="25"/>
    </row>
    <row r="116" spans="2:7">
      <c r="B116" s="25" t="str">
        <f>IF(C116="","","PID-"&amp;TEXT(ROW()-2,"0000"))</f>
        <v/>
      </c>
      <c r="C116" s="25"/>
      <c r="D116" s="272"/>
      <c r="E116" s="255"/>
      <c r="F116" s="25"/>
      <c r="G116" s="25"/>
    </row>
    <row r="117" spans="2:7">
      <c r="B117" s="25" t="str">
        <f>IF(C117="","","PID-"&amp;TEXT(ROW()-2,"0000"))</f>
        <v/>
      </c>
      <c r="C117" s="25"/>
      <c r="D117" s="272"/>
      <c r="E117" s="255"/>
      <c r="F117" s="25"/>
      <c r="G117" s="25"/>
    </row>
    <row r="118" spans="2:7">
      <c r="B118" s="25" t="str">
        <f>IF(C118="","","PID-"&amp;TEXT(ROW()-2,"0000"))</f>
        <v/>
      </c>
      <c r="C118" s="25"/>
      <c r="D118" s="272"/>
      <c r="E118" s="255"/>
      <c r="F118" s="25"/>
      <c r="G118" s="25"/>
    </row>
    <row r="119" spans="2:7">
      <c r="B119" s="25" t="str">
        <f>IF(C119="","","PID-"&amp;TEXT(ROW()-2,"0000"))</f>
        <v/>
      </c>
      <c r="C119" s="25"/>
      <c r="D119" s="272"/>
      <c r="E119" s="255"/>
      <c r="F119" s="25"/>
      <c r="G119" s="25"/>
    </row>
    <row r="120" spans="2:7">
      <c r="B120" s="25" t="str">
        <f>IF(C120="","","PID-"&amp;TEXT(ROW()-2,"0000"))</f>
        <v/>
      </c>
      <c r="C120" s="25"/>
      <c r="D120" s="272"/>
      <c r="E120" s="255"/>
      <c r="F120" s="25"/>
      <c r="G120" s="25"/>
    </row>
    <row r="121" spans="2:7">
      <c r="B121" s="25" t="str">
        <f>IF(C121="","","PID-"&amp;TEXT(ROW()-2,"0000"))</f>
        <v/>
      </c>
      <c r="C121" s="25"/>
      <c r="D121" s="272"/>
      <c r="E121" s="255"/>
      <c r="F121" s="25"/>
      <c r="G121" s="25"/>
    </row>
    <row r="122" spans="2:7">
      <c r="B122" s="25" t="str">
        <f>IF(C122="","","PID-"&amp;TEXT(ROW()-2,"0000"))</f>
        <v/>
      </c>
      <c r="C122" s="25"/>
      <c r="D122" s="272"/>
      <c r="E122" s="255"/>
      <c r="F122" s="25"/>
      <c r="G122" s="25"/>
    </row>
    <row r="123" spans="2:7">
      <c r="B123" s="25" t="str">
        <f>IF(C123="","","PID-"&amp;TEXT(ROW()-2,"0000"))</f>
        <v/>
      </c>
      <c r="C123" s="25"/>
      <c r="D123" s="272"/>
      <c r="E123" s="255"/>
      <c r="F123" s="25"/>
      <c r="G123" s="25"/>
    </row>
    <row r="124" spans="2:7">
      <c r="B124" s="25" t="str">
        <f>IF(C124="","","PID-"&amp;TEXT(ROW()-2,"0000"))</f>
        <v/>
      </c>
      <c r="C124" s="25"/>
      <c r="D124" s="272"/>
      <c r="E124" s="255"/>
      <c r="F124" s="25"/>
      <c r="G124" s="25"/>
    </row>
    <row r="125" spans="2:7">
      <c r="B125" s="25" t="str">
        <f>IF(C125="","","PID-"&amp;TEXT(ROW()-2,"0000"))</f>
        <v/>
      </c>
      <c r="C125" s="25"/>
      <c r="D125" s="272"/>
      <c r="E125" s="255"/>
      <c r="F125" s="25"/>
      <c r="G125" s="25"/>
    </row>
    <row r="126" spans="2:7">
      <c r="B126" s="25" t="str">
        <f>IF(C126="","","PID-"&amp;TEXT(ROW()-2,"0000"))</f>
        <v/>
      </c>
      <c r="C126" s="25"/>
      <c r="D126" s="272"/>
      <c r="E126" s="255"/>
      <c r="F126" s="25"/>
      <c r="G126" s="25"/>
    </row>
    <row r="127" spans="2:7">
      <c r="B127" s="25" t="str">
        <f>IF(C127="","","PID-"&amp;TEXT(ROW()-2,"0000"))</f>
        <v/>
      </c>
      <c r="C127" s="25"/>
      <c r="D127" s="272"/>
      <c r="E127" s="255"/>
      <c r="F127" s="25"/>
      <c r="G127" s="25"/>
    </row>
    <row r="128" spans="2:7">
      <c r="B128" s="25" t="str">
        <f>IF(C128="","","PID-"&amp;TEXT(ROW()-2,"0000"))</f>
        <v/>
      </c>
      <c r="C128" s="25"/>
      <c r="D128" s="272"/>
      <c r="E128" s="255"/>
      <c r="F128" s="25"/>
      <c r="G128" s="25"/>
    </row>
    <row r="129" spans="2:7">
      <c r="B129" s="25" t="str">
        <f>IF(C129="","","PID-"&amp;TEXT(ROW()-2,"0000"))</f>
        <v/>
      </c>
      <c r="C129" s="25"/>
      <c r="D129" s="272"/>
      <c r="E129" s="255"/>
      <c r="F129" s="25"/>
      <c r="G129" s="25"/>
    </row>
    <row r="130" spans="2:7">
      <c r="B130" s="25" t="str">
        <f>IF(C130="","","PID-"&amp;TEXT(ROW()-2,"0000"))</f>
        <v/>
      </c>
      <c r="C130" s="25"/>
      <c r="D130" s="272"/>
      <c r="E130" s="255"/>
      <c r="F130" s="25"/>
      <c r="G130" s="25"/>
    </row>
    <row r="131" spans="2:7">
      <c r="B131" s="25" t="str">
        <f>IF(C131="","","PID-"&amp;TEXT(ROW()-2,"0000"))</f>
        <v/>
      </c>
      <c r="C131" s="25"/>
      <c r="D131" s="272"/>
      <c r="E131" s="255"/>
      <c r="F131" s="25"/>
      <c r="G131" s="25"/>
    </row>
    <row r="132" spans="2:7">
      <c r="B132" s="25" t="str">
        <f>IF(C132="","","PID-"&amp;TEXT(ROW()-2,"0000"))</f>
        <v/>
      </c>
      <c r="C132" s="25"/>
      <c r="D132" s="272"/>
      <c r="E132" s="255"/>
      <c r="F132" s="25"/>
      <c r="G132" s="25"/>
    </row>
    <row r="133" spans="2:7">
      <c r="B133" s="25" t="str">
        <f>IF(C133="","","PID-"&amp;TEXT(ROW()-2,"0000"))</f>
        <v/>
      </c>
      <c r="C133" s="25"/>
      <c r="D133" s="272"/>
      <c r="E133" s="255"/>
      <c r="F133" s="25"/>
      <c r="G133" s="25"/>
    </row>
    <row r="134" spans="2:7">
      <c r="B134" s="25" t="str">
        <f>IF(C134="","","PID-"&amp;TEXT(ROW()-2,"0000"))</f>
        <v/>
      </c>
      <c r="C134" s="25"/>
      <c r="D134" s="272"/>
      <c r="E134" s="255"/>
      <c r="F134" s="25"/>
      <c r="G134" s="25"/>
    </row>
    <row r="135" spans="2:7">
      <c r="B135" s="25" t="str">
        <f>IF(C135="","","PID-"&amp;TEXT(ROW()-2,"0000"))</f>
        <v/>
      </c>
      <c r="C135" s="25"/>
      <c r="D135" s="272"/>
      <c r="E135" s="255"/>
      <c r="F135" s="25"/>
      <c r="G135" s="25"/>
    </row>
    <row r="136" spans="2:7">
      <c r="B136" s="25" t="str">
        <f>IF(C136="","","PID-"&amp;TEXT(ROW()-2,"0000"))</f>
        <v/>
      </c>
      <c r="C136" s="25"/>
      <c r="D136" s="272"/>
      <c r="E136" s="255"/>
      <c r="F136" s="25"/>
      <c r="G136" s="25"/>
    </row>
    <row r="137" spans="2:7">
      <c r="B137" s="25" t="str">
        <f>IF(C137="","","PID-"&amp;TEXT(ROW()-2,"0000"))</f>
        <v/>
      </c>
      <c r="C137" s="25"/>
      <c r="D137" s="272"/>
      <c r="E137" s="255"/>
      <c r="F137" s="25"/>
      <c r="G137" s="25"/>
    </row>
    <row r="138" spans="2:7">
      <c r="B138" s="25" t="str">
        <f>IF(C138="","","PID-"&amp;TEXT(ROW()-2,"0000"))</f>
        <v/>
      </c>
      <c r="C138" s="25"/>
      <c r="D138" s="272"/>
      <c r="E138" s="255"/>
      <c r="F138" s="25"/>
      <c r="G138" s="25"/>
    </row>
    <row r="139" spans="2:7">
      <c r="B139" s="25" t="str">
        <f>IF(C139="","","PID-"&amp;TEXT(ROW()-2,"0000"))</f>
        <v/>
      </c>
      <c r="C139" s="25"/>
      <c r="D139" s="272"/>
      <c r="E139" s="255"/>
      <c r="F139" s="25"/>
      <c r="G139" s="25"/>
    </row>
    <row r="140" spans="2:7">
      <c r="B140" s="25" t="str">
        <f>IF(C140="","","PID-"&amp;TEXT(ROW()-2,"0000"))</f>
        <v/>
      </c>
      <c r="C140" s="25"/>
      <c r="D140" s="272"/>
      <c r="E140" s="255"/>
      <c r="F140" s="25"/>
      <c r="G140" s="25"/>
    </row>
    <row r="141" spans="2:7">
      <c r="B141" s="25" t="str">
        <f>IF(C141="","","PID-"&amp;TEXT(ROW()-2,"0000"))</f>
        <v/>
      </c>
      <c r="C141" s="25"/>
      <c r="D141" s="272"/>
      <c r="E141" s="255"/>
      <c r="F141" s="25"/>
      <c r="G141" s="25"/>
    </row>
    <row r="142" spans="2:7">
      <c r="B142" s="25" t="str">
        <f>IF(C142="","","PID-"&amp;TEXT(ROW()-2,"0000"))</f>
        <v/>
      </c>
      <c r="C142" s="25"/>
      <c r="D142" s="272"/>
      <c r="E142" s="255"/>
      <c r="F142" s="25"/>
      <c r="G142" s="25"/>
    </row>
    <row r="143" spans="2:7">
      <c r="B143" s="25" t="str">
        <f>IF(C143="","","PID-"&amp;TEXT(ROW()-2,"0000"))</f>
        <v/>
      </c>
      <c r="C143" s="25"/>
      <c r="D143" s="272"/>
      <c r="E143" s="255"/>
      <c r="F143" s="25"/>
      <c r="G143" s="25"/>
    </row>
    <row r="144" spans="2:7">
      <c r="B144" s="25" t="str">
        <f>IF(C144="","","PID-"&amp;TEXT(ROW()-2,"0000"))</f>
        <v/>
      </c>
      <c r="C144" s="25"/>
      <c r="D144" s="272"/>
      <c r="E144" s="255"/>
      <c r="F144" s="25"/>
      <c r="G144" s="25"/>
    </row>
    <row r="145" spans="2:7">
      <c r="B145" s="25" t="str">
        <f>IF(C145="","","PID-"&amp;TEXT(ROW()-2,"0000"))</f>
        <v/>
      </c>
      <c r="C145" s="25"/>
      <c r="D145" s="272"/>
      <c r="E145" s="255"/>
      <c r="F145" s="25"/>
      <c r="G145" s="25"/>
    </row>
    <row r="146" spans="2:7">
      <c r="B146" s="25" t="str">
        <f>IF(C146="","","PID-"&amp;TEXT(ROW()-2,"0000"))</f>
        <v/>
      </c>
      <c r="C146" s="25"/>
      <c r="D146" s="272"/>
      <c r="E146" s="255"/>
      <c r="F146" s="25"/>
      <c r="G146" s="25"/>
    </row>
    <row r="147" spans="2:7">
      <c r="B147" s="25" t="str">
        <f>IF(C147="","","PID-"&amp;TEXT(ROW()-2,"0000"))</f>
        <v/>
      </c>
      <c r="C147" s="25"/>
      <c r="D147" s="272"/>
      <c r="E147" s="255"/>
      <c r="F147" s="25"/>
      <c r="G147" s="25"/>
    </row>
    <row r="148" spans="2:7">
      <c r="B148" s="25" t="str">
        <f>IF(C148="","","PID-"&amp;TEXT(ROW()-2,"0000"))</f>
        <v/>
      </c>
      <c r="C148" s="25"/>
      <c r="D148" s="272"/>
      <c r="E148" s="255"/>
      <c r="F148" s="25"/>
      <c r="G148" s="25"/>
    </row>
    <row r="149" spans="2:7">
      <c r="B149" s="25" t="str">
        <f>IF(C149="","","PID-"&amp;TEXT(ROW()-2,"0000"))</f>
        <v/>
      </c>
      <c r="C149" s="25"/>
      <c r="D149" s="272"/>
      <c r="E149" s="255"/>
      <c r="F149" s="25"/>
      <c r="G149" s="25"/>
    </row>
    <row r="150" spans="2:7">
      <c r="B150" s="25" t="str">
        <f>IF(C150="","","PID-"&amp;TEXT(ROW()-2,"0000"))</f>
        <v/>
      </c>
      <c r="C150" s="25"/>
      <c r="D150" s="272"/>
      <c r="E150" s="255"/>
      <c r="F150" s="25"/>
      <c r="G150" s="25"/>
    </row>
    <row r="151" spans="2:7">
      <c r="B151" s="25" t="str">
        <f>IF(C151="","","PID-"&amp;TEXT(ROW()-2,"0000"))</f>
        <v/>
      </c>
      <c r="C151" s="25"/>
      <c r="D151" s="272"/>
      <c r="E151" s="255"/>
      <c r="F151" s="25"/>
      <c r="G151" s="25"/>
    </row>
    <row r="152" spans="2:7">
      <c r="B152" s="25" t="str">
        <f>IF(C152="","","PID-"&amp;TEXT(ROW()-2,"0000"))</f>
        <v/>
      </c>
      <c r="C152" s="25"/>
      <c r="D152" s="272"/>
      <c r="E152" s="255"/>
      <c r="F152" s="25"/>
      <c r="G152" s="25"/>
    </row>
    <row r="153" spans="2:7">
      <c r="B153" s="25" t="str">
        <f>IF(C153="","","PID-"&amp;TEXT(ROW()-2,"0000"))</f>
        <v/>
      </c>
      <c r="C153" s="25"/>
      <c r="D153" s="272"/>
      <c r="E153" s="255"/>
      <c r="F153" s="25"/>
      <c r="G153" s="25"/>
    </row>
    <row r="154" spans="2:7">
      <c r="B154" s="25" t="str">
        <f>IF(C154="","","PID-"&amp;TEXT(ROW()-2,"0000"))</f>
        <v/>
      </c>
      <c r="C154" s="25"/>
      <c r="D154" s="272"/>
      <c r="E154" s="255"/>
      <c r="F154" s="25"/>
      <c r="G154" s="25"/>
    </row>
    <row r="155" spans="2:7">
      <c r="B155" s="25" t="str">
        <f>IF(C155="","","PID-"&amp;TEXT(ROW()-2,"0000"))</f>
        <v/>
      </c>
      <c r="C155" s="25"/>
      <c r="D155" s="272"/>
      <c r="E155" s="255"/>
      <c r="F155" s="25"/>
      <c r="G155" s="25"/>
    </row>
    <row r="156" spans="2:7">
      <c r="B156" s="25" t="str">
        <f>IF(C156="","","PID-"&amp;TEXT(ROW()-2,"0000"))</f>
        <v/>
      </c>
      <c r="C156" s="25"/>
      <c r="D156" s="272"/>
      <c r="E156" s="255"/>
      <c r="F156" s="25"/>
      <c r="G156" s="25"/>
    </row>
    <row r="157" spans="2:7">
      <c r="B157" s="25" t="str">
        <f>IF(C157="","","PID-"&amp;TEXT(ROW()-2,"0000"))</f>
        <v/>
      </c>
      <c r="C157" s="25"/>
      <c r="D157" s="272"/>
      <c r="E157" s="255"/>
      <c r="F157" s="25"/>
      <c r="G157" s="25"/>
    </row>
    <row r="158" spans="2:7">
      <c r="B158" s="25" t="str">
        <f>IF(C158="","","PID-"&amp;TEXT(ROW()-2,"0000"))</f>
        <v/>
      </c>
      <c r="C158" s="25"/>
      <c r="D158" s="272"/>
      <c r="E158" s="255"/>
      <c r="F158" s="25"/>
      <c r="G158" s="25"/>
    </row>
    <row r="159" spans="2:7">
      <c r="B159" s="25" t="str">
        <f>IF(C159="","","PID-"&amp;TEXT(ROW()-2,"0000"))</f>
        <v/>
      </c>
      <c r="C159" s="25"/>
      <c r="D159" s="272"/>
      <c r="E159" s="255"/>
      <c r="F159" s="25"/>
      <c r="G159" s="25"/>
    </row>
    <row r="160" spans="2:7">
      <c r="B160" s="25" t="str">
        <f>IF(C160="","","PID-"&amp;TEXT(ROW()-2,"0000"))</f>
        <v/>
      </c>
      <c r="C160" s="25"/>
      <c r="D160" s="272"/>
      <c r="E160" s="255"/>
      <c r="F160" s="25"/>
      <c r="G160" s="25"/>
    </row>
    <row r="161" spans="2:7">
      <c r="B161" s="25" t="str">
        <f>IF(C161="","","PID-"&amp;TEXT(ROW()-2,"0000"))</f>
        <v/>
      </c>
      <c r="C161" s="25"/>
      <c r="D161" s="272"/>
      <c r="E161" s="255"/>
      <c r="F161" s="25"/>
      <c r="G161" s="25"/>
    </row>
    <row r="162" spans="2:7">
      <c r="B162" s="25" t="str">
        <f>IF(C162="","","PID-"&amp;TEXT(ROW()-2,"0000"))</f>
        <v/>
      </c>
      <c r="C162" s="25"/>
      <c r="D162" s="272"/>
      <c r="E162" s="255"/>
      <c r="F162" s="25"/>
      <c r="G162" s="25"/>
    </row>
    <row r="163" spans="2:7">
      <c r="B163" s="25" t="str">
        <f>IF(C163="","","PID-"&amp;TEXT(ROW()-2,"0000"))</f>
        <v/>
      </c>
      <c r="C163" s="25"/>
      <c r="D163" s="272"/>
      <c r="E163" s="255"/>
      <c r="F163" s="25"/>
      <c r="G163" s="25"/>
    </row>
    <row r="164" spans="2:7">
      <c r="B164" s="25" t="str">
        <f>IF(C164="","","PID-"&amp;TEXT(ROW()-2,"0000"))</f>
        <v/>
      </c>
      <c r="C164" s="25"/>
      <c r="D164" s="272"/>
      <c r="E164" s="255"/>
      <c r="F164" s="25"/>
      <c r="G164" s="25"/>
    </row>
    <row r="165" spans="2:7">
      <c r="B165" s="25" t="str">
        <f>IF(C165="","","PID-"&amp;TEXT(ROW()-2,"0000"))</f>
        <v/>
      </c>
      <c r="C165" s="25"/>
      <c r="D165" s="272"/>
      <c r="E165" s="255"/>
      <c r="F165" s="25"/>
      <c r="G165" s="25"/>
    </row>
    <row r="166" spans="2:7">
      <c r="B166" s="25" t="str">
        <f>IF(C166="","","PID-"&amp;TEXT(ROW()-2,"0000"))</f>
        <v/>
      </c>
      <c r="C166" s="25"/>
      <c r="D166" s="272"/>
      <c r="E166" s="255"/>
      <c r="F166" s="25"/>
      <c r="G166" s="25"/>
    </row>
    <row r="167" spans="2:7">
      <c r="B167" s="25" t="str">
        <f>IF(C167="","","PID-"&amp;TEXT(ROW()-2,"0000"))</f>
        <v/>
      </c>
      <c r="C167" s="25"/>
      <c r="D167" s="272"/>
      <c r="E167" s="255"/>
      <c r="F167" s="25"/>
      <c r="G167" s="25"/>
    </row>
    <row r="168" spans="2:7">
      <c r="B168" s="25" t="str">
        <f>IF(C168="","","PID-"&amp;TEXT(ROW()-2,"0000"))</f>
        <v/>
      </c>
      <c r="C168" s="25"/>
      <c r="D168" s="272"/>
      <c r="E168" s="255"/>
      <c r="F168" s="25"/>
      <c r="G168" s="25"/>
    </row>
    <row r="169" spans="2:7">
      <c r="B169" s="25" t="str">
        <f>IF(C169="","","PID-"&amp;TEXT(ROW()-2,"0000"))</f>
        <v/>
      </c>
      <c r="C169" s="25"/>
      <c r="D169" s="272"/>
      <c r="E169" s="255"/>
      <c r="F169" s="25"/>
      <c r="G169" s="25"/>
    </row>
    <row r="170" spans="2:7">
      <c r="B170" s="25" t="str">
        <f>IF(C170="","","PID-"&amp;TEXT(ROW()-2,"0000"))</f>
        <v/>
      </c>
      <c r="C170" s="25"/>
      <c r="D170" s="272"/>
      <c r="E170" s="255"/>
      <c r="F170" s="25"/>
      <c r="G170" s="25"/>
    </row>
    <row r="171" spans="2:7">
      <c r="B171" s="25" t="str">
        <f>IF(C171="","","PID-"&amp;TEXT(ROW()-2,"0000"))</f>
        <v/>
      </c>
      <c r="C171" s="25"/>
      <c r="D171" s="272"/>
      <c r="E171" s="255"/>
      <c r="F171" s="25"/>
      <c r="G171" s="25"/>
    </row>
    <row r="172" spans="2:7">
      <c r="B172" s="25" t="str">
        <f>IF(C172="","","PID-"&amp;TEXT(ROW()-2,"0000"))</f>
        <v/>
      </c>
      <c r="C172" s="25"/>
      <c r="D172" s="272"/>
      <c r="E172" s="255"/>
      <c r="F172" s="25"/>
      <c r="G172" s="25"/>
    </row>
    <row r="173" spans="2:7">
      <c r="B173" s="25" t="str">
        <f>IF(C173="","","PID-"&amp;TEXT(ROW()-2,"0000"))</f>
        <v/>
      </c>
      <c r="C173" s="25"/>
      <c r="D173" s="272"/>
      <c r="E173" s="255"/>
      <c r="F173" s="25"/>
      <c r="G173" s="25"/>
    </row>
    <row r="174" spans="2:7">
      <c r="B174" s="25" t="str">
        <f>IF(C174="","","PID-"&amp;TEXT(ROW()-2,"0000"))</f>
        <v/>
      </c>
      <c r="C174" s="25"/>
      <c r="D174" s="272"/>
      <c r="E174" s="255"/>
      <c r="F174" s="25"/>
      <c r="G174" s="25"/>
    </row>
    <row r="175" spans="2:7">
      <c r="B175" s="25" t="str">
        <f>IF(C175="","","PID-"&amp;TEXT(ROW()-2,"0000"))</f>
        <v/>
      </c>
      <c r="C175" s="25"/>
      <c r="D175" s="272"/>
      <c r="E175" s="255"/>
      <c r="F175" s="25"/>
      <c r="G175" s="25"/>
    </row>
    <row r="176" spans="2:7">
      <c r="B176" s="25" t="str">
        <f>IF(C176="","","PID-"&amp;TEXT(ROW()-2,"0000"))</f>
        <v/>
      </c>
      <c r="C176" s="25"/>
      <c r="D176" s="272"/>
      <c r="E176" s="255"/>
      <c r="F176" s="25"/>
      <c r="G176" s="25"/>
    </row>
    <row r="177" spans="2:7">
      <c r="B177" s="25" t="str">
        <f>IF(C177="","","PID-"&amp;TEXT(ROW()-2,"0000"))</f>
        <v/>
      </c>
      <c r="C177" s="25"/>
      <c r="D177" s="272"/>
      <c r="E177" s="255"/>
      <c r="F177" s="25"/>
      <c r="G177" s="25"/>
    </row>
    <row r="178" spans="2:7">
      <c r="B178" s="25" t="str">
        <f>IF(C178="","","PID-"&amp;TEXT(ROW()-2,"0000"))</f>
        <v/>
      </c>
      <c r="C178" s="25"/>
      <c r="D178" s="272"/>
      <c r="E178" s="255"/>
      <c r="F178" s="25"/>
      <c r="G178" s="25"/>
    </row>
    <row r="179" spans="2:7">
      <c r="B179" s="25" t="str">
        <f>IF(C179="","","PID-"&amp;TEXT(ROW()-2,"0000"))</f>
        <v/>
      </c>
      <c r="C179" s="25"/>
      <c r="D179" s="272"/>
      <c r="E179" s="255"/>
      <c r="F179" s="25"/>
      <c r="G179" s="25"/>
    </row>
    <row r="180" spans="2:7">
      <c r="B180" s="25" t="str">
        <f>IF(C180="","","PID-"&amp;TEXT(ROW()-2,"0000"))</f>
        <v/>
      </c>
      <c r="C180" s="25"/>
      <c r="D180" s="272"/>
      <c r="E180" s="255"/>
      <c r="F180" s="25"/>
      <c r="G180" s="25"/>
    </row>
    <row r="181" spans="2:7">
      <c r="B181" s="25" t="str">
        <f>IF(C181="","","PID-"&amp;TEXT(ROW()-2,"0000"))</f>
        <v/>
      </c>
      <c r="C181" s="25"/>
      <c r="D181" s="272"/>
      <c r="E181" s="255"/>
      <c r="F181" s="25"/>
      <c r="G181" s="25"/>
    </row>
    <row r="182" spans="2:7">
      <c r="B182" s="25" t="str">
        <f>IF(C182="","","PID-"&amp;TEXT(ROW()-2,"0000"))</f>
        <v/>
      </c>
      <c r="C182" s="25"/>
      <c r="D182" s="272"/>
      <c r="E182" s="255"/>
      <c r="F182" s="25"/>
      <c r="G182" s="25"/>
    </row>
    <row r="183" spans="2:7">
      <c r="B183" s="25" t="str">
        <f>IF(C183="","","PID-"&amp;TEXT(ROW()-2,"0000"))</f>
        <v/>
      </c>
      <c r="C183" s="25"/>
      <c r="D183" s="272"/>
      <c r="E183" s="255"/>
      <c r="F183" s="25"/>
      <c r="G183" s="25"/>
    </row>
    <row r="184" spans="2:7">
      <c r="B184" s="25" t="str">
        <f>IF(C184="","","PID-"&amp;TEXT(ROW()-2,"0000"))</f>
        <v/>
      </c>
      <c r="C184" s="25"/>
      <c r="D184" s="272"/>
      <c r="E184" s="255"/>
      <c r="F184" s="25"/>
      <c r="G184" s="25"/>
    </row>
    <row r="185" spans="2:7">
      <c r="B185" s="25" t="str">
        <f>IF(C185="","","PID-"&amp;TEXT(ROW()-2,"0000"))</f>
        <v/>
      </c>
      <c r="C185" s="25"/>
      <c r="D185" s="272"/>
      <c r="E185" s="255"/>
      <c r="F185" s="25"/>
      <c r="G185" s="25"/>
    </row>
    <row r="186" spans="2:7">
      <c r="B186" s="25" t="str">
        <f>IF(C186="","","PID-"&amp;TEXT(ROW()-2,"0000"))</f>
        <v/>
      </c>
      <c r="C186" s="25"/>
      <c r="D186" s="272"/>
      <c r="E186" s="255"/>
      <c r="F186" s="25"/>
      <c r="G186" s="25"/>
    </row>
    <row r="187" spans="2:7">
      <c r="B187" s="25" t="str">
        <f>IF(C187="","","PID-"&amp;TEXT(ROW()-2,"0000"))</f>
        <v/>
      </c>
      <c r="C187" s="25"/>
      <c r="D187" s="272"/>
      <c r="E187" s="255"/>
      <c r="F187" s="25"/>
      <c r="G187" s="25"/>
    </row>
  </sheetData>
  <mergeCells count="1">
    <mergeCell ref="A2:A13"/>
  </mergeCells>
  <conditionalFormatting sqref="D20:E187 E3 E7 E9 E11 E13">
    <cfRule type="expression" dxfId="72" priority="8">
      <formula>AND($C3&lt;&gt;"",D3="")</formula>
    </cfRule>
  </conditionalFormatting>
  <conditionalFormatting sqref="C20:C187">
    <cfRule type="expression" dxfId="71" priority="601">
      <formula>AND(C20&lt;&gt;"",COUNTIF($C$2:$C$187,C20)&gt;1)</formula>
    </cfRule>
    <cfRule type="expression" dxfId="70" priority="602">
      <formula>AND($C20&lt;&gt;"",C20="")</formula>
    </cfRule>
  </conditionalFormatting>
  <conditionalFormatting sqref="F20:F187">
    <cfRule type="expression" dxfId="69" priority="603">
      <formula>AND(F20&lt;&gt;"",COUNTIF($F$2:$F$187,F20)&gt;1)</formula>
    </cfRule>
    <cfRule type="expression" dxfId="68" priority="604">
      <formula>AND(C20&lt;&gt;"",F20="")</formula>
    </cfRule>
  </conditionalFormatting>
  <dataValidations count="1">
    <dataValidation type="whole" allowBlank="1" errorTitle="Invalid year" error="Enter a year between 2014 and 2030." promptTitle="Publication Year" prompt="Enter the publication year (numeric)." sqref="D20:D187" xr:uid="{489A075A-5F6B-40D3-8A62-C0CA28DA6EB5}">
      <formula1>2014</formula1>
      <formula2>2030</formula2>
    </dataValidation>
  </dataValidations>
  <hyperlinks>
    <hyperlink ref="F13" r:id="rId1" xr:uid="{341AB7D2-4C78-4156-B241-A227D4E3E515}"/>
    <hyperlink ref="D2" r:id="rId2" display="10.1016/j.neubiorev.2007.05.010" xr:uid="{842D3F26-CDC5-4AFC-8F1D-61A08271403B}"/>
    <hyperlink ref="F2" r:id="rId3" xr:uid="{61719A97-E457-4D05-8257-10CF15A14F06}"/>
    <hyperlink ref="F3" r:id="rId4" xr:uid="{104DE9AA-E852-421D-AED8-5179CCD78D69}"/>
    <hyperlink ref="F4" r:id="rId5" xr:uid="{0380715B-5B89-4C28-A7CF-8C1DD9BB8F93}"/>
    <hyperlink ref="B7" r:id="rId6" xr:uid="{039B5693-7D1B-4164-B98E-9EB8640213A8}"/>
    <hyperlink ref="F7" r:id="rId7" xr:uid="{0557B6D4-CDAA-498F-BAEB-1CE558D3709C}"/>
  </hyperlinks>
  <pageMargins left="0.75" right="0.75" top="1" bottom="1" header="0.511811023622047" footer="0.511811023622047"/>
  <pageSetup paperSize="9" orientation="portrait" horizontalDpi="300" verticalDpi="300"/>
  <tableParts count="1">
    <tablePart r:id="rId8"/>
  </tableParts>
  <extLst>
    <ext xmlns:x14="http://schemas.microsoft.com/office/spreadsheetml/2009/9/main" uri="{CCE6A557-97BC-4b89-ADB6-D9C93CAAB3DF}">
      <x14:dataValidations xmlns:xm="http://schemas.microsoft.com/office/excel/2006/main" count="1">
        <x14:dataValidation type="list" allowBlank="1" errorTitle="Invalid entry" error="Please choose a value from the dropdown list." promptTitle="Publisher" prompt="Select the publisher." xr:uid="{B2D55359-4FC2-46B8-A135-E1BA87740403}">
          <x14:formula1>
            <xm:f>Lists!$B$2:$B$11</xm:f>
          </x14:formula1>
          <x14:formula2>
            <xm:f>0</xm:f>
          </x14:formula2>
          <xm:sqref>E3 E7 E9 E11 E20:E187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CD777-9808-482D-BB0A-92B9A4AEF436}">
  <sheetPr>
    <tabColor rgb="FF003C71"/>
  </sheetPr>
  <dimension ref="A1:BD186"/>
  <sheetViews>
    <sheetView zoomScaleNormal="100" workbookViewId="0">
      <pane xSplit="1" topLeftCell="I1" activePane="topRight" state="frozen"/>
      <selection pane="topRight" activeCell="B2" sqref="B2:K13"/>
      <selection activeCell="A3" sqref="A3"/>
    </sheetView>
  </sheetViews>
  <sheetFormatPr defaultColWidth="13.42578125" defaultRowHeight="15"/>
  <cols>
    <col min="1" max="1" width="5" hidden="1" customWidth="1"/>
    <col min="2" max="2" width="33.28515625" customWidth="1"/>
    <col min="3" max="3" width="122.28515625" bestFit="1" customWidth="1"/>
    <col min="4" max="4" width="21.5703125" customWidth="1"/>
    <col min="5" max="5" width="17" style="33" bestFit="1" customWidth="1"/>
    <col min="6" max="6" width="78" bestFit="1" customWidth="1"/>
    <col min="7" max="7" width="44.140625" bestFit="1" customWidth="1"/>
    <col min="8" max="8" width="23.140625" customWidth="1"/>
    <col min="9" max="9" width="133" bestFit="1" customWidth="1"/>
    <col min="10" max="10" width="99.140625" bestFit="1" customWidth="1"/>
    <col min="11" max="11" width="221.7109375" bestFit="1" customWidth="1"/>
    <col min="12" max="12" width="99.140625" customWidth="1"/>
    <col min="13" max="13" width="71" customWidth="1"/>
    <col min="14" max="14" width="18" customWidth="1"/>
  </cols>
  <sheetData>
    <row r="1" spans="1:13" ht="42.75" customHeight="1">
      <c r="B1" s="38" t="s">
        <v>0</v>
      </c>
      <c r="C1" s="38" t="s">
        <v>1</v>
      </c>
      <c r="D1" s="38" t="s">
        <v>2</v>
      </c>
      <c r="E1" s="38" t="s">
        <v>3</v>
      </c>
      <c r="F1" s="38" t="s">
        <v>4</v>
      </c>
      <c r="G1" s="38" t="s">
        <v>5</v>
      </c>
      <c r="H1" s="38" t="s">
        <v>6</v>
      </c>
      <c r="I1" s="38" t="s">
        <v>7</v>
      </c>
      <c r="J1" s="38" t="s">
        <v>8</v>
      </c>
      <c r="K1" s="38" t="s">
        <v>9</v>
      </c>
      <c r="L1" s="38" t="s">
        <v>10</v>
      </c>
      <c r="M1" s="38" t="s">
        <v>11</v>
      </c>
    </row>
    <row r="2" spans="1:13" ht="90.75" customHeight="1">
      <c r="A2" s="354" t="s">
        <v>15</v>
      </c>
      <c r="B2" s="345" t="s">
        <v>280</v>
      </c>
      <c r="C2" s="43" t="s">
        <v>281</v>
      </c>
      <c r="D2" s="77">
        <v>2024</v>
      </c>
      <c r="E2" s="311" t="s">
        <v>162</v>
      </c>
      <c r="F2" s="78" t="s">
        <v>293</v>
      </c>
      <c r="G2" s="119" t="s">
        <v>96</v>
      </c>
      <c r="H2" s="72" t="s">
        <v>55</v>
      </c>
      <c r="I2" s="117"/>
      <c r="J2" s="52"/>
      <c r="K2" s="52"/>
    </row>
    <row r="3" spans="1:13" ht="89.25" customHeight="1">
      <c r="A3" s="354"/>
      <c r="B3" s="59" t="s">
        <v>284</v>
      </c>
      <c r="C3" s="46" t="s">
        <v>285</v>
      </c>
      <c r="D3" s="72">
        <v>2019</v>
      </c>
      <c r="E3" s="84" t="s">
        <v>18</v>
      </c>
      <c r="F3" s="61" t="s">
        <v>286</v>
      </c>
      <c r="G3" s="119" t="s">
        <v>96</v>
      </c>
      <c r="H3" s="72" t="s">
        <v>55</v>
      </c>
      <c r="I3" s="247" t="s">
        <v>298</v>
      </c>
      <c r="J3" s="119" t="s">
        <v>96</v>
      </c>
      <c r="K3" s="119" t="s">
        <v>96</v>
      </c>
    </row>
    <row r="4" spans="1:13" ht="78" customHeight="1">
      <c r="A4" s="354"/>
      <c r="B4" s="346" t="s">
        <v>299</v>
      </c>
      <c r="C4" s="51" t="s">
        <v>300</v>
      </c>
      <c r="D4" s="73">
        <v>2014</v>
      </c>
      <c r="E4" s="85" t="s">
        <v>301</v>
      </c>
      <c r="F4" s="58" t="s">
        <v>291</v>
      </c>
      <c r="G4" s="118" t="s">
        <v>96</v>
      </c>
      <c r="H4" s="72" t="s">
        <v>55</v>
      </c>
      <c r="I4" s="49" t="s">
        <v>302</v>
      </c>
      <c r="J4" s="118" t="s">
        <v>96</v>
      </c>
      <c r="K4" s="118" t="s">
        <v>96</v>
      </c>
    </row>
    <row r="5" spans="1:13" ht="85.5" customHeight="1">
      <c r="A5" s="354"/>
      <c r="B5" s="59" t="s">
        <v>303</v>
      </c>
      <c r="C5" s="362" t="s">
        <v>304</v>
      </c>
      <c r="D5" s="60">
        <v>2023</v>
      </c>
      <c r="E5" s="84" t="s">
        <v>198</v>
      </c>
      <c r="F5" s="59" t="s">
        <v>305</v>
      </c>
      <c r="G5" s="119" t="s">
        <v>96</v>
      </c>
      <c r="H5" s="75" t="s">
        <v>221</v>
      </c>
      <c r="I5" s="120"/>
      <c r="J5" s="119"/>
      <c r="K5" s="119"/>
      <c r="L5" s="43" t="s">
        <v>715</v>
      </c>
      <c r="M5" s="43" t="s">
        <v>716</v>
      </c>
    </row>
    <row r="6" spans="1:13" ht="91.5">
      <c r="A6" s="354"/>
      <c r="B6" s="347" t="s">
        <v>310</v>
      </c>
      <c r="C6" s="53" t="s">
        <v>311</v>
      </c>
      <c r="D6" s="62">
        <v>2022</v>
      </c>
      <c r="E6" s="86" t="s">
        <v>64</v>
      </c>
      <c r="F6" s="57" t="s">
        <v>312</v>
      </c>
      <c r="G6" s="118" t="s">
        <v>96</v>
      </c>
      <c r="H6" s="72" t="s">
        <v>55</v>
      </c>
      <c r="I6" s="43" t="s">
        <v>313</v>
      </c>
      <c r="J6" s="118" t="s">
        <v>96</v>
      </c>
      <c r="K6" s="118" t="s">
        <v>96</v>
      </c>
    </row>
    <row r="7" spans="1:13" ht="60.75" customHeight="1">
      <c r="A7" s="354"/>
      <c r="B7" s="59" t="s">
        <v>314</v>
      </c>
      <c r="C7" s="54" t="s">
        <v>315</v>
      </c>
      <c r="D7" s="71" t="s">
        <v>316</v>
      </c>
      <c r="E7" s="84" t="s">
        <v>64</v>
      </c>
      <c r="F7" s="59" t="s">
        <v>317</v>
      </c>
      <c r="G7" s="48"/>
      <c r="H7" s="75" t="s">
        <v>221</v>
      </c>
      <c r="I7" s="120" t="s">
        <v>319</v>
      </c>
      <c r="J7" s="121" t="s">
        <v>320</v>
      </c>
      <c r="K7" s="121" t="s">
        <v>321</v>
      </c>
      <c r="L7" s="56" t="s">
        <v>717</v>
      </c>
      <c r="M7" s="43" t="s">
        <v>718</v>
      </c>
    </row>
    <row r="8" spans="1:13" ht="73.5" customHeight="1">
      <c r="A8" s="354"/>
      <c r="B8" s="57" t="s">
        <v>322</v>
      </c>
      <c r="C8" s="363" t="s">
        <v>323</v>
      </c>
      <c r="D8" s="62">
        <v>2025</v>
      </c>
      <c r="E8" s="86" t="s">
        <v>324</v>
      </c>
      <c r="F8" s="57" t="s">
        <v>325</v>
      </c>
      <c r="G8" s="34"/>
      <c r="H8" s="72" t="s">
        <v>55</v>
      </c>
      <c r="I8" s="74" t="s">
        <v>326</v>
      </c>
      <c r="J8" s="34"/>
      <c r="K8" s="34"/>
    </row>
    <row r="9" spans="1:13" ht="30.75">
      <c r="A9" s="354"/>
      <c r="B9" s="61" t="s">
        <v>327</v>
      </c>
      <c r="C9" s="46" t="s">
        <v>328</v>
      </c>
      <c r="D9" s="70">
        <v>2008</v>
      </c>
      <c r="E9" s="87" t="s">
        <v>18</v>
      </c>
      <c r="F9" s="59" t="s">
        <v>329</v>
      </c>
      <c r="G9" s="48"/>
      <c r="H9" s="72" t="s">
        <v>55</v>
      </c>
      <c r="I9" s="225" t="s">
        <v>330</v>
      </c>
      <c r="J9" s="35"/>
      <c r="K9" s="35"/>
    </row>
    <row r="10" spans="1:13" ht="135.75" customHeight="1">
      <c r="A10" s="354"/>
      <c r="B10" s="346" t="s">
        <v>331</v>
      </c>
      <c r="C10" s="364" t="s">
        <v>332</v>
      </c>
      <c r="D10" s="64">
        <v>2020</v>
      </c>
      <c r="E10" s="88" t="s">
        <v>198</v>
      </c>
      <c r="F10" s="57" t="s">
        <v>333</v>
      </c>
      <c r="G10" s="34"/>
      <c r="H10" s="72" t="s">
        <v>55</v>
      </c>
      <c r="I10" s="310" t="s">
        <v>334</v>
      </c>
      <c r="J10" s="34"/>
      <c r="K10" s="34"/>
    </row>
    <row r="11" spans="1:13" ht="60.75">
      <c r="A11" s="354"/>
      <c r="B11" s="65" t="s">
        <v>335</v>
      </c>
      <c r="C11" s="66" t="s">
        <v>336</v>
      </c>
      <c r="D11" s="67">
        <v>2022</v>
      </c>
      <c r="E11" s="87" t="s">
        <v>143</v>
      </c>
      <c r="F11" s="61" t="s">
        <v>337</v>
      </c>
      <c r="G11" s="35"/>
      <c r="H11" s="35"/>
      <c r="I11" s="35"/>
      <c r="J11" s="35"/>
      <c r="K11" s="35"/>
      <c r="L11" t="s">
        <v>719</v>
      </c>
      <c r="M11" s="40" t="s">
        <v>720</v>
      </c>
    </row>
    <row r="12" spans="1:13" ht="63" customHeight="1">
      <c r="A12" s="354"/>
      <c r="B12" s="346" t="s">
        <v>342</v>
      </c>
      <c r="C12" s="364" t="s">
        <v>343</v>
      </c>
      <c r="D12" s="365">
        <v>2025</v>
      </c>
      <c r="E12" s="89" t="s">
        <v>94</v>
      </c>
      <c r="F12" s="57" t="s">
        <v>344</v>
      </c>
      <c r="G12" s="118" t="s">
        <v>96</v>
      </c>
      <c r="H12" s="72" t="s">
        <v>55</v>
      </c>
      <c r="I12" s="49" t="s">
        <v>302</v>
      </c>
      <c r="J12" s="118" t="s">
        <v>96</v>
      </c>
      <c r="K12" s="118" t="s">
        <v>96</v>
      </c>
    </row>
    <row r="13" spans="1:13" ht="116.25" customHeight="1">
      <c r="A13" s="354"/>
      <c r="B13" s="61" t="s">
        <v>345</v>
      </c>
      <c r="C13" s="69" t="s">
        <v>346</v>
      </c>
      <c r="D13" s="69">
        <v>2024</v>
      </c>
      <c r="E13" s="90" t="s">
        <v>64</v>
      </c>
      <c r="F13" s="68" t="s">
        <v>347</v>
      </c>
      <c r="G13" s="35"/>
      <c r="H13" s="75" t="s">
        <v>21</v>
      </c>
      <c r="I13" s="35"/>
      <c r="J13" s="35"/>
      <c r="K13" s="35"/>
      <c r="L13" s="56" t="s">
        <v>717</v>
      </c>
      <c r="M13" s="43" t="s">
        <v>716</v>
      </c>
    </row>
    <row r="14" spans="1:13" ht="81" customHeight="1">
      <c r="A14" s="354" t="s">
        <v>91</v>
      </c>
    </row>
    <row r="15" spans="1:13" ht="102.75" customHeight="1">
      <c r="A15" s="355"/>
    </row>
    <row r="16" spans="1:13" ht="98.25" customHeight="1">
      <c r="A16" s="355"/>
    </row>
    <row r="17" spans="1:16" ht="111.75" customHeight="1">
      <c r="A17" s="355"/>
    </row>
    <row r="18" spans="1:16" ht="102" customHeight="1">
      <c r="A18" s="355"/>
    </row>
    <row r="19" spans="1:16" ht="30.75" customHeight="1">
      <c r="A19" s="355"/>
      <c r="B19" s="25" t="str">
        <f>IF(C19="","","PID-"&amp;TEXT(ROW()-2,"0000"))</f>
        <v/>
      </c>
      <c r="D19" s="25"/>
      <c r="F19" s="25"/>
      <c r="G19" s="25"/>
    </row>
    <row r="20" spans="1:16" ht="60.75" customHeight="1">
      <c r="A20" s="355"/>
      <c r="B20" s="25" t="str">
        <f>IF(C20="","","PID-"&amp;TEXT(ROW()-2,"0000"))</f>
        <v/>
      </c>
      <c r="D20" s="25"/>
      <c r="F20" s="25"/>
      <c r="G20" s="25"/>
    </row>
    <row r="21" spans="1:16">
      <c r="A21" s="355"/>
      <c r="B21" s="25" t="str">
        <f>IF(C21="","","PID-"&amp;TEXT(ROW()-2,"0000"))</f>
        <v/>
      </c>
      <c r="D21" s="25"/>
      <c r="F21" s="25"/>
      <c r="G21" s="25"/>
    </row>
    <row r="22" spans="1:16" ht="30.75" customHeight="1">
      <c r="A22" s="355"/>
      <c r="B22" s="25" t="str">
        <f>IF(C22="","","PID-"&amp;TEXT(ROW()-2,"0000"))</f>
        <v/>
      </c>
      <c r="D22" s="25"/>
      <c r="F22" s="25"/>
      <c r="G22" s="25"/>
    </row>
    <row r="23" spans="1:16" ht="30.75" customHeight="1">
      <c r="A23" s="355"/>
      <c r="B23" s="25" t="str">
        <f>IF(C23="","","PID-"&amp;TEXT(ROW()-2,"0000"))</f>
        <v/>
      </c>
      <c r="D23" s="25"/>
      <c r="F23" s="25"/>
      <c r="G23" s="25"/>
    </row>
    <row r="24" spans="1:16" ht="16.5" customHeight="1">
      <c r="A24" s="355"/>
      <c r="B24" s="25" t="str">
        <f>IF(C24="","","PID-"&amp;TEXT(ROW()-2,"0000"))</f>
        <v/>
      </c>
      <c r="D24" s="25"/>
      <c r="F24" s="25"/>
      <c r="G24" s="25"/>
    </row>
    <row r="25" spans="1:16" s="185" customFormat="1" ht="16.5" customHeight="1">
      <c r="A25" s="356"/>
      <c r="B25" s="25" t="str">
        <f>IF(C25="","","PID-"&amp;TEXT(ROW()-2,"0000"))</f>
        <v/>
      </c>
      <c r="C25" s="25"/>
      <c r="D25" s="25"/>
      <c r="E25" s="33"/>
      <c r="F25" s="25"/>
      <c r="G25" s="25"/>
      <c r="H25"/>
      <c r="I25"/>
      <c r="J25"/>
      <c r="K25"/>
      <c r="L25"/>
      <c r="M25"/>
    </row>
    <row r="26" spans="1:16" ht="16.5" customHeight="1">
      <c r="A26" s="354" t="s">
        <v>159</v>
      </c>
      <c r="B26" s="25" t="str">
        <f>IF(C26="","","PID-"&amp;TEXT(ROW()-2,"0000"))</f>
        <v/>
      </c>
      <c r="C26" s="25"/>
      <c r="D26" s="25"/>
      <c r="E26" s="255"/>
      <c r="F26" s="25"/>
      <c r="G26" s="25"/>
      <c r="N26" s="56"/>
      <c r="O26" s="56"/>
      <c r="P26" s="56"/>
    </row>
    <row r="27" spans="1:16">
      <c r="A27" s="355"/>
      <c r="B27" s="25" t="str">
        <f>IF(C27="","","PID-"&amp;TEXT(ROW()-2,"0000"))</f>
        <v/>
      </c>
      <c r="C27" s="25"/>
      <c r="D27" s="25"/>
      <c r="E27" s="255"/>
      <c r="F27" s="25"/>
      <c r="G27" s="25"/>
      <c r="N27" s="56"/>
      <c r="O27" s="56"/>
      <c r="P27" s="56"/>
    </row>
    <row r="28" spans="1:16">
      <c r="A28" s="355"/>
      <c r="B28" s="25" t="str">
        <f>IF(C28="","","PID-"&amp;TEXT(ROW()-2,"0000"))</f>
        <v/>
      </c>
      <c r="C28" s="25"/>
      <c r="D28" s="25"/>
      <c r="E28" s="255"/>
      <c r="F28" s="25"/>
      <c r="G28" s="25"/>
      <c r="N28" s="56"/>
      <c r="O28" s="56"/>
      <c r="P28" s="56"/>
    </row>
    <row r="29" spans="1:16">
      <c r="A29" s="355"/>
      <c r="B29" s="25" t="str">
        <f>IF(C29="","","PID-"&amp;TEXT(ROW()-2,"0000"))</f>
        <v/>
      </c>
      <c r="C29" s="25"/>
      <c r="D29" s="25"/>
      <c r="E29" s="255"/>
      <c r="F29" s="25"/>
      <c r="G29" s="25"/>
      <c r="N29" s="56"/>
      <c r="O29" s="56"/>
      <c r="P29" s="56"/>
    </row>
    <row r="30" spans="1:16" ht="26.25" customHeight="1">
      <c r="A30" s="355"/>
      <c r="B30" s="25" t="str">
        <f>IF(C30="","","PID-"&amp;TEXT(ROW()-2,"0000"))</f>
        <v/>
      </c>
      <c r="C30" s="25"/>
      <c r="D30" s="25"/>
      <c r="E30" s="255"/>
      <c r="F30" s="25"/>
      <c r="G30" s="25"/>
      <c r="N30" s="56"/>
      <c r="O30" s="56"/>
      <c r="P30" s="56"/>
    </row>
    <row r="31" spans="1:16" ht="16.5" customHeight="1">
      <c r="A31" s="355"/>
      <c r="B31" s="25" t="str">
        <f>IF(C31="","","PID-"&amp;TEXT(ROW()-2,"0000"))</f>
        <v/>
      </c>
      <c r="C31" s="25"/>
      <c r="D31" s="25"/>
      <c r="E31" s="255"/>
      <c r="F31" s="25"/>
      <c r="G31" s="25"/>
      <c r="N31" s="56"/>
      <c r="O31" s="56"/>
      <c r="P31" s="56"/>
    </row>
    <row r="32" spans="1:16">
      <c r="A32" s="355"/>
      <c r="B32" s="25" t="str">
        <f>IF(C32="","","PID-"&amp;TEXT(ROW()-2,"0000"))</f>
        <v/>
      </c>
      <c r="C32" s="25"/>
      <c r="D32" s="25"/>
      <c r="E32" s="255"/>
      <c r="F32" s="25"/>
      <c r="G32" s="25"/>
      <c r="N32" s="56"/>
      <c r="O32" s="56"/>
      <c r="P32" s="56"/>
    </row>
    <row r="33" spans="1:56">
      <c r="A33" s="355"/>
      <c r="B33" s="25" t="str">
        <f>IF(C33="","","PID-"&amp;TEXT(ROW()-2,"0000"))</f>
        <v/>
      </c>
      <c r="C33" s="25"/>
      <c r="D33" s="25"/>
      <c r="E33" s="255"/>
      <c r="F33" s="25"/>
      <c r="G33" s="25"/>
      <c r="N33" s="56"/>
      <c r="O33" s="56"/>
      <c r="P33" s="56"/>
      <c r="BC33" s="246"/>
      <c r="BD33" s="246"/>
    </row>
    <row r="34" spans="1:56">
      <c r="A34" s="355"/>
      <c r="B34" s="25" t="str">
        <f>IF(C34="","","PID-"&amp;TEXT(ROW()-2,"0000"))</f>
        <v/>
      </c>
      <c r="C34" s="25"/>
      <c r="D34" s="25"/>
      <c r="E34" s="255"/>
      <c r="F34" s="25"/>
      <c r="G34" s="25"/>
      <c r="N34" s="56"/>
      <c r="O34" s="56"/>
      <c r="P34" s="56"/>
    </row>
    <row r="35" spans="1:56" ht="25.5" customHeight="1">
      <c r="A35" s="355"/>
      <c r="B35" s="25" t="str">
        <f>IF(C35="","","PID-"&amp;TEXT(ROW()-2,"0000"))</f>
        <v/>
      </c>
      <c r="C35" s="25"/>
      <c r="D35" s="25"/>
      <c r="E35" s="255"/>
      <c r="F35" s="25"/>
      <c r="G35" s="25"/>
      <c r="N35" s="56"/>
      <c r="O35" s="56"/>
      <c r="P35" s="56"/>
    </row>
    <row r="36" spans="1:56">
      <c r="A36" s="355"/>
      <c r="B36" s="25" t="str">
        <f>IF(C36="","","PID-"&amp;TEXT(ROW()-2,"0000"))</f>
        <v/>
      </c>
      <c r="C36" s="25"/>
      <c r="D36" s="25"/>
      <c r="E36" s="255"/>
      <c r="F36" s="25"/>
      <c r="G36" s="25"/>
      <c r="N36" s="56"/>
      <c r="O36" s="56"/>
      <c r="P36" s="56"/>
    </row>
    <row r="37" spans="1:56">
      <c r="A37" s="356"/>
      <c r="B37" s="25" t="str">
        <f>IF(C37="","","PID-"&amp;TEXT(ROW()-2,"0000"))</f>
        <v/>
      </c>
      <c r="C37" s="25"/>
      <c r="D37" s="25"/>
      <c r="E37" s="255"/>
      <c r="F37" s="25"/>
      <c r="G37" s="25"/>
      <c r="N37" s="56"/>
      <c r="O37" s="56"/>
      <c r="P37" s="56"/>
    </row>
    <row r="38" spans="1:56" s="56" customFormat="1" ht="96" customHeight="1">
      <c r="A38" s="353" t="s">
        <v>225</v>
      </c>
      <c r="B38" s="25" t="str">
        <f>IF(C38="","","PID-"&amp;TEXT(ROW()-2,"0000"))</f>
        <v/>
      </c>
      <c r="C38" s="25"/>
      <c r="D38" s="25"/>
      <c r="E38" s="255"/>
      <c r="F38" s="25"/>
      <c r="G38" s="25"/>
      <c r="H38"/>
      <c r="I38"/>
      <c r="J38"/>
      <c r="K38"/>
      <c r="L38"/>
      <c r="M38"/>
    </row>
    <row r="39" spans="1:56" s="56" customFormat="1" ht="141" customHeight="1">
      <c r="A39" s="353"/>
      <c r="B39" s="25" t="str">
        <f>IF(C39="","","PID-"&amp;TEXT(ROW()-2,"0000"))</f>
        <v/>
      </c>
      <c r="C39" s="25"/>
      <c r="D39" s="25"/>
      <c r="E39" s="255"/>
      <c r="F39" s="25"/>
      <c r="G39" s="25"/>
      <c r="H39"/>
      <c r="I39"/>
      <c r="J39"/>
      <c r="K39"/>
      <c r="L39"/>
      <c r="M39"/>
    </row>
    <row r="40" spans="1:56" s="56" customFormat="1" ht="87.75" customHeight="1">
      <c r="A40" s="353"/>
      <c r="B40" s="25" t="str">
        <f>IF(C40="","","PID-"&amp;TEXT(ROW()-2,"0000"))</f>
        <v/>
      </c>
      <c r="C40" s="25"/>
      <c r="D40" s="25"/>
      <c r="E40" s="255"/>
      <c r="F40" s="25"/>
      <c r="G40" s="25"/>
      <c r="H40"/>
      <c r="I40"/>
      <c r="J40"/>
      <c r="K40"/>
      <c r="L40"/>
      <c r="M40"/>
    </row>
    <row r="41" spans="1:56" ht="81" customHeight="1">
      <c r="A41" s="353"/>
      <c r="B41" s="25" t="str">
        <f>IF(C41="","","PID-"&amp;TEXT(ROW()-2,"0000"))</f>
        <v/>
      </c>
      <c r="C41" s="25"/>
      <c r="D41" s="25"/>
      <c r="E41" s="255"/>
      <c r="F41" s="25"/>
      <c r="G41" s="25"/>
    </row>
    <row r="42" spans="1:56" ht="73.5" customHeight="1">
      <c r="A42" s="353"/>
      <c r="B42" s="25" t="str">
        <f>IF(C42="","","PID-"&amp;TEXT(ROW()-2,"0000"))</f>
        <v/>
      </c>
      <c r="C42" s="25"/>
      <c r="D42" s="25"/>
      <c r="E42" s="255"/>
      <c r="F42" s="25"/>
      <c r="G42" s="25"/>
    </row>
    <row r="43" spans="1:56" ht="84.75" customHeight="1">
      <c r="A43" s="353"/>
      <c r="B43" s="25" t="str">
        <f>IF(C43="","","PID-"&amp;TEXT(ROW()-2,"0000"))</f>
        <v/>
      </c>
      <c r="C43" s="25"/>
      <c r="D43" s="25"/>
      <c r="E43" s="255"/>
      <c r="F43" s="25"/>
      <c r="G43" s="25"/>
    </row>
    <row r="44" spans="1:56" ht="78" customHeight="1">
      <c r="A44" s="353"/>
      <c r="B44" s="25" t="str">
        <f>IF(C44="","","PID-"&amp;TEXT(ROW()-2,"0000"))</f>
        <v/>
      </c>
      <c r="C44" s="25"/>
      <c r="D44" s="25"/>
      <c r="E44" s="255"/>
      <c r="F44" s="25"/>
      <c r="G44" s="25"/>
    </row>
    <row r="45" spans="1:56" ht="77.25" customHeight="1">
      <c r="A45" s="353"/>
      <c r="B45" s="25" t="str">
        <f>IF(C45="","","PID-"&amp;TEXT(ROW()-2,"0000"))</f>
        <v/>
      </c>
      <c r="C45" s="25"/>
      <c r="D45" s="25"/>
      <c r="E45" s="255"/>
      <c r="F45" s="25"/>
      <c r="G45" s="25"/>
    </row>
    <row r="46" spans="1:56" ht="89.25" customHeight="1">
      <c r="A46" s="353"/>
      <c r="B46" s="25" t="str">
        <f>IF(C46="","","PID-"&amp;TEXT(ROW()-2,"0000"))</f>
        <v/>
      </c>
      <c r="C46" s="25"/>
      <c r="D46" s="25"/>
      <c r="E46" s="255"/>
      <c r="F46" s="25"/>
      <c r="G46" s="25"/>
    </row>
    <row r="47" spans="1:56" ht="96.75" customHeight="1">
      <c r="A47" s="353"/>
      <c r="B47" s="25" t="str">
        <f>IF(C47="","","PID-"&amp;TEXT(ROW()-2,"0000"))</f>
        <v/>
      </c>
      <c r="C47" s="25"/>
      <c r="D47" s="25"/>
      <c r="E47" s="255"/>
      <c r="F47" s="25"/>
      <c r="G47" s="25"/>
    </row>
    <row r="48" spans="1:56" ht="68.25" customHeight="1">
      <c r="A48" s="353"/>
      <c r="B48" s="25" t="str">
        <f>IF(C48="","","PID-"&amp;TEXT(ROW()-2,"0000"))</f>
        <v/>
      </c>
      <c r="C48" s="25"/>
      <c r="D48" s="25"/>
      <c r="E48" s="255"/>
      <c r="F48" s="25"/>
      <c r="G48" s="25"/>
    </row>
    <row r="49" spans="1:7" ht="93" customHeight="1">
      <c r="A49" s="353"/>
      <c r="B49" s="25" t="str">
        <f>IF(C49="","","PID-"&amp;TEXT(ROW()-2,"0000"))</f>
        <v/>
      </c>
      <c r="C49" s="25"/>
      <c r="D49" s="25"/>
      <c r="E49" s="255"/>
      <c r="F49" s="25"/>
      <c r="G49" s="25"/>
    </row>
    <row r="50" spans="1:7" ht="168.75" customHeight="1">
      <c r="A50" s="357" t="s">
        <v>297</v>
      </c>
      <c r="B50" s="25" t="str">
        <f>IF(C50="","","PID-"&amp;TEXT(ROW()-2,"0000"))</f>
        <v/>
      </c>
      <c r="C50" s="25"/>
      <c r="D50" s="25"/>
      <c r="E50" s="255"/>
      <c r="F50" s="25"/>
      <c r="G50" s="25"/>
    </row>
    <row r="51" spans="1:7" ht="66" customHeight="1">
      <c r="A51" s="357"/>
      <c r="B51" s="25" t="str">
        <f>IF(C51="","","PID-"&amp;TEXT(ROW()-2,"0000"))</f>
        <v/>
      </c>
      <c r="C51" s="25"/>
      <c r="D51" s="25"/>
      <c r="E51" s="255"/>
      <c r="F51" s="25"/>
      <c r="G51" s="25"/>
    </row>
    <row r="52" spans="1:7">
      <c r="A52" s="357"/>
      <c r="B52" s="25" t="str">
        <f>IF(C52="","","PID-"&amp;TEXT(ROW()-2,"0000"))</f>
        <v/>
      </c>
      <c r="C52" s="25"/>
      <c r="D52" s="25"/>
      <c r="E52" s="255"/>
      <c r="F52" s="25"/>
      <c r="G52" s="25"/>
    </row>
    <row r="53" spans="1:7" ht="73.5" customHeight="1">
      <c r="A53" s="357"/>
      <c r="B53" s="25" t="str">
        <f>IF(C53="","","PID-"&amp;TEXT(ROW()-2,"0000"))</f>
        <v/>
      </c>
      <c r="C53" s="25"/>
      <c r="D53" s="25"/>
      <c r="E53" s="255"/>
      <c r="F53" s="25"/>
      <c r="G53" s="25"/>
    </row>
    <row r="54" spans="1:7">
      <c r="A54" s="357"/>
      <c r="B54" s="25" t="str">
        <f>IF(C54="","","PID-"&amp;TEXT(ROW()-2,"0000"))</f>
        <v/>
      </c>
      <c r="C54" s="25"/>
      <c r="D54" s="25"/>
      <c r="E54" s="255"/>
      <c r="F54" s="25"/>
      <c r="G54" s="25"/>
    </row>
    <row r="55" spans="1:7" ht="57.75" customHeight="1">
      <c r="A55" s="357"/>
      <c r="B55" s="25" t="str">
        <f>IF(C55="","","PID-"&amp;TEXT(ROW()-2,"0000"))</f>
        <v/>
      </c>
      <c r="C55" s="25"/>
      <c r="D55" s="25"/>
      <c r="E55" s="255"/>
      <c r="F55" s="25"/>
      <c r="G55" s="25"/>
    </row>
    <row r="56" spans="1:7" ht="69.75" customHeight="1">
      <c r="A56" s="357"/>
      <c r="B56" s="25" t="str">
        <f>IF(C56="","","PID-"&amp;TEXT(ROW()-2,"0000"))</f>
        <v/>
      </c>
      <c r="C56" s="25"/>
      <c r="D56" s="25"/>
      <c r="E56" s="255"/>
      <c r="F56" s="25"/>
      <c r="G56" s="25"/>
    </row>
    <row r="57" spans="1:7" ht="59.25" customHeight="1">
      <c r="A57" s="357"/>
      <c r="B57" s="25" t="str">
        <f>IF(C57="","","PID-"&amp;TEXT(ROW()-2,"0000"))</f>
        <v/>
      </c>
      <c r="C57" s="25"/>
      <c r="D57" s="25"/>
      <c r="E57" s="255"/>
      <c r="F57" s="25"/>
      <c r="G57" s="25"/>
    </row>
    <row r="58" spans="1:7" ht="45.75" customHeight="1">
      <c r="A58" s="357"/>
      <c r="B58" s="25" t="str">
        <f>IF(C58="","","PID-"&amp;TEXT(ROW()-2,"0000"))</f>
        <v/>
      </c>
      <c r="C58" s="25"/>
      <c r="D58" s="25"/>
      <c r="E58" s="255"/>
      <c r="F58" s="25"/>
      <c r="G58" s="25"/>
    </row>
    <row r="59" spans="1:7" ht="66.75" customHeight="1">
      <c r="A59" s="357"/>
      <c r="B59" s="25" t="str">
        <f>IF(C59="","","PID-"&amp;TEXT(ROW()-2,"0000"))</f>
        <v/>
      </c>
      <c r="C59" s="25"/>
      <c r="D59" s="25"/>
      <c r="E59" s="255"/>
      <c r="F59" s="25"/>
      <c r="G59" s="25"/>
    </row>
    <row r="60" spans="1:7" ht="84.75" customHeight="1">
      <c r="A60" s="357"/>
      <c r="B60" s="25" t="str">
        <f>IF(C60="","","PID-"&amp;TEXT(ROW()-2,"0000"))</f>
        <v/>
      </c>
      <c r="C60" s="25"/>
      <c r="D60" s="25"/>
      <c r="E60" s="255"/>
      <c r="F60" s="25"/>
      <c r="G60" s="25"/>
    </row>
    <row r="61" spans="1:7" ht="124.5" customHeight="1">
      <c r="A61" s="357"/>
      <c r="B61" s="25" t="str">
        <f>IF(C61="","","PID-"&amp;TEXT(ROW()-2,"0000"))</f>
        <v/>
      </c>
      <c r="C61" s="25"/>
      <c r="D61" s="25"/>
      <c r="E61" s="255"/>
      <c r="F61" s="25"/>
      <c r="G61" s="25"/>
    </row>
    <row r="62" spans="1:7">
      <c r="A62" s="353" t="s">
        <v>352</v>
      </c>
      <c r="B62" s="25" t="str">
        <f>IF(C62="","","PID-"&amp;TEXT(ROW()-2,"0000"))</f>
        <v/>
      </c>
      <c r="C62" s="25"/>
      <c r="D62" s="25"/>
      <c r="E62" s="255"/>
      <c r="F62" s="25"/>
      <c r="G62" s="25"/>
    </row>
    <row r="63" spans="1:7">
      <c r="A63" s="353"/>
      <c r="B63" s="25" t="str">
        <f>IF(C63="","","PID-"&amp;TEXT(ROW()-2,"0000"))</f>
        <v/>
      </c>
      <c r="C63" s="25"/>
      <c r="D63" s="25"/>
      <c r="E63" s="255"/>
      <c r="F63" s="25"/>
      <c r="G63" s="25"/>
    </row>
    <row r="64" spans="1:7">
      <c r="A64" s="353"/>
      <c r="B64" s="25" t="str">
        <f>IF(C64="","","PID-"&amp;TEXT(ROW()-2,"0000"))</f>
        <v/>
      </c>
      <c r="C64" s="25"/>
      <c r="D64" s="25"/>
      <c r="E64" s="255"/>
      <c r="F64" s="25"/>
      <c r="G64" s="25"/>
    </row>
    <row r="65" spans="1:14">
      <c r="A65" s="353"/>
      <c r="B65" s="25" t="str">
        <f>IF(C65="","","PID-"&amp;TEXT(ROW()-2,"0000"))</f>
        <v/>
      </c>
      <c r="C65" s="25"/>
      <c r="D65" s="25"/>
      <c r="E65" s="255"/>
      <c r="F65" s="25"/>
      <c r="G65" s="25"/>
    </row>
    <row r="66" spans="1:14">
      <c r="A66" s="353"/>
      <c r="B66" s="25" t="str">
        <f>IF(C66="","","PID-"&amp;TEXT(ROW()-2,"0000"))</f>
        <v/>
      </c>
      <c r="C66" s="25"/>
      <c r="D66" s="25"/>
      <c r="E66" s="255"/>
      <c r="F66" s="25"/>
      <c r="G66" s="25"/>
    </row>
    <row r="67" spans="1:14">
      <c r="A67" s="353"/>
      <c r="B67" s="25" t="str">
        <f>IF(C67="","","PID-"&amp;TEXT(ROW()-2,"0000"))</f>
        <v/>
      </c>
      <c r="C67" s="25"/>
      <c r="D67" s="25"/>
      <c r="E67" s="255"/>
      <c r="F67" s="25"/>
      <c r="G67" s="25"/>
    </row>
    <row r="68" spans="1:14">
      <c r="A68" s="353"/>
      <c r="B68" s="25" t="str">
        <f>IF(C68="","","PID-"&amp;TEXT(ROW()-2,"0000"))</f>
        <v/>
      </c>
      <c r="C68" s="25"/>
      <c r="D68" s="25"/>
      <c r="E68" s="255"/>
      <c r="F68" s="25"/>
      <c r="G68" s="25"/>
    </row>
    <row r="69" spans="1:14">
      <c r="A69" s="353"/>
      <c r="B69" s="25" t="str">
        <f>IF(C69="","","PID-"&amp;TEXT(ROW()-2,"0000"))</f>
        <v/>
      </c>
      <c r="C69" s="25"/>
      <c r="D69" s="25"/>
      <c r="E69" s="255"/>
      <c r="F69" s="25"/>
      <c r="G69" s="25"/>
    </row>
    <row r="70" spans="1:14">
      <c r="A70" s="353"/>
      <c r="B70" s="25" t="str">
        <f>IF(C70="","","PID-"&amp;TEXT(ROW()-2,"0000"))</f>
        <v/>
      </c>
      <c r="C70" s="25"/>
      <c r="D70" s="25"/>
      <c r="E70" s="255"/>
      <c r="F70" s="25"/>
      <c r="G70" s="25"/>
    </row>
    <row r="71" spans="1:14">
      <c r="A71" s="353"/>
      <c r="B71" s="25" t="str">
        <f>IF(C71="","","PID-"&amp;TEXT(ROW()-2,"0000"))</f>
        <v/>
      </c>
      <c r="C71" s="25"/>
      <c r="D71" s="25"/>
      <c r="E71" s="255"/>
      <c r="F71" s="25"/>
      <c r="G71" s="25"/>
    </row>
    <row r="72" spans="1:14">
      <c r="A72" s="353"/>
      <c r="B72" s="25" t="str">
        <f>IF(C72="","","PID-"&amp;TEXT(ROW()-2,"0000"))</f>
        <v/>
      </c>
      <c r="C72" s="25"/>
      <c r="D72" s="25"/>
      <c r="E72" s="255"/>
      <c r="F72" s="25"/>
      <c r="G72" s="25"/>
    </row>
    <row r="73" spans="1:14">
      <c r="A73" s="353"/>
      <c r="B73" s="25" t="str">
        <f>IF(C73="","","PID-"&amp;TEXT(ROW()-2,"0000"))</f>
        <v/>
      </c>
      <c r="C73" s="25"/>
      <c r="D73" s="25"/>
      <c r="E73" s="255"/>
      <c r="F73" s="25"/>
      <c r="G73" s="25"/>
    </row>
    <row r="74" spans="1:14">
      <c r="A74" s="353" t="s">
        <v>386</v>
      </c>
      <c r="B74" s="25" t="str">
        <f>IF(C74="","","PID-"&amp;TEXT(ROW()-2,"0000"))</f>
        <v/>
      </c>
      <c r="C74" s="25"/>
      <c r="D74" s="25"/>
      <c r="E74" s="255"/>
      <c r="F74" s="25"/>
      <c r="G74" s="25"/>
    </row>
    <row r="75" spans="1:14">
      <c r="A75" s="353"/>
      <c r="B75" s="25" t="str">
        <f>IF(C75="","","PID-"&amp;TEXT(ROW()-2,"0000"))</f>
        <v/>
      </c>
      <c r="C75" s="25"/>
      <c r="D75" s="25"/>
      <c r="E75" s="255"/>
      <c r="F75" s="25"/>
      <c r="G75" s="25"/>
    </row>
    <row r="76" spans="1:14">
      <c r="A76" s="353"/>
      <c r="B76" s="25" t="str">
        <f>IF(C76="","","PID-"&amp;TEXT(ROW()-2,"0000"))</f>
        <v/>
      </c>
      <c r="C76" s="25"/>
      <c r="D76" s="25"/>
      <c r="E76" s="255"/>
      <c r="F76" s="25"/>
      <c r="G76" s="25"/>
    </row>
    <row r="77" spans="1:14">
      <c r="A77" s="353"/>
      <c r="B77" s="25" t="str">
        <f>IF(C77="","","PID-"&amp;TEXT(ROW()-2,"0000"))</f>
        <v/>
      </c>
      <c r="C77" s="25"/>
      <c r="D77" s="25"/>
      <c r="E77" s="255"/>
      <c r="F77" s="25"/>
      <c r="G77" s="25"/>
      <c r="N77" s="25"/>
    </row>
    <row r="78" spans="1:14">
      <c r="A78" s="353"/>
      <c r="B78" s="25" t="str">
        <f>IF(C78="","","PID-"&amp;TEXT(ROW()-2,"0000"))</f>
        <v/>
      </c>
      <c r="C78" s="25"/>
      <c r="D78" s="25"/>
      <c r="E78" s="255"/>
      <c r="F78" s="25"/>
      <c r="G78" s="25"/>
    </row>
    <row r="79" spans="1:14" ht="60.75" customHeight="1">
      <c r="A79" s="353"/>
      <c r="B79" s="25" t="str">
        <f>IF(C79="","","PID-"&amp;TEXT(ROW()-2,"0000"))</f>
        <v/>
      </c>
      <c r="C79" s="25"/>
      <c r="D79" s="25"/>
      <c r="E79" s="255"/>
      <c r="F79" s="25"/>
      <c r="G79" s="25"/>
    </row>
    <row r="80" spans="1:14" ht="60.75" customHeight="1">
      <c r="A80" s="353"/>
      <c r="B80" s="25" t="str">
        <f>IF(C80="","","PID-"&amp;TEXT(ROW()-2,"0000"))</f>
        <v/>
      </c>
      <c r="C80" s="25"/>
      <c r="D80" s="25"/>
      <c r="E80" s="255"/>
      <c r="F80" s="25"/>
      <c r="G80" s="25"/>
    </row>
    <row r="81" spans="1:7">
      <c r="A81" s="353"/>
      <c r="B81" s="25" t="str">
        <f>IF(C81="","","PID-"&amp;TEXT(ROW()-2,"0000"))</f>
        <v/>
      </c>
      <c r="C81" s="25"/>
      <c r="D81" s="25"/>
      <c r="E81" s="255"/>
      <c r="F81" s="25"/>
      <c r="G81" s="25"/>
    </row>
    <row r="82" spans="1:7">
      <c r="A82" s="353"/>
      <c r="B82" s="25" t="str">
        <f>IF(C82="","","PID-"&amp;TEXT(ROW()-2,"0000"))</f>
        <v/>
      </c>
      <c r="C82" s="25"/>
      <c r="D82" s="25"/>
      <c r="E82" s="255"/>
      <c r="F82" s="25"/>
      <c r="G82" s="25"/>
    </row>
    <row r="83" spans="1:7">
      <c r="A83" s="353"/>
      <c r="B83" s="25" t="str">
        <f>IF(C83="","","PID-"&amp;TEXT(ROW()-2,"0000"))</f>
        <v/>
      </c>
      <c r="C83" s="25"/>
      <c r="D83" s="25"/>
      <c r="E83" s="255"/>
      <c r="F83" s="25"/>
      <c r="G83" s="25"/>
    </row>
    <row r="84" spans="1:7" ht="15" customHeight="1">
      <c r="A84" s="353"/>
      <c r="B84" s="25" t="str">
        <f>IF(C84="","","PID-"&amp;TEXT(ROW()-2,"0000"))</f>
        <v/>
      </c>
      <c r="C84" s="25"/>
      <c r="D84" s="25"/>
      <c r="E84" s="255"/>
      <c r="F84" s="25"/>
      <c r="G84" s="25"/>
    </row>
    <row r="85" spans="1:7" ht="33.75">
      <c r="A85" s="250"/>
      <c r="B85" s="25" t="str">
        <f>IF(C85="","","PID-"&amp;TEXT(ROW()-2,"0000"))</f>
        <v/>
      </c>
      <c r="C85" s="25"/>
      <c r="D85" s="25"/>
      <c r="E85" s="255"/>
      <c r="F85" s="25"/>
      <c r="G85" s="25"/>
    </row>
    <row r="86" spans="1:7">
      <c r="A86" s="353" t="s">
        <v>454</v>
      </c>
      <c r="B86" s="25" t="str">
        <f>IF(C86="","","PID-"&amp;TEXT(ROW()-2,"0000"))</f>
        <v/>
      </c>
      <c r="C86" s="25"/>
      <c r="D86" s="25"/>
      <c r="E86" s="255"/>
      <c r="F86" s="25"/>
      <c r="G86" s="25"/>
    </row>
    <row r="87" spans="1:7">
      <c r="A87" s="353"/>
      <c r="B87" s="25" t="str">
        <f>IF(C87="","","PID-"&amp;TEXT(ROW()-2,"0000"))</f>
        <v/>
      </c>
      <c r="C87" s="25"/>
      <c r="D87" s="25"/>
      <c r="E87" s="255"/>
      <c r="F87" s="25"/>
      <c r="G87" s="25"/>
    </row>
    <row r="88" spans="1:7">
      <c r="A88" s="353"/>
      <c r="B88" s="25" t="str">
        <f>IF(C88="","","PID-"&amp;TEXT(ROW()-2,"0000"))</f>
        <v/>
      </c>
      <c r="C88" s="25"/>
      <c r="D88" s="25"/>
      <c r="E88" s="255"/>
      <c r="F88" s="25"/>
      <c r="G88" s="25"/>
    </row>
    <row r="89" spans="1:7">
      <c r="A89" s="353"/>
      <c r="B89" s="25" t="str">
        <f>IF(C89="","","PID-"&amp;TEXT(ROW()-2,"0000"))</f>
        <v/>
      </c>
      <c r="C89" s="25"/>
      <c r="D89" s="25"/>
      <c r="E89" s="255"/>
      <c r="F89" s="25"/>
      <c r="G89" s="25"/>
    </row>
    <row r="90" spans="1:7">
      <c r="A90" s="353"/>
      <c r="B90" s="25" t="str">
        <f>IF(C90="","","PID-"&amp;TEXT(ROW()-2,"0000"))</f>
        <v/>
      </c>
      <c r="C90" s="25"/>
      <c r="D90" s="25"/>
      <c r="E90" s="255"/>
      <c r="F90" s="25"/>
      <c r="G90" s="25"/>
    </row>
    <row r="91" spans="1:7">
      <c r="A91" s="353"/>
      <c r="B91" s="25" t="str">
        <f>IF(C91="","","PID-"&amp;TEXT(ROW()-2,"0000"))</f>
        <v/>
      </c>
      <c r="C91" s="25"/>
      <c r="D91" s="25"/>
      <c r="E91" s="255"/>
      <c r="F91" s="25"/>
      <c r="G91" s="25"/>
    </row>
    <row r="92" spans="1:7">
      <c r="A92" s="353"/>
      <c r="B92" s="25" t="str">
        <f>IF(C92="","","PID-"&amp;TEXT(ROW()-2,"0000"))</f>
        <v/>
      </c>
      <c r="C92" s="25"/>
      <c r="D92" s="25"/>
      <c r="E92" s="255"/>
      <c r="F92" s="25"/>
      <c r="G92" s="25"/>
    </row>
    <row r="93" spans="1:7">
      <c r="A93" s="353"/>
      <c r="B93" s="25" t="str">
        <f>IF(C93="","","PID-"&amp;TEXT(ROW()-2,"0000"))</f>
        <v/>
      </c>
      <c r="C93" s="25"/>
      <c r="D93" s="25"/>
      <c r="E93" s="255"/>
      <c r="F93" s="25"/>
      <c r="G93" s="25"/>
    </row>
    <row r="94" spans="1:7">
      <c r="A94" s="353"/>
      <c r="B94" s="25" t="str">
        <f>IF(C94="","","PID-"&amp;TEXT(ROW()-2,"0000"))</f>
        <v/>
      </c>
      <c r="C94" s="25"/>
      <c r="D94" s="25"/>
      <c r="E94" s="255"/>
      <c r="F94" s="25"/>
      <c r="G94" s="25"/>
    </row>
    <row r="95" spans="1:7">
      <c r="A95" s="353"/>
      <c r="B95" s="25" t="str">
        <f>IF(C95="","","PID-"&amp;TEXT(ROW()-2,"0000"))</f>
        <v/>
      </c>
      <c r="C95" s="25"/>
      <c r="D95" s="25"/>
      <c r="E95" s="255"/>
      <c r="F95" s="25"/>
      <c r="G95" s="25"/>
    </row>
    <row r="96" spans="1:7">
      <c r="A96" s="353"/>
      <c r="B96" s="25" t="str">
        <f>IF(C96="","","PID-"&amp;TEXT(ROW()-2,"0000"))</f>
        <v/>
      </c>
      <c r="C96" s="25"/>
      <c r="D96" s="25"/>
      <c r="E96" s="255"/>
      <c r="F96" s="25"/>
      <c r="G96" s="25"/>
    </row>
    <row r="97" spans="1:7">
      <c r="A97" s="358"/>
      <c r="B97" s="25" t="str">
        <f>IF(C97="","","PID-"&amp;TEXT(ROW()-2,"0000"))</f>
        <v/>
      </c>
      <c r="C97" s="25"/>
      <c r="D97" s="25"/>
      <c r="E97" s="255"/>
      <c r="F97" s="25"/>
      <c r="G97" s="25"/>
    </row>
    <row r="98" spans="1:7">
      <c r="A98" s="359" t="s">
        <v>484</v>
      </c>
      <c r="B98" s="25" t="str">
        <f>IF(C98="","","PID-"&amp;TEXT(ROW()-2,"0000"))</f>
        <v/>
      </c>
      <c r="C98" s="25"/>
      <c r="D98" s="25"/>
      <c r="E98" s="255"/>
      <c r="F98" s="25"/>
      <c r="G98" s="25"/>
    </row>
    <row r="99" spans="1:7">
      <c r="A99" s="353"/>
      <c r="B99" s="25" t="str">
        <f>IF(C99="","","PID-"&amp;TEXT(ROW()-2,"0000"))</f>
        <v/>
      </c>
      <c r="C99" s="25"/>
      <c r="D99" s="25"/>
      <c r="E99" s="255"/>
      <c r="F99" s="25"/>
      <c r="G99" s="25"/>
    </row>
    <row r="100" spans="1:7">
      <c r="A100" s="353"/>
      <c r="B100" s="25" t="str">
        <f>IF(C100="","","PID-"&amp;TEXT(ROW()-2,"0000"))</f>
        <v/>
      </c>
      <c r="C100" s="25"/>
      <c r="D100" s="25"/>
      <c r="E100" s="255"/>
      <c r="F100" s="25"/>
      <c r="G100" s="25"/>
    </row>
    <row r="101" spans="1:7">
      <c r="A101" s="353"/>
      <c r="B101" s="25" t="str">
        <f>IF(C101="","","PID-"&amp;TEXT(ROW()-2,"0000"))</f>
        <v/>
      </c>
      <c r="C101" s="25"/>
      <c r="D101" s="25"/>
      <c r="E101" s="255"/>
      <c r="F101" s="25"/>
      <c r="G101" s="25"/>
    </row>
    <row r="102" spans="1:7">
      <c r="A102" s="353"/>
      <c r="B102" s="25" t="str">
        <f>IF(C102="","","PID-"&amp;TEXT(ROW()-2,"0000"))</f>
        <v/>
      </c>
      <c r="C102" s="25"/>
      <c r="D102" s="25"/>
      <c r="E102" s="255"/>
      <c r="F102" s="25"/>
      <c r="G102" s="25"/>
    </row>
    <row r="103" spans="1:7">
      <c r="A103" s="353"/>
      <c r="B103" s="25" t="str">
        <f>IF(C103="","","PID-"&amp;TEXT(ROW()-2,"0000"))</f>
        <v/>
      </c>
      <c r="C103" s="25"/>
      <c r="D103" s="25"/>
      <c r="E103" s="255"/>
      <c r="F103" s="25"/>
      <c r="G103" s="25"/>
    </row>
    <row r="104" spans="1:7">
      <c r="A104" s="353"/>
      <c r="B104" s="25" t="str">
        <f>IF(C104="","","PID-"&amp;TEXT(ROW()-2,"0000"))</f>
        <v/>
      </c>
      <c r="C104" s="25"/>
      <c r="D104" s="25"/>
      <c r="E104" s="255"/>
      <c r="F104" s="25"/>
      <c r="G104" s="25"/>
    </row>
    <row r="105" spans="1:7">
      <c r="A105" s="353"/>
      <c r="B105" s="25" t="str">
        <f>IF(C105="","","PID-"&amp;TEXT(ROW()-2,"0000"))</f>
        <v/>
      </c>
      <c r="C105" s="25"/>
      <c r="D105" s="25"/>
      <c r="E105" s="255"/>
      <c r="F105" s="25"/>
      <c r="G105" s="25"/>
    </row>
    <row r="106" spans="1:7">
      <c r="A106" s="353"/>
      <c r="B106" s="25" t="str">
        <f>IF(C106="","","PID-"&amp;TEXT(ROW()-2,"0000"))</f>
        <v/>
      </c>
      <c r="C106" s="25"/>
      <c r="D106" s="25"/>
      <c r="E106" s="255"/>
      <c r="F106" s="25"/>
      <c r="G106" s="25"/>
    </row>
    <row r="107" spans="1:7">
      <c r="A107" s="353"/>
      <c r="B107" s="25" t="str">
        <f>IF(C107="","","PID-"&amp;TEXT(ROW()-2,"0000"))</f>
        <v/>
      </c>
      <c r="C107" s="25"/>
      <c r="D107" s="25"/>
      <c r="E107" s="255"/>
      <c r="F107" s="25"/>
      <c r="G107" s="25"/>
    </row>
    <row r="108" spans="1:7">
      <c r="A108" s="353"/>
      <c r="B108" s="25" t="str">
        <f>IF(C108="","","PID-"&amp;TEXT(ROW()-2,"0000"))</f>
        <v/>
      </c>
      <c r="C108" s="25"/>
      <c r="D108" s="25"/>
      <c r="E108" s="255"/>
      <c r="F108" s="25"/>
      <c r="G108" s="25"/>
    </row>
    <row r="109" spans="1:7">
      <c r="A109" s="353"/>
      <c r="B109" s="25" t="str">
        <f>IF(C109="","","PID-"&amp;TEXT(ROW()-2,"0000"))</f>
        <v/>
      </c>
      <c r="C109" s="25"/>
      <c r="D109" s="25"/>
      <c r="E109" s="255"/>
      <c r="F109" s="25"/>
      <c r="G109" s="25"/>
    </row>
    <row r="110" spans="1:7">
      <c r="A110" s="353" t="s">
        <v>509</v>
      </c>
      <c r="B110" s="25" t="str">
        <f>IF(C110="","","PID-"&amp;TEXT(ROW()-2,"0000"))</f>
        <v/>
      </c>
      <c r="C110" s="25"/>
      <c r="D110" s="25"/>
      <c r="E110" s="255"/>
      <c r="F110" s="25"/>
      <c r="G110" s="25"/>
    </row>
    <row r="111" spans="1:7">
      <c r="A111" s="353"/>
      <c r="B111" s="25" t="str">
        <f>IF(C111="","","PID-"&amp;TEXT(ROW()-2,"0000"))</f>
        <v/>
      </c>
      <c r="C111" s="25"/>
      <c r="D111" s="25"/>
      <c r="E111" s="255"/>
      <c r="F111" s="25"/>
      <c r="G111" s="25"/>
    </row>
    <row r="112" spans="1:7">
      <c r="A112" s="353"/>
      <c r="B112" s="25" t="str">
        <f>IF(C112="","","PID-"&amp;TEXT(ROW()-2,"0000"))</f>
        <v/>
      </c>
      <c r="C112" s="25"/>
      <c r="D112" s="25"/>
      <c r="E112" s="255"/>
      <c r="F112" s="25"/>
      <c r="G112" s="25"/>
    </row>
    <row r="113" spans="1:7">
      <c r="A113" s="353"/>
      <c r="B113" s="25" t="str">
        <f>IF(C113="","","PID-"&amp;TEXT(ROW()-2,"0000"))</f>
        <v/>
      </c>
      <c r="C113" s="25"/>
      <c r="D113" s="25"/>
      <c r="E113" s="255"/>
      <c r="F113" s="25"/>
      <c r="G113" s="25"/>
    </row>
    <row r="114" spans="1:7">
      <c r="A114" s="353"/>
      <c r="B114" s="25" t="str">
        <f>IF(C114="","","PID-"&amp;TEXT(ROW()-2,"0000"))</f>
        <v/>
      </c>
      <c r="C114" s="25"/>
      <c r="D114" s="25"/>
      <c r="E114" s="255"/>
      <c r="F114" s="25"/>
      <c r="G114" s="25"/>
    </row>
    <row r="115" spans="1:7">
      <c r="A115" s="353"/>
      <c r="B115" s="25" t="str">
        <f>IF(C115="","","PID-"&amp;TEXT(ROW()-2,"0000"))</f>
        <v/>
      </c>
      <c r="C115" s="25"/>
      <c r="D115" s="25"/>
      <c r="E115" s="255"/>
      <c r="F115" s="25"/>
      <c r="G115" s="25"/>
    </row>
    <row r="116" spans="1:7">
      <c r="A116" s="353"/>
      <c r="B116" s="25" t="str">
        <f>IF(C116="","","PID-"&amp;TEXT(ROW()-2,"0000"))</f>
        <v/>
      </c>
      <c r="C116" s="25"/>
      <c r="D116" s="25"/>
      <c r="E116" s="255"/>
      <c r="F116" s="25"/>
      <c r="G116" s="25"/>
    </row>
    <row r="117" spans="1:7">
      <c r="A117" s="353"/>
      <c r="B117" s="25" t="str">
        <f>IF(C117="","","PID-"&amp;TEXT(ROW()-2,"0000"))</f>
        <v/>
      </c>
      <c r="C117" s="25"/>
      <c r="D117" s="25"/>
      <c r="E117" s="255"/>
      <c r="F117" s="25"/>
      <c r="G117" s="25"/>
    </row>
    <row r="118" spans="1:7">
      <c r="A118" s="353"/>
      <c r="B118" s="25" t="str">
        <f>IF(C118="","","PID-"&amp;TEXT(ROW()-2,"0000"))</f>
        <v/>
      </c>
      <c r="C118" s="25"/>
      <c r="D118" s="25"/>
      <c r="E118" s="255"/>
      <c r="F118" s="25"/>
      <c r="G118" s="25"/>
    </row>
    <row r="119" spans="1:7">
      <c r="A119" s="353"/>
      <c r="B119" s="25" t="str">
        <f>IF(C119="","","PID-"&amp;TEXT(ROW()-2,"0000"))</f>
        <v/>
      </c>
      <c r="C119" s="25"/>
      <c r="D119" s="25"/>
      <c r="E119" s="255"/>
      <c r="F119" s="25"/>
      <c r="G119" s="25"/>
    </row>
    <row r="120" spans="1:7">
      <c r="A120" s="353"/>
      <c r="B120" s="25" t="str">
        <f>IF(C120="","","PID-"&amp;TEXT(ROW()-2,"0000"))</f>
        <v/>
      </c>
      <c r="C120" s="25"/>
      <c r="D120" s="25"/>
      <c r="E120" s="255"/>
      <c r="F120" s="25"/>
      <c r="G120" s="25"/>
    </row>
    <row r="121" spans="1:7">
      <c r="A121" s="353"/>
      <c r="B121" s="25" t="str">
        <f>IF(C121="","","PID-"&amp;TEXT(ROW()-2,"0000"))</f>
        <v/>
      </c>
      <c r="C121" s="25"/>
      <c r="D121" s="25"/>
      <c r="E121" s="255"/>
      <c r="F121" s="25"/>
      <c r="G121" s="25"/>
    </row>
    <row r="122" spans="1:7">
      <c r="A122" s="353" t="s">
        <v>572</v>
      </c>
      <c r="B122" s="25" t="str">
        <f>IF(C122="","","PID-"&amp;TEXT(ROW()-2,"0000"))</f>
        <v/>
      </c>
      <c r="C122" s="25"/>
      <c r="D122" s="25"/>
      <c r="E122" s="255"/>
      <c r="F122" s="25"/>
      <c r="G122" s="25"/>
    </row>
    <row r="123" spans="1:7">
      <c r="A123" s="353"/>
      <c r="B123" s="25" t="str">
        <f>IF(C123="","","PID-"&amp;TEXT(ROW()-2,"0000"))</f>
        <v/>
      </c>
      <c r="C123" s="25"/>
      <c r="D123" s="25"/>
      <c r="E123" s="255"/>
      <c r="F123" s="25"/>
      <c r="G123" s="25"/>
    </row>
    <row r="124" spans="1:7">
      <c r="A124" s="353"/>
      <c r="B124" s="25" t="str">
        <f>IF(C124="","","PID-"&amp;TEXT(ROW()-2,"0000"))</f>
        <v/>
      </c>
      <c r="C124" s="25"/>
      <c r="D124" s="25"/>
      <c r="E124" s="255"/>
      <c r="F124" s="25"/>
      <c r="G124" s="25"/>
    </row>
    <row r="125" spans="1:7">
      <c r="A125" s="353"/>
      <c r="B125" s="25" t="str">
        <f>IF(C125="","","PID-"&amp;TEXT(ROW()-2,"0000"))</f>
        <v/>
      </c>
      <c r="C125" s="25"/>
      <c r="D125" s="25"/>
      <c r="E125" s="255"/>
      <c r="F125" s="25"/>
      <c r="G125" s="25"/>
    </row>
    <row r="126" spans="1:7">
      <c r="A126" s="353"/>
      <c r="B126" s="25" t="str">
        <f>IF(C126="","","PID-"&amp;TEXT(ROW()-2,"0000"))</f>
        <v/>
      </c>
      <c r="C126" s="25"/>
      <c r="D126" s="25"/>
      <c r="E126" s="255"/>
      <c r="F126" s="25"/>
      <c r="G126" s="25"/>
    </row>
    <row r="127" spans="1:7">
      <c r="A127" s="353"/>
      <c r="B127" s="25" t="str">
        <f>IF(C127="","","PID-"&amp;TEXT(ROW()-2,"0000"))</f>
        <v/>
      </c>
      <c r="C127" s="25"/>
      <c r="D127" s="25"/>
      <c r="E127" s="255"/>
      <c r="F127" s="25"/>
      <c r="G127" s="25"/>
    </row>
    <row r="128" spans="1:7">
      <c r="A128" s="353"/>
      <c r="B128" s="25" t="str">
        <f>IF(C128="","","PID-"&amp;TEXT(ROW()-2,"0000"))</f>
        <v/>
      </c>
      <c r="C128" s="25"/>
      <c r="D128" s="25"/>
      <c r="E128" s="255"/>
      <c r="F128" s="25"/>
      <c r="G128" s="25"/>
    </row>
    <row r="129" spans="1:7">
      <c r="A129" s="353"/>
      <c r="B129" s="25" t="str">
        <f>IF(C129="","","PID-"&amp;TEXT(ROW()-2,"0000"))</f>
        <v/>
      </c>
      <c r="C129" s="25"/>
      <c r="D129" s="25"/>
      <c r="E129" s="255"/>
      <c r="F129" s="25"/>
      <c r="G129" s="25"/>
    </row>
    <row r="130" spans="1:7">
      <c r="A130" s="353"/>
      <c r="B130" s="25" t="str">
        <f>IF(C130="","","PID-"&amp;TEXT(ROW()-2,"0000"))</f>
        <v/>
      </c>
      <c r="C130" s="25"/>
      <c r="D130" s="25"/>
      <c r="E130" s="255"/>
      <c r="F130" s="25"/>
      <c r="G130" s="25"/>
    </row>
    <row r="131" spans="1:7">
      <c r="A131" s="353"/>
      <c r="B131" s="25" t="str">
        <f>IF(C131="","","PID-"&amp;TEXT(ROW()-2,"0000"))</f>
        <v/>
      </c>
      <c r="C131" s="25"/>
      <c r="D131" s="25"/>
      <c r="E131" s="255"/>
      <c r="F131" s="25"/>
      <c r="G131" s="25"/>
    </row>
    <row r="132" spans="1:7">
      <c r="A132" s="353"/>
      <c r="B132" s="25" t="str">
        <f>IF(C132="","","PID-"&amp;TEXT(ROW()-2,"0000"))</f>
        <v/>
      </c>
      <c r="C132" s="25"/>
      <c r="D132" s="25"/>
      <c r="E132" s="255"/>
      <c r="F132" s="25"/>
      <c r="G132" s="25"/>
    </row>
    <row r="133" spans="1:7">
      <c r="A133" s="353"/>
      <c r="B133" s="25" t="str">
        <f>IF(C133="","","PID-"&amp;TEXT(ROW()-2,"0000"))</f>
        <v/>
      </c>
      <c r="C133" s="25"/>
      <c r="D133" s="25"/>
      <c r="E133" s="255"/>
      <c r="F133" s="25"/>
      <c r="G133" s="25"/>
    </row>
    <row r="134" spans="1:7">
      <c r="A134" s="353" t="s">
        <v>572</v>
      </c>
      <c r="B134" s="25" t="str">
        <f>IF(C134="","","PID-"&amp;TEXT(ROW()-2,"0000"))</f>
        <v/>
      </c>
      <c r="C134" s="25"/>
      <c r="D134" s="25"/>
      <c r="E134" s="255"/>
      <c r="F134" s="25"/>
      <c r="G134" s="25"/>
    </row>
    <row r="135" spans="1:7">
      <c r="A135" s="353"/>
      <c r="B135" s="25" t="str">
        <f>IF(C135="","","PID-"&amp;TEXT(ROW()-2,"0000"))</f>
        <v/>
      </c>
      <c r="C135" s="25"/>
      <c r="D135" s="25"/>
      <c r="E135" s="255"/>
      <c r="F135" s="25"/>
      <c r="G135" s="25"/>
    </row>
    <row r="136" spans="1:7">
      <c r="A136" s="353"/>
      <c r="B136" s="25" t="str">
        <f>IF(C136="","","PID-"&amp;TEXT(ROW()-2,"0000"))</f>
        <v/>
      </c>
      <c r="C136" s="25"/>
      <c r="D136" s="25"/>
      <c r="E136" s="255"/>
      <c r="F136" s="25"/>
      <c r="G136" s="25"/>
    </row>
    <row r="137" spans="1:7">
      <c r="A137" s="353"/>
      <c r="B137" s="25" t="str">
        <f>IF(C137="","","PID-"&amp;TEXT(ROW()-2,"0000"))</f>
        <v/>
      </c>
      <c r="C137" s="25"/>
      <c r="D137" s="25"/>
      <c r="E137" s="255"/>
      <c r="F137" s="25"/>
      <c r="G137" s="25"/>
    </row>
    <row r="138" spans="1:7">
      <c r="A138" s="353"/>
      <c r="B138" s="25" t="str">
        <f>IF(C138="","","PID-"&amp;TEXT(ROW()-2,"0000"))</f>
        <v/>
      </c>
      <c r="C138" s="25"/>
      <c r="D138" s="25"/>
      <c r="E138" s="255"/>
      <c r="F138" s="25"/>
      <c r="G138" s="25"/>
    </row>
    <row r="139" spans="1:7">
      <c r="A139" s="353"/>
      <c r="B139" s="25" t="str">
        <f>IF(C139="","","PID-"&amp;TEXT(ROW()-2,"0000"))</f>
        <v/>
      </c>
      <c r="C139" s="25"/>
      <c r="D139" s="25"/>
      <c r="E139" s="255"/>
      <c r="F139" s="25"/>
      <c r="G139" s="25"/>
    </row>
    <row r="140" spans="1:7">
      <c r="A140" s="353"/>
      <c r="B140" s="25" t="str">
        <f>IF(C140="","","PID-"&amp;TEXT(ROW()-2,"0000"))</f>
        <v/>
      </c>
      <c r="C140" s="25"/>
      <c r="D140" s="25"/>
      <c r="E140" s="255"/>
      <c r="F140" s="25"/>
      <c r="G140" s="25"/>
    </row>
    <row r="141" spans="1:7">
      <c r="A141" s="353"/>
      <c r="B141" s="25" t="str">
        <f>IF(C141="","","PID-"&amp;TEXT(ROW()-2,"0000"))</f>
        <v/>
      </c>
      <c r="C141" s="25"/>
      <c r="D141" s="25"/>
      <c r="E141" s="255"/>
      <c r="F141" s="25"/>
      <c r="G141" s="25"/>
    </row>
    <row r="142" spans="1:7">
      <c r="A142" s="353"/>
      <c r="B142" s="25" t="str">
        <f>IF(C142="","","PID-"&amp;TEXT(ROW()-2,"0000"))</f>
        <v/>
      </c>
      <c r="C142" s="25"/>
      <c r="D142" s="25"/>
      <c r="E142" s="255"/>
      <c r="F142" s="25"/>
      <c r="G142" s="25"/>
    </row>
    <row r="143" spans="1:7">
      <c r="A143" s="353"/>
      <c r="B143" s="25" t="str">
        <f>IF(C143="","","PID-"&amp;TEXT(ROW()-2,"0000"))</f>
        <v/>
      </c>
      <c r="C143" s="25"/>
      <c r="D143" s="25"/>
      <c r="E143" s="255"/>
      <c r="F143" s="25"/>
      <c r="G143" s="25"/>
    </row>
    <row r="144" spans="1:7">
      <c r="A144" s="353"/>
      <c r="B144" s="25" t="str">
        <f>IF(C144="","","PID-"&amp;TEXT(ROW()-2,"0000"))</f>
        <v/>
      </c>
      <c r="C144" s="25"/>
      <c r="D144" s="25"/>
      <c r="E144" s="255"/>
      <c r="F144" s="25"/>
      <c r="G144" s="25"/>
    </row>
    <row r="145" spans="1:7">
      <c r="A145" s="353"/>
      <c r="B145" s="25" t="str">
        <f>IF(C145="","","PID-"&amp;TEXT(ROW()-2,"0000"))</f>
        <v/>
      </c>
      <c r="C145" s="25"/>
      <c r="D145" s="25"/>
      <c r="E145" s="255"/>
      <c r="F145" s="25"/>
      <c r="G145" s="25"/>
    </row>
    <row r="146" spans="1:7">
      <c r="B146" s="25" t="str">
        <f>IF(C146="","","PID-"&amp;TEXT(ROW()-2,"0000"))</f>
        <v/>
      </c>
      <c r="C146" s="25"/>
      <c r="D146" s="25"/>
      <c r="E146" s="255"/>
      <c r="F146" s="25"/>
      <c r="G146" s="25"/>
    </row>
    <row r="147" spans="1:7">
      <c r="B147" s="25" t="str">
        <f>IF(C147="","","PID-"&amp;TEXT(ROW()-2,"0000"))</f>
        <v/>
      </c>
      <c r="C147" s="25"/>
      <c r="D147" s="25"/>
      <c r="E147" s="255"/>
      <c r="F147" s="25"/>
      <c r="G147" s="25"/>
    </row>
    <row r="148" spans="1:7">
      <c r="B148" s="25" t="str">
        <f>IF(C148="","","PID-"&amp;TEXT(ROW()-2,"0000"))</f>
        <v/>
      </c>
      <c r="C148" s="25"/>
      <c r="D148" s="25"/>
      <c r="E148" s="255"/>
      <c r="F148" s="25"/>
      <c r="G148" s="25"/>
    </row>
    <row r="149" spans="1:7">
      <c r="B149" s="25" t="str">
        <f>IF(C149="","","PID-"&amp;TEXT(ROW()-2,"0000"))</f>
        <v/>
      </c>
      <c r="C149" s="25"/>
      <c r="D149" s="25"/>
      <c r="E149" s="255"/>
      <c r="F149" s="25"/>
      <c r="G149" s="25"/>
    </row>
    <row r="150" spans="1:7">
      <c r="B150" s="25" t="str">
        <f>IF(C150="","","PID-"&amp;TEXT(ROW()-2,"0000"))</f>
        <v/>
      </c>
      <c r="C150" s="25"/>
      <c r="D150" s="25"/>
      <c r="E150" s="255"/>
      <c r="F150" s="25"/>
      <c r="G150" s="25"/>
    </row>
    <row r="151" spans="1:7">
      <c r="B151" s="25" t="str">
        <f>IF(C151="","","PID-"&amp;TEXT(ROW()-2,"0000"))</f>
        <v/>
      </c>
      <c r="C151" s="25"/>
      <c r="D151" s="25"/>
      <c r="E151" s="255"/>
      <c r="F151" s="25"/>
      <c r="G151" s="25"/>
    </row>
    <row r="152" spans="1:7">
      <c r="B152" s="25" t="str">
        <f>IF(C152="","","PID-"&amp;TEXT(ROW()-2,"0000"))</f>
        <v/>
      </c>
      <c r="C152" s="25"/>
      <c r="D152" s="25"/>
      <c r="E152" s="255"/>
      <c r="F152" s="25"/>
      <c r="G152" s="25"/>
    </row>
    <row r="153" spans="1:7">
      <c r="B153" s="25" t="str">
        <f>IF(C153="","","PID-"&amp;TEXT(ROW()-2,"0000"))</f>
        <v/>
      </c>
      <c r="C153" s="25"/>
      <c r="D153" s="25"/>
      <c r="E153" s="255"/>
      <c r="F153" s="25"/>
      <c r="G153" s="25"/>
    </row>
    <row r="154" spans="1:7">
      <c r="B154" s="25" t="str">
        <f>IF(C154="","","PID-"&amp;TEXT(ROW()-2,"0000"))</f>
        <v/>
      </c>
      <c r="C154" s="25"/>
      <c r="D154" s="25"/>
      <c r="E154" s="255"/>
      <c r="F154" s="25"/>
      <c r="G154" s="25"/>
    </row>
    <row r="155" spans="1:7">
      <c r="B155" s="25" t="str">
        <f>IF(C155="","","PID-"&amp;TEXT(ROW()-2,"0000"))</f>
        <v/>
      </c>
      <c r="C155" s="25"/>
      <c r="D155" s="25"/>
      <c r="E155" s="255"/>
      <c r="F155" s="25"/>
      <c r="G155" s="25"/>
    </row>
    <row r="156" spans="1:7">
      <c r="B156" s="25" t="str">
        <f>IF(C156="","","PID-"&amp;TEXT(ROW()-2,"0000"))</f>
        <v/>
      </c>
      <c r="C156" s="25"/>
      <c r="D156" s="25"/>
      <c r="E156" s="255"/>
      <c r="F156" s="25"/>
      <c r="G156" s="25"/>
    </row>
    <row r="157" spans="1:7">
      <c r="B157" s="25" t="str">
        <f>IF(C157="","","PID-"&amp;TEXT(ROW()-2,"0000"))</f>
        <v/>
      </c>
      <c r="C157" s="25"/>
      <c r="D157" s="25"/>
      <c r="E157" s="255"/>
      <c r="F157" s="25"/>
      <c r="G157" s="25"/>
    </row>
    <row r="158" spans="1:7">
      <c r="B158" s="25" t="str">
        <f>IF(C158="","","PID-"&amp;TEXT(ROW()-2,"0000"))</f>
        <v/>
      </c>
      <c r="C158" s="25"/>
      <c r="D158" s="25"/>
      <c r="E158" s="255"/>
      <c r="F158" s="25"/>
      <c r="G158" s="25"/>
    </row>
    <row r="159" spans="1:7">
      <c r="B159" s="25" t="str">
        <f>IF(C159="","","PID-"&amp;TEXT(ROW()-2,"0000"))</f>
        <v/>
      </c>
      <c r="C159" s="25"/>
      <c r="D159" s="25"/>
      <c r="E159" s="255"/>
      <c r="F159" s="25"/>
      <c r="G159" s="25"/>
    </row>
    <row r="160" spans="1:7">
      <c r="B160" s="25" t="str">
        <f>IF(C160="","","PID-"&amp;TEXT(ROW()-2,"0000"))</f>
        <v/>
      </c>
      <c r="C160" s="25"/>
      <c r="D160" s="25"/>
      <c r="E160" s="255"/>
      <c r="F160" s="25"/>
      <c r="G160" s="25"/>
    </row>
    <row r="161" spans="2:7">
      <c r="B161" s="25" t="str">
        <f>IF(C161="","","PID-"&amp;TEXT(ROW()-2,"0000"))</f>
        <v/>
      </c>
      <c r="C161" s="25"/>
      <c r="D161" s="25"/>
      <c r="E161" s="255"/>
      <c r="F161" s="25"/>
      <c r="G161" s="25"/>
    </row>
    <row r="162" spans="2:7">
      <c r="B162" s="25" t="str">
        <f>IF(C162="","","PID-"&amp;TEXT(ROW()-2,"0000"))</f>
        <v/>
      </c>
      <c r="C162" s="25"/>
      <c r="D162" s="25"/>
      <c r="E162" s="255"/>
      <c r="F162" s="25"/>
      <c r="G162" s="25"/>
    </row>
    <row r="163" spans="2:7">
      <c r="B163" s="25" t="str">
        <f>IF(C163="","","PID-"&amp;TEXT(ROW()-2,"0000"))</f>
        <v/>
      </c>
      <c r="C163" s="25"/>
      <c r="D163" s="25"/>
      <c r="E163" s="255"/>
      <c r="F163" s="25"/>
      <c r="G163" s="25"/>
    </row>
    <row r="164" spans="2:7">
      <c r="B164" s="25" t="str">
        <f>IF(C164="","","PID-"&amp;TEXT(ROW()-2,"0000"))</f>
        <v/>
      </c>
      <c r="C164" s="25"/>
      <c r="D164" s="25"/>
      <c r="E164" s="255"/>
      <c r="F164" s="25"/>
      <c r="G164" s="25"/>
    </row>
    <row r="165" spans="2:7">
      <c r="B165" s="25" t="str">
        <f>IF(C165="","","PID-"&amp;TEXT(ROW()-2,"0000"))</f>
        <v/>
      </c>
      <c r="C165" s="25"/>
      <c r="D165" s="25"/>
      <c r="E165" s="255"/>
      <c r="F165" s="25"/>
      <c r="G165" s="25"/>
    </row>
    <row r="166" spans="2:7">
      <c r="B166" s="25" t="str">
        <f>IF(C166="","","PID-"&amp;TEXT(ROW()-2,"0000"))</f>
        <v/>
      </c>
      <c r="C166" s="25"/>
      <c r="D166" s="25"/>
      <c r="E166" s="255"/>
      <c r="F166" s="25"/>
      <c r="G166" s="25"/>
    </row>
    <row r="167" spans="2:7">
      <c r="B167" s="25" t="str">
        <f>IF(C167="","","PID-"&amp;TEXT(ROW()-2,"0000"))</f>
        <v/>
      </c>
      <c r="C167" s="25"/>
      <c r="D167" s="25"/>
      <c r="E167" s="255"/>
      <c r="F167" s="25"/>
      <c r="G167" s="25"/>
    </row>
    <row r="168" spans="2:7">
      <c r="B168" s="25" t="str">
        <f>IF(C168="","","PID-"&amp;TEXT(ROW()-2,"0000"))</f>
        <v/>
      </c>
      <c r="C168" s="25"/>
      <c r="D168" s="25"/>
      <c r="E168" s="255"/>
      <c r="F168" s="25"/>
      <c r="G168" s="25"/>
    </row>
    <row r="169" spans="2:7">
      <c r="B169" s="25" t="str">
        <f>IF(C169="","","PID-"&amp;TEXT(ROW()-2,"0000"))</f>
        <v/>
      </c>
      <c r="C169" s="25"/>
      <c r="D169" s="25"/>
      <c r="E169" s="255"/>
      <c r="F169" s="25"/>
      <c r="G169" s="25"/>
    </row>
    <row r="170" spans="2:7">
      <c r="B170" s="25" t="str">
        <f>IF(C170="","","PID-"&amp;TEXT(ROW()-2,"0000"))</f>
        <v/>
      </c>
      <c r="C170" s="25"/>
      <c r="D170" s="25"/>
      <c r="E170" s="255"/>
      <c r="F170" s="25"/>
      <c r="G170" s="25"/>
    </row>
    <row r="171" spans="2:7">
      <c r="B171" s="25" t="str">
        <f>IF(C171="","","PID-"&amp;TEXT(ROW()-2,"0000"))</f>
        <v/>
      </c>
      <c r="C171" s="25"/>
      <c r="D171" s="25"/>
      <c r="E171" s="255"/>
      <c r="F171" s="25"/>
      <c r="G171" s="25"/>
    </row>
    <row r="172" spans="2:7">
      <c r="B172" s="25" t="str">
        <f>IF(C172="","","PID-"&amp;TEXT(ROW()-2,"0000"))</f>
        <v/>
      </c>
      <c r="C172" s="25"/>
      <c r="D172" s="25"/>
      <c r="E172" s="255"/>
      <c r="F172" s="25"/>
      <c r="G172" s="25"/>
    </row>
    <row r="173" spans="2:7">
      <c r="B173" s="25" t="str">
        <f>IF(C173="","","PID-"&amp;TEXT(ROW()-2,"0000"))</f>
        <v/>
      </c>
      <c r="C173" s="25"/>
      <c r="D173" s="25"/>
      <c r="E173" s="255"/>
      <c r="F173" s="25"/>
      <c r="G173" s="25"/>
    </row>
    <row r="174" spans="2:7">
      <c r="B174" s="25" t="str">
        <f>IF(C174="","","PID-"&amp;TEXT(ROW()-2,"0000"))</f>
        <v/>
      </c>
      <c r="C174" s="25"/>
      <c r="D174" s="25"/>
      <c r="E174" s="255"/>
      <c r="F174" s="25"/>
      <c r="G174" s="25"/>
    </row>
    <row r="175" spans="2:7">
      <c r="B175" s="25" t="str">
        <f>IF(C175="","","PID-"&amp;TEXT(ROW()-2,"0000"))</f>
        <v/>
      </c>
      <c r="C175" s="25"/>
      <c r="D175" s="25"/>
      <c r="E175" s="255"/>
      <c r="F175" s="25"/>
      <c r="G175" s="25"/>
    </row>
    <row r="176" spans="2:7">
      <c r="B176" s="25" t="str">
        <f>IF(C176="","","PID-"&amp;TEXT(ROW()-2,"0000"))</f>
        <v/>
      </c>
      <c r="C176" s="25"/>
      <c r="D176" s="25"/>
      <c r="E176" s="255"/>
      <c r="F176" s="25"/>
      <c r="G176" s="25"/>
    </row>
    <row r="177" spans="2:7">
      <c r="B177" s="25" t="str">
        <f>IF(C177="","","PID-"&amp;TEXT(ROW()-2,"0000"))</f>
        <v/>
      </c>
      <c r="C177" s="25"/>
      <c r="D177" s="25"/>
      <c r="E177" s="255"/>
      <c r="F177" s="25"/>
      <c r="G177" s="25"/>
    </row>
    <row r="178" spans="2:7">
      <c r="B178" s="25" t="str">
        <f>IF(C178="","","PID-"&amp;TEXT(ROW()-2,"0000"))</f>
        <v/>
      </c>
      <c r="C178" s="25"/>
      <c r="D178" s="25"/>
      <c r="E178" s="255"/>
      <c r="F178" s="25"/>
      <c r="G178" s="25"/>
    </row>
    <row r="179" spans="2:7">
      <c r="B179" s="25" t="str">
        <f>IF(C179="","","PID-"&amp;TEXT(ROW()-2,"0000"))</f>
        <v/>
      </c>
      <c r="C179" s="25"/>
      <c r="D179" s="25"/>
      <c r="E179" s="255"/>
      <c r="F179" s="25"/>
      <c r="G179" s="25"/>
    </row>
    <row r="180" spans="2:7">
      <c r="B180" s="25" t="str">
        <f>IF(C180="","","PID-"&amp;TEXT(ROW()-2,"0000"))</f>
        <v/>
      </c>
      <c r="C180" s="25"/>
      <c r="D180" s="25"/>
      <c r="E180" s="255"/>
      <c r="F180" s="25"/>
      <c r="G180" s="25"/>
    </row>
    <row r="181" spans="2:7">
      <c r="B181" s="25" t="str">
        <f>IF(C181="","","PID-"&amp;TEXT(ROW()-2,"0000"))</f>
        <v/>
      </c>
      <c r="C181" s="25"/>
      <c r="D181" s="25"/>
      <c r="E181" s="255"/>
      <c r="F181" s="25"/>
      <c r="G181" s="25"/>
    </row>
    <row r="182" spans="2:7">
      <c r="B182" s="25" t="str">
        <f>IF(C182="","","PID-"&amp;TEXT(ROW()-2,"0000"))</f>
        <v/>
      </c>
      <c r="C182" s="25"/>
      <c r="D182" s="25"/>
      <c r="E182" s="255"/>
      <c r="F182" s="25"/>
      <c r="G182" s="25"/>
    </row>
    <row r="183" spans="2:7">
      <c r="B183" s="25" t="str">
        <f>IF(C183="","","PID-"&amp;TEXT(ROW()-2,"0000"))</f>
        <v/>
      </c>
      <c r="C183" s="25"/>
      <c r="D183" s="25"/>
      <c r="E183" s="255"/>
      <c r="F183" s="25"/>
      <c r="G183" s="25"/>
    </row>
    <row r="184" spans="2:7">
      <c r="B184" s="25" t="str">
        <f>IF(C184="","","PID-"&amp;TEXT(ROW()-2,"0000"))</f>
        <v/>
      </c>
      <c r="C184" s="25"/>
      <c r="D184" s="25"/>
      <c r="E184" s="255"/>
      <c r="F184" s="25"/>
      <c r="G184" s="25"/>
    </row>
    <row r="185" spans="2:7">
      <c r="B185" s="25" t="str">
        <f>IF(C185="","","PID-"&amp;TEXT(ROW()-2,"0000"))</f>
        <v/>
      </c>
      <c r="C185" s="25"/>
      <c r="D185" s="25"/>
      <c r="E185" s="255"/>
      <c r="F185" s="25"/>
      <c r="G185" s="25"/>
    </row>
    <row r="186" spans="2:7">
      <c r="B186" s="25" t="str">
        <f>IF(C186="","","PID-"&amp;TEXT(ROW()-2,"0000"))</f>
        <v/>
      </c>
      <c r="C186" s="25"/>
      <c r="D186" s="25"/>
      <c r="E186" s="255"/>
      <c r="F186" s="25"/>
      <c r="G186" s="25"/>
    </row>
  </sheetData>
  <mergeCells count="12">
    <mergeCell ref="A134:A145"/>
    <mergeCell ref="A2:A13"/>
    <mergeCell ref="A14:A25"/>
    <mergeCell ref="A26:A37"/>
    <mergeCell ref="A38:A49"/>
    <mergeCell ref="A50:A61"/>
    <mergeCell ref="A62:A73"/>
    <mergeCell ref="A74:A84"/>
    <mergeCell ref="A86:A97"/>
    <mergeCell ref="A98:A109"/>
    <mergeCell ref="A110:A121"/>
    <mergeCell ref="A122:A133"/>
  </mergeCells>
  <conditionalFormatting sqref="D19:E186 E2">
    <cfRule type="expression" dxfId="65" priority="8">
      <formula>AND($C2&lt;&gt;"",D2="")</formula>
    </cfRule>
  </conditionalFormatting>
  <conditionalFormatting sqref="BC33:BD33">
    <cfRule type="expression" dxfId="64" priority="620">
      <formula>AND(#REF!&lt;&gt;"",BC33="")</formula>
    </cfRule>
  </conditionalFormatting>
  <conditionalFormatting sqref="C19:C186">
    <cfRule type="expression" dxfId="63" priority="638">
      <formula>AND(C19&lt;&gt;"",COUNTIF($C$2:$C$186,C19)&gt;1)</formula>
    </cfRule>
    <cfRule type="expression" dxfId="62" priority="639">
      <formula>AND($C19&lt;&gt;"",C19="")</formula>
    </cfRule>
  </conditionalFormatting>
  <conditionalFormatting sqref="F19:F186">
    <cfRule type="expression" dxfId="61" priority="640">
      <formula>AND(F19&lt;&gt;"",COUNTIF($F$2:$F$186,F19)&gt;1)</formula>
    </cfRule>
    <cfRule type="expression" dxfId="60" priority="641">
      <formula>AND(C19&lt;&gt;"",F19="")</formula>
    </cfRule>
  </conditionalFormatting>
  <dataValidations count="1">
    <dataValidation type="whole" allowBlank="1" errorTitle="Invalid year" error="Enter a year between 2014 and 2030." promptTitle="Publication Year" prompt="Enter the publication year (numeric)." sqref="D19:D186" xr:uid="{158BA2D9-F0C7-41DF-9C40-6BDE660ABC0B}">
      <formula1>2014</formula1>
      <formula2>2030</formula2>
    </dataValidation>
  </dataValidations>
  <hyperlinks>
    <hyperlink ref="B2" r:id="rId1" xr:uid="{CA14791C-2872-495D-BC25-966E95482595}"/>
    <hyperlink ref="B3" r:id="rId2" xr:uid="{24FBD0CA-6AC1-4361-9F18-9C1FF7807967}"/>
    <hyperlink ref="B4" r:id="rId3" xr:uid="{1011B436-09FA-40D8-AF43-9B80360378E2}"/>
    <hyperlink ref="F2" r:id="rId4" xr:uid="{CF2B54C7-235F-464B-B748-CC37365390BE}"/>
    <hyperlink ref="F3" r:id="rId5" xr:uid="{F79BDE36-5F6E-4CD4-A9AA-56E175FDCBC1}"/>
    <hyperlink ref="F4" r:id="rId6" xr:uid="{3564B7C9-743E-4776-89EB-D86276E7E6D9}"/>
    <hyperlink ref="F5" r:id="rId7" xr:uid="{F82CF321-EC67-4B12-BA39-D873301071C6}"/>
    <hyperlink ref="B5" r:id="rId8" xr:uid="{FA44BD90-5242-4BE8-963C-368567BCA96E}"/>
    <hyperlink ref="F6" r:id="rId9" xr:uid="{3F2C6DF9-AC89-46F4-BBF5-91BA3A5A30A2}"/>
    <hyperlink ref="B6" r:id="rId10" xr:uid="{6635B60E-9DA4-41CB-ACE7-77519F54610B}"/>
    <hyperlink ref="F7" r:id="rId11" xr:uid="{982F551D-101E-4CF1-9CF9-E303FB10995F}"/>
    <hyperlink ref="B7" r:id="rId12" xr:uid="{6814B74C-4FC8-41A5-B821-B88CA94DAA97}"/>
    <hyperlink ref="F8" r:id="rId13" xr:uid="{88A7FD19-A441-476B-BF8A-4988F9E20267}"/>
    <hyperlink ref="B8" r:id="rId14" display="10.1177/10711813251360704" xr:uid="{16B00FBB-9534-4CDF-AF03-6D1E82B6C6A0}"/>
    <hyperlink ref="F9" r:id="rId15" xr:uid="{C8784FB1-A6CF-4FEB-9A7B-B6AA0EB3AE43}"/>
    <hyperlink ref="F10" r:id="rId16" xr:uid="{F40E153A-93A1-449B-B1B2-B6586590A8CA}"/>
    <hyperlink ref="B10" r:id="rId17" xr:uid="{94CD496E-3820-42B0-B4C4-E94145A9061A}"/>
    <hyperlink ref="B11" r:id="rId18" xr:uid="{F2FA5E93-84B5-4951-B2F5-BB25305BDE62}"/>
    <hyperlink ref="F11" r:id="rId19" xr:uid="{DC5C5D0F-87D1-4783-A09A-AA852256E7A4}"/>
    <hyperlink ref="F12" r:id="rId20" xr:uid="{836A9B1A-6208-451B-B44E-778375C71B53}"/>
    <hyperlink ref="B12" r:id="rId21" xr:uid="{26CFF147-4622-48F2-869C-82D71166E7CC}"/>
    <hyperlink ref="B13" r:id="rId22" xr:uid="{BA07EDA9-CA44-44BF-BB37-022B71652833}"/>
    <hyperlink ref="F13" r:id="rId23" xr:uid="{73B884BC-1B06-411F-8D76-67D135145751}"/>
  </hyperlinks>
  <pageMargins left="0.75" right="0.75" top="1" bottom="1" header="0.511811023622047" footer="0.511811023622047"/>
  <pageSetup paperSize="9" orientation="portrait" horizontalDpi="300" verticalDpi="300"/>
  <tableParts count="1">
    <tablePart r:id="rId24"/>
  </tableParts>
  <extLst>
    <ext xmlns:x14="http://schemas.microsoft.com/office/spreadsheetml/2009/9/main" uri="{CCE6A557-97BC-4b89-ADB6-D9C93CAAB3DF}">
      <x14:dataValidations xmlns:xm="http://schemas.microsoft.com/office/excel/2006/main" count="1">
        <x14:dataValidation type="list" allowBlank="1" errorTitle="Invalid entry" error="Please choose a value from the dropdown list." promptTitle="Publisher" prompt="Select the publisher." xr:uid="{82C495D4-D062-4170-B0A7-3AFD728D5DCD}">
          <x14:formula1>
            <xm:f>Lists!$B$2:$B$11</xm:f>
          </x14:formula1>
          <x14:formula2>
            <xm:f>0</xm:f>
          </x14:formula2>
          <xm:sqref>BC33 E2 E19:E186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A30F8-A2AD-48CF-8498-77E4CBB28C31}">
  <sheetPr>
    <tabColor rgb="FF003C71"/>
  </sheetPr>
  <dimension ref="A1:BD319"/>
  <sheetViews>
    <sheetView zoomScaleNormal="100" workbookViewId="0">
      <pane xSplit="1" topLeftCell="B37" activePane="topRight" state="frozen"/>
      <selection pane="topRight" activeCell="B39" activeCellId="1" sqref="M38 B39"/>
      <selection activeCell="A3" sqref="A3"/>
    </sheetView>
  </sheetViews>
  <sheetFormatPr defaultColWidth="13.42578125" defaultRowHeight="15"/>
  <cols>
    <col min="1" max="1" width="5" customWidth="1"/>
    <col min="2" max="2" width="33.28515625" customWidth="1"/>
    <col min="3" max="3" width="122.28515625" bestFit="1" customWidth="1"/>
    <col min="4" max="4" width="21.5703125" customWidth="1"/>
    <col min="5" max="5" width="17" style="33" bestFit="1" customWidth="1"/>
    <col min="6" max="6" width="78" bestFit="1" customWidth="1"/>
    <col min="7" max="7" width="44.140625" bestFit="1" customWidth="1"/>
    <col min="8" max="8" width="23.140625" customWidth="1"/>
    <col min="9" max="9" width="133" bestFit="1" customWidth="1"/>
    <col min="10" max="10" width="99.140625" bestFit="1" customWidth="1"/>
    <col min="11" max="11" width="221.7109375" bestFit="1" customWidth="1"/>
    <col min="12" max="12" width="66" customWidth="1"/>
    <col min="13" max="13" width="45.7109375" customWidth="1"/>
    <col min="14" max="14" width="18" customWidth="1"/>
  </cols>
  <sheetData>
    <row r="1" spans="1:13">
      <c r="B1" s="38" t="s">
        <v>0</v>
      </c>
      <c r="C1" s="38" t="s">
        <v>1</v>
      </c>
      <c r="D1" s="38" t="s">
        <v>2</v>
      </c>
      <c r="E1" s="38" t="s">
        <v>3</v>
      </c>
      <c r="F1" s="38" t="s">
        <v>4</v>
      </c>
      <c r="G1" s="38" t="s">
        <v>5</v>
      </c>
      <c r="H1" s="38" t="s">
        <v>6</v>
      </c>
      <c r="I1" s="38" t="s">
        <v>7</v>
      </c>
      <c r="J1" s="38" t="s">
        <v>8</v>
      </c>
      <c r="K1" s="38" t="s">
        <v>9</v>
      </c>
      <c r="L1" s="38" t="s">
        <v>721</v>
      </c>
      <c r="M1" s="38" t="s">
        <v>11</v>
      </c>
    </row>
    <row r="2" spans="1:13" ht="144">
      <c r="A2" s="354" t="s">
        <v>15</v>
      </c>
      <c r="B2" t="s">
        <v>16</v>
      </c>
      <c r="C2" s="200" t="s">
        <v>17</v>
      </c>
      <c r="D2" s="77">
        <v>2025</v>
      </c>
      <c r="E2" s="132" t="s">
        <v>18</v>
      </c>
      <c r="F2" s="201" t="s">
        <v>19</v>
      </c>
      <c r="G2" s="215" t="s">
        <v>20</v>
      </c>
      <c r="H2" s="105" t="s">
        <v>21</v>
      </c>
      <c r="I2" s="36"/>
      <c r="J2" s="207" t="s">
        <v>22</v>
      </c>
      <c r="K2" s="207" t="s">
        <v>23</v>
      </c>
      <c r="L2" s="207"/>
      <c r="M2" s="207"/>
    </row>
    <row r="3" spans="1:13" ht="86.25">
      <c r="A3" s="354"/>
      <c r="B3" s="191" t="s">
        <v>26</v>
      </c>
      <c r="C3" s="202" t="s">
        <v>27</v>
      </c>
      <c r="D3" s="97">
        <v>2025</v>
      </c>
      <c r="E3" s="97" t="s">
        <v>18</v>
      </c>
      <c r="F3" s="127" t="s">
        <v>28</v>
      </c>
      <c r="G3" s="158" t="s">
        <v>29</v>
      </c>
      <c r="H3" s="105" t="s">
        <v>21</v>
      </c>
      <c r="I3" s="35"/>
      <c r="J3" s="208" t="s">
        <v>30</v>
      </c>
      <c r="K3" s="208" t="s">
        <v>31</v>
      </c>
      <c r="L3" s="208"/>
      <c r="M3" s="208"/>
    </row>
    <row r="4" spans="1:13" ht="86.25">
      <c r="A4" s="354"/>
      <c r="B4" s="190" t="s">
        <v>32</v>
      </c>
      <c r="C4" s="139" t="s">
        <v>33</v>
      </c>
      <c r="D4" s="77">
        <v>2021</v>
      </c>
      <c r="E4" s="77" t="s">
        <v>18</v>
      </c>
      <c r="F4" s="112" t="s">
        <v>34</v>
      </c>
      <c r="G4" s="164" t="s">
        <v>35</v>
      </c>
      <c r="H4" s="105" t="s">
        <v>21</v>
      </c>
      <c r="J4" s="209" t="s">
        <v>36</v>
      </c>
      <c r="K4" s="210" t="s">
        <v>37</v>
      </c>
      <c r="L4" s="210"/>
      <c r="M4" s="209"/>
    </row>
    <row r="5" spans="1:13" ht="86.25">
      <c r="A5" s="354"/>
      <c r="B5" s="191" t="s">
        <v>38</v>
      </c>
      <c r="C5" s="158" t="s">
        <v>39</v>
      </c>
      <c r="D5" s="97">
        <v>2024</v>
      </c>
      <c r="E5" s="97" t="s">
        <v>18</v>
      </c>
      <c r="F5" s="127" t="s">
        <v>40</v>
      </c>
      <c r="G5" s="158" t="s">
        <v>41</v>
      </c>
      <c r="H5" s="105" t="s">
        <v>21</v>
      </c>
      <c r="I5" s="35"/>
      <c r="J5" s="208" t="s">
        <v>42</v>
      </c>
      <c r="K5" s="208" t="s">
        <v>43</v>
      </c>
      <c r="L5" s="208"/>
      <c r="M5" s="208"/>
    </row>
    <row r="6" spans="1:13" ht="86.25">
      <c r="A6" s="354"/>
      <c r="B6" s="190" t="s">
        <v>44</v>
      </c>
      <c r="C6" s="33" t="s">
        <v>45</v>
      </c>
      <c r="D6" s="77">
        <v>2019</v>
      </c>
      <c r="E6" s="33" t="s">
        <v>46</v>
      </c>
      <c r="F6" s="112" t="s">
        <v>47</v>
      </c>
      <c r="G6" s="164" t="s">
        <v>48</v>
      </c>
      <c r="H6" s="198" t="s">
        <v>21</v>
      </c>
      <c r="J6" s="209" t="s">
        <v>49</v>
      </c>
      <c r="K6" s="210" t="s">
        <v>50</v>
      </c>
      <c r="L6" s="210"/>
      <c r="M6" s="209"/>
    </row>
    <row r="7" spans="1:13" ht="16.5" customHeight="1">
      <c r="A7" s="354"/>
      <c r="B7" s="191" t="s">
        <v>51</v>
      </c>
      <c r="C7" s="33" t="s">
        <v>52</v>
      </c>
      <c r="D7" s="97">
        <v>2018</v>
      </c>
      <c r="E7" s="189" t="s">
        <v>53</v>
      </c>
      <c r="F7" s="127" t="s">
        <v>54</v>
      </c>
      <c r="G7" s="97"/>
      <c r="H7" s="104" t="s">
        <v>55</v>
      </c>
      <c r="I7" s="199" t="s">
        <v>56</v>
      </c>
      <c r="J7" s="211"/>
      <c r="K7" s="211"/>
      <c r="L7" s="211"/>
      <c r="M7" s="211"/>
    </row>
    <row r="8" spans="1:13" ht="16.5" customHeight="1">
      <c r="A8" s="354"/>
      <c r="B8" s="190" t="s">
        <v>57</v>
      </c>
      <c r="C8" s="33" t="s">
        <v>58</v>
      </c>
      <c r="D8" s="77">
        <v>2023</v>
      </c>
      <c r="E8" s="189" t="s">
        <v>59</v>
      </c>
      <c r="F8" s="112" t="s">
        <v>60</v>
      </c>
      <c r="G8" s="165"/>
      <c r="H8" s="104" t="s">
        <v>55</v>
      </c>
      <c r="I8" s="33" t="s">
        <v>61</v>
      </c>
      <c r="J8" s="209"/>
      <c r="K8" s="209"/>
      <c r="L8" s="209"/>
      <c r="M8" s="209"/>
    </row>
    <row r="9" spans="1:13" ht="16.5" customHeight="1">
      <c r="A9" s="354"/>
      <c r="B9" s="194" t="s">
        <v>62</v>
      </c>
      <c r="C9" s="204" t="s">
        <v>63</v>
      </c>
      <c r="D9" s="195">
        <v>2013</v>
      </c>
      <c r="E9" s="196" t="s">
        <v>64</v>
      </c>
      <c r="F9" s="127" t="s">
        <v>65</v>
      </c>
      <c r="G9" s="158"/>
      <c r="H9" s="104" t="s">
        <v>55</v>
      </c>
      <c r="I9" s="33" t="s">
        <v>66</v>
      </c>
      <c r="J9" s="211"/>
      <c r="K9" s="211"/>
      <c r="L9" s="211"/>
      <c r="M9" s="211"/>
    </row>
    <row r="10" spans="1:13" ht="159">
      <c r="A10" s="354"/>
      <c r="B10" s="193" t="s">
        <v>67</v>
      </c>
      <c r="C10" s="33" t="s">
        <v>68</v>
      </c>
      <c r="D10" s="77">
        <v>2021</v>
      </c>
      <c r="E10" s="33" t="s">
        <v>64</v>
      </c>
      <c r="F10" s="112" t="s">
        <v>69</v>
      </c>
      <c r="G10" s="164" t="s">
        <v>70</v>
      </c>
      <c r="H10" s="198" t="s">
        <v>21</v>
      </c>
      <c r="I10" s="33"/>
      <c r="J10" s="209" t="s">
        <v>71</v>
      </c>
      <c r="K10" s="210" t="s">
        <v>72</v>
      </c>
      <c r="L10" s="210"/>
      <c r="M10" s="209"/>
    </row>
    <row r="11" spans="1:13" ht="115.5">
      <c r="A11" s="354"/>
      <c r="B11" s="191" t="s">
        <v>73</v>
      </c>
      <c r="C11" s="33" t="s">
        <v>74</v>
      </c>
      <c r="D11" s="97">
        <v>2021</v>
      </c>
      <c r="E11" s="33" t="s">
        <v>75</v>
      </c>
      <c r="F11" s="127" t="s">
        <v>76</v>
      </c>
      <c r="G11" s="158" t="s">
        <v>77</v>
      </c>
      <c r="H11" s="198" t="s">
        <v>21</v>
      </c>
      <c r="I11" s="83"/>
      <c r="J11" s="209" t="s">
        <v>78</v>
      </c>
      <c r="K11" s="208" t="s">
        <v>79</v>
      </c>
      <c r="L11" s="257"/>
      <c r="M11" s="209"/>
    </row>
    <row r="12" spans="1:13" ht="16.5" customHeight="1">
      <c r="A12" s="354"/>
      <c r="B12" s="190" t="s">
        <v>80</v>
      </c>
      <c r="C12" s="33" t="s">
        <v>81</v>
      </c>
      <c r="D12" s="77">
        <v>2022</v>
      </c>
      <c r="E12" s="33" t="s">
        <v>75</v>
      </c>
      <c r="F12" s="205" t="s">
        <v>82</v>
      </c>
      <c r="G12" s="165"/>
      <c r="H12" s="104" t="s">
        <v>55</v>
      </c>
      <c r="I12" s="33" t="s">
        <v>83</v>
      </c>
      <c r="J12" s="209"/>
      <c r="K12" s="209"/>
      <c r="L12" s="209"/>
      <c r="M12" s="209"/>
    </row>
    <row r="13" spans="1:13" ht="115.5">
      <c r="A13" s="354"/>
      <c r="B13" s="192" t="s">
        <v>84</v>
      </c>
      <c r="C13" s="33" t="s">
        <v>85</v>
      </c>
      <c r="D13" s="188">
        <v>2022</v>
      </c>
      <c r="E13" s="33" t="s">
        <v>86</v>
      </c>
      <c r="F13" s="112" t="s">
        <v>87</v>
      </c>
      <c r="G13" s="216" t="s">
        <v>88</v>
      </c>
      <c r="H13" s="198" t="s">
        <v>21</v>
      </c>
      <c r="I13" s="37"/>
      <c r="J13" s="213" t="s">
        <v>89</v>
      </c>
      <c r="K13" s="214" t="s">
        <v>90</v>
      </c>
      <c r="L13" s="261"/>
      <c r="M13" s="213"/>
    </row>
    <row r="14" spans="1:13" ht="45.75" customHeight="1">
      <c r="A14" s="354" t="s">
        <v>91</v>
      </c>
      <c r="B14" s="124" t="s">
        <v>92</v>
      </c>
      <c r="C14" s="139" t="s">
        <v>93</v>
      </c>
      <c r="D14" s="77">
        <v>2025</v>
      </c>
      <c r="E14" s="104" t="s">
        <v>94</v>
      </c>
      <c r="F14" s="125" t="s">
        <v>95</v>
      </c>
      <c r="G14" s="118" t="s">
        <v>96</v>
      </c>
      <c r="H14" s="104" t="s">
        <v>55</v>
      </c>
      <c r="I14" s="77" t="s">
        <v>97</v>
      </c>
      <c r="J14" s="118" t="s">
        <v>96</v>
      </c>
      <c r="K14" s="118" t="s">
        <v>96</v>
      </c>
    </row>
    <row r="15" spans="1:13" ht="45.75">
      <c r="A15" s="355"/>
      <c r="B15" s="126" t="s">
        <v>98</v>
      </c>
      <c r="C15" s="181" t="s">
        <v>99</v>
      </c>
      <c r="D15" s="97">
        <v>2026</v>
      </c>
      <c r="E15" s="240" t="s">
        <v>100</v>
      </c>
      <c r="F15" s="127" t="s">
        <v>101</v>
      </c>
      <c r="G15" s="106"/>
      <c r="H15" s="197" t="s">
        <v>21</v>
      </c>
      <c r="I15" s="35"/>
      <c r="J15" s="35"/>
      <c r="K15" s="35"/>
    </row>
    <row r="16" spans="1:13" ht="15.75" customHeight="1">
      <c r="A16" s="355"/>
      <c r="B16" s="232"/>
      <c r="C16" s="241" t="s">
        <v>628</v>
      </c>
      <c r="D16" s="233"/>
      <c r="E16" s="234"/>
      <c r="F16" s="235"/>
      <c r="G16" s="129"/>
      <c r="H16" s="236" t="s">
        <v>629</v>
      </c>
      <c r="I16" s="34"/>
      <c r="J16" s="34"/>
      <c r="K16" s="34"/>
    </row>
    <row r="17" spans="1:16" ht="16.5" customHeight="1">
      <c r="A17" s="355"/>
      <c r="B17" s="127"/>
      <c r="C17" s="242" t="s">
        <v>109</v>
      </c>
      <c r="D17" s="97">
        <v>2025</v>
      </c>
      <c r="E17" s="149" t="s">
        <v>110</v>
      </c>
      <c r="F17" s="127"/>
      <c r="G17" s="123"/>
      <c r="H17" s="104" t="s">
        <v>55</v>
      </c>
      <c r="I17" s="35"/>
      <c r="J17" s="35"/>
      <c r="K17" s="35"/>
    </row>
    <row r="18" spans="1:16" ht="21" customHeight="1">
      <c r="A18" s="355"/>
      <c r="B18" s="41" t="s">
        <v>111</v>
      </c>
      <c r="C18" s="77" t="s">
        <v>112</v>
      </c>
      <c r="D18" s="77">
        <v>2020</v>
      </c>
      <c r="E18" s="77" t="s">
        <v>64</v>
      </c>
      <c r="F18" s="112" t="s">
        <v>113</v>
      </c>
      <c r="G18" s="130"/>
      <c r="H18" s="105" t="s">
        <v>21</v>
      </c>
      <c r="I18" s="34"/>
      <c r="J18" s="34"/>
      <c r="K18" s="34"/>
    </row>
    <row r="19" spans="1:16" ht="30.75" customHeight="1">
      <c r="A19" s="355"/>
      <c r="B19" s="123" t="s">
        <v>117</v>
      </c>
      <c r="C19" s="181" t="s">
        <v>118</v>
      </c>
      <c r="D19" s="103">
        <v>2023</v>
      </c>
      <c r="E19" s="103" t="s">
        <v>64</v>
      </c>
      <c r="F19" s="127" t="s">
        <v>119</v>
      </c>
      <c r="G19" s="123"/>
      <c r="H19" s="105" t="s">
        <v>21</v>
      </c>
      <c r="I19" s="35"/>
      <c r="J19" s="35"/>
      <c r="K19" s="35"/>
    </row>
    <row r="20" spans="1:16" ht="60.75" customHeight="1">
      <c r="A20" s="355"/>
      <c r="B20" s="128" t="s">
        <v>123</v>
      </c>
      <c r="C20" s="139" t="s">
        <v>124</v>
      </c>
      <c r="D20" s="77">
        <v>2023</v>
      </c>
      <c r="E20" s="77" t="s">
        <v>18</v>
      </c>
      <c r="F20" s="112" t="s">
        <v>125</v>
      </c>
      <c r="G20" s="130"/>
      <c r="H20" s="105" t="s">
        <v>21</v>
      </c>
      <c r="I20" s="34"/>
      <c r="J20" s="34"/>
      <c r="K20" s="34"/>
    </row>
    <row r="21" spans="1:16" ht="43.5">
      <c r="A21" s="355"/>
      <c r="B21" s="131" t="s">
        <v>129</v>
      </c>
      <c r="C21" s="181" t="s">
        <v>130</v>
      </c>
      <c r="D21" s="103">
        <v>2026</v>
      </c>
      <c r="E21" s="104" t="s">
        <v>75</v>
      </c>
      <c r="F21" s="127" t="s">
        <v>131</v>
      </c>
      <c r="G21" s="137" t="s">
        <v>96</v>
      </c>
      <c r="H21" s="104" t="s">
        <v>55</v>
      </c>
      <c r="I21" s="243" t="s">
        <v>132</v>
      </c>
      <c r="J21" s="137" t="s">
        <v>96</v>
      </c>
      <c r="K21" s="137" t="s">
        <v>96</v>
      </c>
    </row>
    <row r="22" spans="1:16" ht="30.75" customHeight="1">
      <c r="A22" s="355"/>
      <c r="B22" s="128" t="s">
        <v>133</v>
      </c>
      <c r="C22" s="139" t="s">
        <v>630</v>
      </c>
      <c r="D22" s="77">
        <v>2023</v>
      </c>
      <c r="E22" s="77" t="s">
        <v>135</v>
      </c>
      <c r="F22" s="112" t="s">
        <v>136</v>
      </c>
      <c r="G22" s="130"/>
      <c r="H22" s="104" t="s">
        <v>631</v>
      </c>
      <c r="I22" s="34"/>
      <c r="J22" s="34"/>
      <c r="K22" s="34"/>
    </row>
    <row r="23" spans="1:16" ht="30.75" customHeight="1">
      <c r="A23" s="355"/>
      <c r="B23" s="127" t="s">
        <v>141</v>
      </c>
      <c r="C23" s="181" t="s">
        <v>632</v>
      </c>
      <c r="D23" s="103">
        <v>2025</v>
      </c>
      <c r="E23" s="103" t="s">
        <v>143</v>
      </c>
      <c r="F23" s="127" t="s">
        <v>144</v>
      </c>
      <c r="G23" s="123"/>
      <c r="H23" s="105" t="s">
        <v>21</v>
      </c>
      <c r="I23" s="35"/>
      <c r="J23" s="35"/>
      <c r="K23" s="35"/>
    </row>
    <row r="24" spans="1:16" ht="16.5" customHeight="1">
      <c r="A24" s="355"/>
      <c r="B24" s="139"/>
      <c r="C24" s="139"/>
      <c r="D24" s="244"/>
      <c r="E24" s="180"/>
      <c r="F24" s="180"/>
      <c r="G24" s="180"/>
      <c r="H24" s="180"/>
      <c r="I24" s="180"/>
      <c r="J24" s="180"/>
      <c r="K24" s="180"/>
    </row>
    <row r="25" spans="1:16" s="185" customFormat="1" ht="16.5" customHeight="1">
      <c r="A25" s="356"/>
      <c r="B25" s="182"/>
      <c r="C25" s="245"/>
      <c r="D25" s="182"/>
      <c r="E25" s="182"/>
      <c r="F25" s="182"/>
      <c r="G25" s="182"/>
      <c r="H25" s="183" t="s">
        <v>55</v>
      </c>
      <c r="I25" s="184"/>
      <c r="J25" s="184"/>
      <c r="K25" s="184"/>
      <c r="L25"/>
      <c r="M25"/>
    </row>
    <row r="26" spans="1:16" ht="16.5" customHeight="1">
      <c r="A26" s="354" t="s">
        <v>159</v>
      </c>
      <c r="B26" s="104" t="s">
        <v>160</v>
      </c>
      <c r="C26" s="77" t="s">
        <v>161</v>
      </c>
      <c r="D26" s="77">
        <v>2021</v>
      </c>
      <c r="E26" s="104" t="s">
        <v>162</v>
      </c>
      <c r="F26" s="186" t="s">
        <v>163</v>
      </c>
      <c r="G26" s="118" t="s">
        <v>96</v>
      </c>
      <c r="H26" s="104" t="s">
        <v>55</v>
      </c>
      <c r="I26" s="77" t="s">
        <v>164</v>
      </c>
      <c r="J26" s="118" t="s">
        <v>96</v>
      </c>
      <c r="K26" s="118" t="s">
        <v>96</v>
      </c>
      <c r="N26" s="56"/>
      <c r="O26" s="56"/>
      <c r="P26" s="56"/>
    </row>
    <row r="27" spans="1:16" ht="72">
      <c r="A27" s="355"/>
      <c r="B27" s="127" t="s">
        <v>165</v>
      </c>
      <c r="C27" s="181" t="s">
        <v>166</v>
      </c>
      <c r="D27" s="104">
        <v>2004</v>
      </c>
      <c r="E27" s="181" t="s">
        <v>100</v>
      </c>
      <c r="F27" s="81" t="s">
        <v>167</v>
      </c>
      <c r="G27" s="361" t="s">
        <v>168</v>
      </c>
      <c r="H27" s="105" t="s">
        <v>21</v>
      </c>
      <c r="I27" s="106" t="s">
        <v>169</v>
      </c>
      <c r="J27" s="103" t="s">
        <v>170</v>
      </c>
      <c r="K27" s="102" t="s">
        <v>171</v>
      </c>
      <c r="N27" s="56"/>
      <c r="O27" s="56"/>
      <c r="P27" s="56"/>
    </row>
    <row r="28" spans="1:16" ht="101.25">
      <c r="A28" s="355"/>
      <c r="B28" s="125" t="s">
        <v>172</v>
      </c>
      <c r="C28" s="140" t="s">
        <v>173</v>
      </c>
      <c r="D28" s="140">
        <v>2024</v>
      </c>
      <c r="E28" s="140" t="s">
        <v>18</v>
      </c>
      <c r="F28" s="141" t="s">
        <v>174</v>
      </c>
      <c r="G28" s="142" t="s">
        <v>175</v>
      </c>
      <c r="H28" s="105" t="s">
        <v>21</v>
      </c>
      <c r="I28" s="143" t="s">
        <v>176</v>
      </c>
      <c r="J28" s="140" t="s">
        <v>177</v>
      </c>
      <c r="K28" s="142" t="s">
        <v>178</v>
      </c>
      <c r="N28" s="56"/>
      <c r="O28" s="56"/>
      <c r="P28" s="56"/>
    </row>
    <row r="29" spans="1:16" ht="115.5">
      <c r="A29" s="355"/>
      <c r="B29" s="144" t="s">
        <v>179</v>
      </c>
      <c r="C29" s="243" t="s">
        <v>180</v>
      </c>
      <c r="D29" s="243">
        <v>2021</v>
      </c>
      <c r="E29" s="243" t="s">
        <v>64</v>
      </c>
      <c r="F29" s="145" t="s">
        <v>181</v>
      </c>
      <c r="G29" s="135" t="s">
        <v>182</v>
      </c>
      <c r="H29" s="146" t="s">
        <v>183</v>
      </c>
      <c r="I29" s="147" t="s">
        <v>184</v>
      </c>
      <c r="J29" s="135" t="s">
        <v>185</v>
      </c>
      <c r="K29" s="148" t="s">
        <v>186</v>
      </c>
      <c r="N29" s="56"/>
      <c r="O29" s="56"/>
      <c r="P29" s="56"/>
    </row>
    <row r="30" spans="1:16" ht="26.25" customHeight="1">
      <c r="A30" s="355"/>
      <c r="B30" s="113"/>
      <c r="C30" s="114" t="s">
        <v>187</v>
      </c>
      <c r="D30" s="113"/>
      <c r="E30" s="113"/>
      <c r="F30" s="113"/>
      <c r="G30" s="113"/>
      <c r="H30" s="104" t="s">
        <v>55</v>
      </c>
      <c r="I30" s="113"/>
      <c r="J30" s="104"/>
      <c r="K30" s="104"/>
      <c r="N30" s="56"/>
      <c r="O30" s="56"/>
      <c r="P30" s="56"/>
    </row>
    <row r="31" spans="1:16" ht="16.5" customHeight="1">
      <c r="A31" s="355"/>
      <c r="B31" s="118" t="s">
        <v>96</v>
      </c>
      <c r="C31" s="118" t="s">
        <v>96</v>
      </c>
      <c r="D31" s="118" t="s">
        <v>96</v>
      </c>
      <c r="E31" s="115" t="s">
        <v>94</v>
      </c>
      <c r="F31" s="78" t="s">
        <v>188</v>
      </c>
      <c r="G31" s="118" t="s">
        <v>96</v>
      </c>
      <c r="H31" s="104" t="s">
        <v>55</v>
      </c>
      <c r="I31" s="77" t="s">
        <v>189</v>
      </c>
      <c r="J31" s="118" t="s">
        <v>96</v>
      </c>
      <c r="K31" s="118" t="s">
        <v>96</v>
      </c>
      <c r="N31" s="56"/>
      <c r="O31" s="56"/>
      <c r="P31" s="56"/>
    </row>
    <row r="32" spans="1:16" ht="129.75">
      <c r="A32" s="355"/>
      <c r="B32" s="127" t="s">
        <v>141</v>
      </c>
      <c r="C32" s="103" t="s">
        <v>190</v>
      </c>
      <c r="D32" s="103">
        <v>2025</v>
      </c>
      <c r="E32" s="103" t="s">
        <v>143</v>
      </c>
      <c r="F32" s="81" t="s">
        <v>191</v>
      </c>
      <c r="G32" s="102" t="s">
        <v>192</v>
      </c>
      <c r="H32" s="105" t="s">
        <v>153</v>
      </c>
      <c r="I32" s="106" t="s">
        <v>193</v>
      </c>
      <c r="J32" s="102" t="s">
        <v>194</v>
      </c>
      <c r="K32" s="102" t="s">
        <v>195</v>
      </c>
      <c r="N32" s="56"/>
      <c r="O32" s="56"/>
      <c r="P32" s="56"/>
    </row>
    <row r="33" spans="1:56" ht="159">
      <c r="A33" s="355"/>
      <c r="B33" s="125" t="s">
        <v>196</v>
      </c>
      <c r="C33" s="139" t="s">
        <v>197</v>
      </c>
      <c r="D33" s="77">
        <v>2023</v>
      </c>
      <c r="E33" s="77" t="s">
        <v>198</v>
      </c>
      <c r="F33" s="78" t="s">
        <v>199</v>
      </c>
      <c r="G33" s="111" t="s">
        <v>200</v>
      </c>
      <c r="H33" s="105" t="s">
        <v>153</v>
      </c>
      <c r="I33" s="129" t="s">
        <v>201</v>
      </c>
      <c r="J33" s="110" t="s">
        <v>202</v>
      </c>
      <c r="K33" s="110" t="s">
        <v>203</v>
      </c>
      <c r="N33" s="56"/>
      <c r="O33" s="56"/>
      <c r="P33" s="56"/>
      <c r="BC33" s="246"/>
      <c r="BD33" s="246"/>
    </row>
    <row r="34" spans="1:56" ht="115.5">
      <c r="A34" s="355"/>
      <c r="B34" s="127" t="s">
        <v>204</v>
      </c>
      <c r="C34" s="106" t="s">
        <v>205</v>
      </c>
      <c r="D34" s="103">
        <v>2023</v>
      </c>
      <c r="E34" s="103" t="s">
        <v>18</v>
      </c>
      <c r="F34" s="81" t="s">
        <v>125</v>
      </c>
      <c r="G34" s="102" t="s">
        <v>206</v>
      </c>
      <c r="H34" s="105" t="s">
        <v>153</v>
      </c>
      <c r="I34" s="106" t="s">
        <v>207</v>
      </c>
      <c r="J34" s="103"/>
      <c r="K34" s="106" t="s">
        <v>208</v>
      </c>
      <c r="N34" s="56"/>
      <c r="O34" s="56"/>
      <c r="P34" s="56"/>
    </row>
    <row r="35" spans="1:56" ht="25.5" customHeight="1">
      <c r="A35" s="355"/>
      <c r="B35" s="125" t="s">
        <v>209</v>
      </c>
      <c r="C35" s="77" t="s">
        <v>210</v>
      </c>
      <c r="D35" s="77">
        <v>2023</v>
      </c>
      <c r="E35" s="155" t="s">
        <v>150</v>
      </c>
      <c r="F35" s="118"/>
      <c r="G35" s="118"/>
      <c r="H35" s="105" t="s">
        <v>153</v>
      </c>
      <c r="J35" s="118" t="s">
        <v>96</v>
      </c>
      <c r="K35" s="118" t="s">
        <v>96</v>
      </c>
      <c r="N35" s="56"/>
      <c r="O35" s="56"/>
      <c r="P35" s="56"/>
    </row>
    <row r="36" spans="1:56" ht="129.75">
      <c r="A36" s="355"/>
      <c r="B36" s="127" t="s">
        <v>211</v>
      </c>
      <c r="C36" s="106" t="s">
        <v>212</v>
      </c>
      <c r="D36" s="103">
        <v>2026</v>
      </c>
      <c r="E36" s="103" t="s">
        <v>100</v>
      </c>
      <c r="F36" s="81" t="s">
        <v>151</v>
      </c>
      <c r="G36" s="102" t="s">
        <v>213</v>
      </c>
      <c r="H36" s="105" t="s">
        <v>153</v>
      </c>
      <c r="I36" s="106" t="s">
        <v>214</v>
      </c>
      <c r="J36" s="106" t="s">
        <v>215</v>
      </c>
      <c r="K36" s="106" t="s">
        <v>216</v>
      </c>
      <c r="N36" s="56"/>
      <c r="O36" s="56"/>
      <c r="P36" s="56"/>
    </row>
    <row r="37" spans="1:56" ht="159">
      <c r="A37" s="356"/>
      <c r="B37" s="125" t="s">
        <v>217</v>
      </c>
      <c r="C37" s="43" t="s">
        <v>218</v>
      </c>
      <c r="D37" s="77">
        <v>2020</v>
      </c>
      <c r="E37" s="77" t="s">
        <v>18</v>
      </c>
      <c r="F37" s="341" t="s">
        <v>219</v>
      </c>
      <c r="G37" s="49" t="s">
        <v>220</v>
      </c>
      <c r="H37" s="342" t="s">
        <v>221</v>
      </c>
      <c r="I37" s="49" t="s">
        <v>222</v>
      </c>
      <c r="J37" s="49" t="s">
        <v>223</v>
      </c>
      <c r="K37" s="49" t="s">
        <v>224</v>
      </c>
      <c r="N37" s="56"/>
      <c r="O37" s="56"/>
      <c r="P37" s="56"/>
    </row>
    <row r="38" spans="1:56" s="56" customFormat="1" ht="96" customHeight="1">
      <c r="A38" s="353" t="s">
        <v>225</v>
      </c>
      <c r="B38" s="50" t="s">
        <v>226</v>
      </c>
      <c r="C38" s="312" t="s">
        <v>227</v>
      </c>
      <c r="D38" s="313">
        <v>2023</v>
      </c>
      <c r="E38" s="313" t="s">
        <v>18</v>
      </c>
      <c r="F38" s="314" t="s">
        <v>228</v>
      </c>
      <c r="G38" s="315" t="s">
        <v>229</v>
      </c>
      <c r="H38" s="316" t="s">
        <v>221</v>
      </c>
      <c r="I38" s="317" t="s">
        <v>230</v>
      </c>
      <c r="J38" s="315" t="s">
        <v>231</v>
      </c>
      <c r="K38" s="315" t="s">
        <v>232</v>
      </c>
      <c r="L38" s="318"/>
      <c r="M38" s="318"/>
    </row>
    <row r="39" spans="1:56" s="56" customFormat="1" ht="141" customHeight="1">
      <c r="A39" s="353"/>
      <c r="B39" s="55" t="s">
        <v>233</v>
      </c>
      <c r="C39" s="319" t="s">
        <v>234</v>
      </c>
      <c r="D39" s="183">
        <v>2010</v>
      </c>
      <c r="E39" s="320" t="s">
        <v>64</v>
      </c>
      <c r="F39" s="321" t="s">
        <v>233</v>
      </c>
      <c r="G39" s="322" t="s">
        <v>235</v>
      </c>
      <c r="H39" s="323" t="s">
        <v>55</v>
      </c>
      <c r="I39" s="324" t="s">
        <v>236</v>
      </c>
      <c r="J39" s="322" t="s">
        <v>235</v>
      </c>
      <c r="K39" s="322" t="s">
        <v>235</v>
      </c>
      <c r="L39" s="318"/>
      <c r="M39" s="318"/>
    </row>
    <row r="40" spans="1:56" s="56" customFormat="1" ht="87.75" customHeight="1">
      <c r="A40" s="353"/>
      <c r="B40" s="82" t="s">
        <v>237</v>
      </c>
      <c r="C40" s="325" t="s">
        <v>238</v>
      </c>
      <c r="D40" s="313">
        <v>2021</v>
      </c>
      <c r="E40" s="313" t="s">
        <v>239</v>
      </c>
      <c r="F40" s="314" t="s">
        <v>240</v>
      </c>
      <c r="G40" s="315" t="s">
        <v>241</v>
      </c>
      <c r="H40" s="316" t="s">
        <v>221</v>
      </c>
      <c r="I40" s="317" t="s">
        <v>242</v>
      </c>
      <c r="J40" s="315" t="s">
        <v>243</v>
      </c>
      <c r="K40" s="315" t="s">
        <v>244</v>
      </c>
      <c r="L40" s="318"/>
      <c r="M40" s="318"/>
    </row>
    <row r="41" spans="1:56" ht="81" customHeight="1">
      <c r="A41" s="353"/>
      <c r="B41" s="55" t="s">
        <v>245</v>
      </c>
      <c r="C41" s="326" t="s">
        <v>246</v>
      </c>
      <c r="D41" s="320">
        <v>2023</v>
      </c>
      <c r="E41" s="320" t="s">
        <v>135</v>
      </c>
      <c r="F41" s="327" t="s">
        <v>247</v>
      </c>
      <c r="G41" s="322" t="s">
        <v>248</v>
      </c>
      <c r="H41" s="316" t="s">
        <v>221</v>
      </c>
      <c r="I41" s="328" t="s">
        <v>249</v>
      </c>
      <c r="J41" s="329" t="s">
        <v>250</v>
      </c>
      <c r="K41" s="329" t="s">
        <v>251</v>
      </c>
      <c r="L41" s="318"/>
      <c r="M41" s="318"/>
    </row>
    <row r="42" spans="1:56" ht="73.5" customHeight="1">
      <c r="A42" s="353"/>
      <c r="B42" s="81" t="s">
        <v>252</v>
      </c>
      <c r="C42" s="325" t="s">
        <v>253</v>
      </c>
      <c r="D42" s="313">
        <v>2026</v>
      </c>
      <c r="E42" s="313" t="s">
        <v>100</v>
      </c>
      <c r="F42" s="314" t="s">
        <v>254</v>
      </c>
      <c r="G42" s="315" t="s">
        <v>255</v>
      </c>
      <c r="H42" s="316" t="s">
        <v>221</v>
      </c>
      <c r="I42" s="317" t="s">
        <v>256</v>
      </c>
      <c r="J42" s="330" t="s">
        <v>257</v>
      </c>
      <c r="K42" s="330" t="s">
        <v>258</v>
      </c>
      <c r="L42" s="318"/>
      <c r="M42" s="318"/>
    </row>
    <row r="43" spans="1:56" ht="84.75" customHeight="1">
      <c r="A43" s="353"/>
      <c r="B43" s="55" t="s">
        <v>259</v>
      </c>
      <c r="C43" s="326" t="s">
        <v>260</v>
      </c>
      <c r="D43" s="320">
        <v>2023</v>
      </c>
      <c r="E43" s="320" t="s">
        <v>135</v>
      </c>
      <c r="F43" s="327" t="s">
        <v>261</v>
      </c>
      <c r="G43" s="322" t="s">
        <v>262</v>
      </c>
      <c r="H43" s="316" t="s">
        <v>221</v>
      </c>
      <c r="I43" s="328" t="s">
        <v>263</v>
      </c>
      <c r="J43" s="329" t="s">
        <v>264</v>
      </c>
      <c r="K43" s="329" t="s">
        <v>265</v>
      </c>
      <c r="L43" s="318"/>
      <c r="M43" s="318"/>
    </row>
    <row r="44" spans="1:56" ht="78" customHeight="1">
      <c r="A44" s="353"/>
      <c r="B44" s="47" t="s">
        <v>266</v>
      </c>
      <c r="C44" s="325" t="s">
        <v>267</v>
      </c>
      <c r="D44" s="313">
        <v>2023</v>
      </c>
      <c r="E44" s="313" t="s">
        <v>135</v>
      </c>
      <c r="F44" s="331" t="s">
        <v>268</v>
      </c>
      <c r="G44" s="315" t="s">
        <v>269</v>
      </c>
      <c r="H44" s="316" t="s">
        <v>221</v>
      </c>
      <c r="I44" s="317" t="s">
        <v>270</v>
      </c>
      <c r="J44" s="330" t="s">
        <v>271</v>
      </c>
      <c r="K44" s="330" t="s">
        <v>272</v>
      </c>
      <c r="L44" s="318"/>
      <c r="M44" s="318"/>
    </row>
    <row r="45" spans="1:56" ht="77.25" customHeight="1">
      <c r="A45" s="353"/>
      <c r="B45" s="41" t="s">
        <v>273</v>
      </c>
      <c r="C45" s="326" t="s">
        <v>274</v>
      </c>
      <c r="D45" s="320">
        <v>2025</v>
      </c>
      <c r="E45" s="320" t="s">
        <v>64</v>
      </c>
      <c r="F45" s="332" t="s">
        <v>275</v>
      </c>
      <c r="G45" s="333" t="s">
        <v>276</v>
      </c>
      <c r="H45" s="316" t="s">
        <v>221</v>
      </c>
      <c r="I45" s="334" t="s">
        <v>277</v>
      </c>
      <c r="J45" s="329" t="s">
        <v>278</v>
      </c>
      <c r="K45" s="334" t="s">
        <v>279</v>
      </c>
      <c r="L45" s="318"/>
      <c r="M45" s="318"/>
    </row>
    <row r="46" spans="1:56" ht="89.25" customHeight="1">
      <c r="A46" s="353"/>
      <c r="B46" s="47" t="s">
        <v>280</v>
      </c>
      <c r="C46" s="325" t="s">
        <v>281</v>
      </c>
      <c r="D46" s="335">
        <v>2024</v>
      </c>
      <c r="E46" s="335" t="s">
        <v>162</v>
      </c>
      <c r="F46" s="336"/>
      <c r="G46" s="336"/>
      <c r="H46" s="323" t="s">
        <v>282</v>
      </c>
      <c r="I46" s="337" t="s">
        <v>283</v>
      </c>
      <c r="J46" s="336"/>
      <c r="K46" s="336"/>
      <c r="L46" s="318"/>
      <c r="M46" s="318"/>
    </row>
    <row r="47" spans="1:56" ht="96.75" customHeight="1">
      <c r="A47" s="353"/>
      <c r="B47" s="41" t="s">
        <v>284</v>
      </c>
      <c r="C47" s="338" t="s">
        <v>285</v>
      </c>
      <c r="D47" s="183">
        <v>2019</v>
      </c>
      <c r="E47" s="339" t="s">
        <v>18</v>
      </c>
      <c r="F47" s="332" t="s">
        <v>286</v>
      </c>
      <c r="G47" s="340"/>
      <c r="H47" s="323" t="s">
        <v>282</v>
      </c>
      <c r="I47" s="334" t="s">
        <v>287</v>
      </c>
      <c r="J47" s="340"/>
      <c r="K47" s="340"/>
      <c r="L47" s="318"/>
      <c r="M47" s="318"/>
    </row>
    <row r="48" spans="1:56" ht="68.25" customHeight="1">
      <c r="A48" s="353"/>
      <c r="B48" s="47" t="s">
        <v>288</v>
      </c>
      <c r="C48" s="325" t="s">
        <v>289</v>
      </c>
      <c r="D48" s="183">
        <v>2014</v>
      </c>
      <c r="E48" s="183" t="s">
        <v>290</v>
      </c>
      <c r="F48" s="331" t="s">
        <v>291</v>
      </c>
      <c r="G48" s="336"/>
      <c r="H48" s="323" t="s">
        <v>282</v>
      </c>
      <c r="I48" s="337" t="s">
        <v>292</v>
      </c>
      <c r="J48" s="336"/>
      <c r="K48" s="336"/>
      <c r="L48" s="318"/>
      <c r="M48" s="318"/>
    </row>
    <row r="49" spans="1:11" ht="93" customHeight="1">
      <c r="A49" s="353"/>
      <c r="B49" s="55" t="s">
        <v>280</v>
      </c>
      <c r="C49" s="283" t="s">
        <v>281</v>
      </c>
      <c r="D49" s="77">
        <v>2024</v>
      </c>
      <c r="E49" s="77" t="s">
        <v>143</v>
      </c>
      <c r="F49" s="186" t="s">
        <v>293</v>
      </c>
      <c r="G49" s="118"/>
      <c r="H49" s="343" t="s">
        <v>221</v>
      </c>
      <c r="I49" s="344" t="s">
        <v>294</v>
      </c>
      <c r="J49" s="52" t="s">
        <v>295</v>
      </c>
      <c r="K49" s="52" t="s">
        <v>296</v>
      </c>
    </row>
    <row r="50" spans="1:11" ht="168.75" customHeight="1">
      <c r="A50" s="357" t="s">
        <v>297</v>
      </c>
      <c r="B50" s="59" t="s">
        <v>284</v>
      </c>
      <c r="C50" s="46" t="s">
        <v>285</v>
      </c>
      <c r="D50" s="72">
        <v>2019</v>
      </c>
      <c r="E50" s="84" t="s">
        <v>18</v>
      </c>
      <c r="F50" s="61" t="s">
        <v>286</v>
      </c>
      <c r="G50" s="119" t="s">
        <v>96</v>
      </c>
      <c r="H50" s="72" t="s">
        <v>55</v>
      </c>
      <c r="I50" s="247" t="s">
        <v>298</v>
      </c>
      <c r="J50" s="119" t="s">
        <v>96</v>
      </c>
      <c r="K50" s="119" t="s">
        <v>96</v>
      </c>
    </row>
    <row r="51" spans="1:11" ht="66" customHeight="1">
      <c r="A51" s="357"/>
      <c r="B51" s="57" t="s">
        <v>299</v>
      </c>
      <c r="C51" s="51" t="s">
        <v>300</v>
      </c>
      <c r="D51" s="73">
        <v>2014</v>
      </c>
      <c r="E51" s="85" t="s">
        <v>301</v>
      </c>
      <c r="F51" s="58" t="s">
        <v>291</v>
      </c>
      <c r="G51" s="118" t="s">
        <v>96</v>
      </c>
      <c r="H51" s="72" t="s">
        <v>55</v>
      </c>
      <c r="I51" s="49" t="s">
        <v>302</v>
      </c>
      <c r="J51" s="118" t="s">
        <v>96</v>
      </c>
      <c r="K51" s="118" t="s">
        <v>96</v>
      </c>
    </row>
    <row r="52" spans="1:11" ht="30.75">
      <c r="A52" s="357"/>
      <c r="B52" s="59" t="s">
        <v>303</v>
      </c>
      <c r="C52" s="362" t="s">
        <v>304</v>
      </c>
      <c r="D52" s="60">
        <v>2023</v>
      </c>
      <c r="E52" s="84" t="s">
        <v>198</v>
      </c>
      <c r="F52" s="59" t="s">
        <v>305</v>
      </c>
      <c r="G52" s="119" t="s">
        <v>96</v>
      </c>
      <c r="H52" s="72" t="s">
        <v>55</v>
      </c>
      <c r="I52" s="120" t="s">
        <v>633</v>
      </c>
      <c r="J52" s="119" t="s">
        <v>96</v>
      </c>
      <c r="K52" s="119" t="s">
        <v>96</v>
      </c>
    </row>
    <row r="53" spans="1:11" ht="73.5" customHeight="1">
      <c r="A53" s="357"/>
      <c r="B53" s="63" t="s">
        <v>310</v>
      </c>
      <c r="C53" s="53" t="s">
        <v>311</v>
      </c>
      <c r="D53" s="62">
        <v>2022</v>
      </c>
      <c r="E53" s="86" t="s">
        <v>64</v>
      </c>
      <c r="F53" s="57" t="s">
        <v>312</v>
      </c>
      <c r="G53" s="118" t="s">
        <v>96</v>
      </c>
      <c r="H53" s="72" t="s">
        <v>55</v>
      </c>
      <c r="I53" s="43" t="s">
        <v>634</v>
      </c>
      <c r="J53" s="118" t="s">
        <v>96</v>
      </c>
      <c r="K53" s="118" t="s">
        <v>96</v>
      </c>
    </row>
    <row r="54" spans="1:11" ht="91.5">
      <c r="A54" s="357"/>
      <c r="B54" s="59" t="s">
        <v>314</v>
      </c>
      <c r="C54" s="54" t="s">
        <v>315</v>
      </c>
      <c r="D54" s="71" t="s">
        <v>316</v>
      </c>
      <c r="E54" s="84" t="s">
        <v>64</v>
      </c>
      <c r="F54" s="59" t="s">
        <v>317</v>
      </c>
      <c r="G54" s="48"/>
      <c r="H54" s="75" t="s">
        <v>221</v>
      </c>
      <c r="I54" s="121" t="s">
        <v>635</v>
      </c>
      <c r="J54" s="121" t="s">
        <v>320</v>
      </c>
      <c r="K54" s="121" t="s">
        <v>321</v>
      </c>
    </row>
    <row r="55" spans="1:11" ht="57.75" customHeight="1">
      <c r="A55" s="357"/>
      <c r="B55" s="57" t="s">
        <v>322</v>
      </c>
      <c r="C55" s="363" t="s">
        <v>323</v>
      </c>
      <c r="D55" s="62">
        <v>2025</v>
      </c>
      <c r="E55" s="86" t="s">
        <v>324</v>
      </c>
      <c r="F55" s="57" t="s">
        <v>325</v>
      </c>
      <c r="G55" s="34"/>
      <c r="H55" s="34"/>
      <c r="I55" s="34"/>
      <c r="J55" s="34"/>
      <c r="K55" s="34"/>
    </row>
    <row r="56" spans="1:11" ht="69.75" customHeight="1">
      <c r="A56" s="357"/>
      <c r="B56" s="61" t="s">
        <v>327</v>
      </c>
      <c r="C56" s="46" t="s">
        <v>328</v>
      </c>
      <c r="D56" s="70">
        <v>2008</v>
      </c>
      <c r="E56" s="87" t="s">
        <v>18</v>
      </c>
      <c r="F56" s="59" t="s">
        <v>329</v>
      </c>
      <c r="G56" s="48"/>
      <c r="H56" s="35"/>
      <c r="I56" s="35"/>
      <c r="J56" s="35"/>
      <c r="K56" s="35"/>
    </row>
    <row r="57" spans="1:11" ht="59.25" customHeight="1">
      <c r="A57" s="357"/>
      <c r="B57" s="57" t="s">
        <v>331</v>
      </c>
      <c r="C57" s="364" t="s">
        <v>332</v>
      </c>
      <c r="D57" s="64">
        <v>2020</v>
      </c>
      <c r="E57" s="88" t="s">
        <v>198</v>
      </c>
      <c r="F57" s="57" t="s">
        <v>333</v>
      </c>
      <c r="G57" s="34"/>
      <c r="H57" s="34"/>
      <c r="I57" s="34"/>
      <c r="J57" s="34"/>
      <c r="K57" s="34"/>
    </row>
    <row r="58" spans="1:11" ht="45.75" customHeight="1">
      <c r="A58" s="357"/>
      <c r="B58" s="65" t="s">
        <v>335</v>
      </c>
      <c r="C58" s="66" t="s">
        <v>336</v>
      </c>
      <c r="D58" s="67">
        <v>2022</v>
      </c>
      <c r="E58" s="87" t="s">
        <v>143</v>
      </c>
      <c r="F58" s="61" t="s">
        <v>337</v>
      </c>
      <c r="G58" s="35"/>
      <c r="H58" s="35"/>
      <c r="I58" s="35"/>
      <c r="J58" s="35"/>
      <c r="K58" s="35"/>
    </row>
    <row r="59" spans="1:11" ht="66.75" customHeight="1">
      <c r="A59" s="357"/>
      <c r="B59" s="57" t="s">
        <v>342</v>
      </c>
      <c r="C59" s="364" t="s">
        <v>343</v>
      </c>
      <c r="D59" s="365">
        <v>2025</v>
      </c>
      <c r="E59" s="89" t="s">
        <v>94</v>
      </c>
      <c r="F59" s="57" t="s">
        <v>344</v>
      </c>
      <c r="G59" s="118" t="s">
        <v>96</v>
      </c>
      <c r="H59" s="72" t="s">
        <v>55</v>
      </c>
      <c r="I59" s="49" t="s">
        <v>302</v>
      </c>
      <c r="J59" s="118" t="s">
        <v>96</v>
      </c>
      <c r="K59" s="118" t="s">
        <v>96</v>
      </c>
    </row>
    <row r="60" spans="1:11" ht="84.75" customHeight="1">
      <c r="A60" s="357"/>
      <c r="B60" s="68" t="s">
        <v>345</v>
      </c>
      <c r="C60" s="69" t="s">
        <v>346</v>
      </c>
      <c r="D60" s="69">
        <v>2024</v>
      </c>
      <c r="E60" s="90" t="s">
        <v>64</v>
      </c>
      <c r="F60" s="68" t="s">
        <v>347</v>
      </c>
      <c r="G60" s="35"/>
      <c r="H60" s="35"/>
      <c r="I60" s="35"/>
      <c r="J60" s="35"/>
      <c r="K60" s="35"/>
    </row>
    <row r="61" spans="1:11" ht="124.5" customHeight="1">
      <c r="A61" s="357"/>
      <c r="B61" s="57" t="s">
        <v>636</v>
      </c>
      <c r="C61" s="364" t="s">
        <v>637</v>
      </c>
      <c r="D61" s="365">
        <v>2023</v>
      </c>
      <c r="E61" s="33" t="s">
        <v>324</v>
      </c>
      <c r="F61" s="57" t="s">
        <v>638</v>
      </c>
      <c r="G61" s="80" t="s">
        <v>639</v>
      </c>
      <c r="H61" s="75" t="s">
        <v>21</v>
      </c>
      <c r="I61" s="176" t="s">
        <v>640</v>
      </c>
      <c r="J61" s="74" t="s">
        <v>641</v>
      </c>
      <c r="K61" s="74" t="s">
        <v>642</v>
      </c>
    </row>
    <row r="62" spans="1:11" ht="28.5">
      <c r="A62" s="353" t="s">
        <v>352</v>
      </c>
      <c r="B62" s="35" t="s">
        <v>353</v>
      </c>
      <c r="C62" s="98" t="s">
        <v>354</v>
      </c>
      <c r="D62" s="104">
        <v>2007</v>
      </c>
      <c r="E62" s="172" t="s">
        <v>18</v>
      </c>
      <c r="F62" s="47" t="s">
        <v>355</v>
      </c>
      <c r="G62" s="35"/>
      <c r="H62" s="72" t="s">
        <v>55</v>
      </c>
      <c r="I62" s="177"/>
      <c r="J62" s="35"/>
      <c r="K62" s="35"/>
    </row>
    <row r="63" spans="1:11" ht="45.75">
      <c r="A63" s="353"/>
      <c r="B63" s="57" t="s">
        <v>356</v>
      </c>
      <c r="C63" s="173" t="s">
        <v>357</v>
      </c>
      <c r="D63" s="365">
        <v>2024</v>
      </c>
      <c r="E63" s="33" t="s">
        <v>64</v>
      </c>
      <c r="F63" s="45" t="s">
        <v>358</v>
      </c>
      <c r="G63" s="80" t="s">
        <v>359</v>
      </c>
      <c r="H63" s="75" t="s">
        <v>21</v>
      </c>
      <c r="I63" s="176" t="s">
        <v>360</v>
      </c>
      <c r="J63" s="34" t="s">
        <v>361</v>
      </c>
      <c r="K63" s="34" t="s">
        <v>362</v>
      </c>
    </row>
    <row r="64" spans="1:11" ht="57.75">
      <c r="A64" s="353"/>
      <c r="B64" s="35" t="s">
        <v>363</v>
      </c>
      <c r="C64" s="175" t="s">
        <v>364</v>
      </c>
      <c r="D64" s="98" t="s">
        <v>365</v>
      </c>
      <c r="E64" s="172" t="s">
        <v>143</v>
      </c>
      <c r="F64" s="47" t="s">
        <v>366</v>
      </c>
      <c r="G64" s="179" t="s">
        <v>367</v>
      </c>
      <c r="H64" s="75" t="s">
        <v>368</v>
      </c>
      <c r="I64" s="177"/>
      <c r="J64" s="35"/>
      <c r="K64" s="35"/>
    </row>
    <row r="65" spans="1:14" ht="30.75">
      <c r="A65" s="353"/>
      <c r="C65" s="174" t="s">
        <v>369</v>
      </c>
      <c r="D65" s="79">
        <v>45413</v>
      </c>
      <c r="F65" s="34"/>
      <c r="G65" s="34"/>
      <c r="H65" s="72" t="s">
        <v>55</v>
      </c>
      <c r="I65" s="176" t="s">
        <v>370</v>
      </c>
      <c r="J65" s="34"/>
      <c r="K65" s="34"/>
    </row>
    <row r="66" spans="1:14" ht="28.5">
      <c r="A66" s="353"/>
      <c r="B66" s="35"/>
      <c r="C66" s="98" t="s">
        <v>371</v>
      </c>
      <c r="D66" s="178">
        <v>45778</v>
      </c>
      <c r="E66" s="83"/>
      <c r="F66" s="35"/>
      <c r="G66" s="35"/>
      <c r="H66" s="72" t="s">
        <v>55</v>
      </c>
      <c r="I66" s="177" t="s">
        <v>370</v>
      </c>
      <c r="J66" s="35"/>
      <c r="K66" s="35"/>
    </row>
    <row r="67" spans="1:14" ht="30.75">
      <c r="A67" s="353"/>
      <c r="B67" s="41" t="s">
        <v>372</v>
      </c>
      <c r="C67" s="174" t="s">
        <v>373</v>
      </c>
      <c r="D67" s="44">
        <v>45458</v>
      </c>
      <c r="E67" s="33" t="s">
        <v>374</v>
      </c>
      <c r="F67" s="45" t="s">
        <v>375</v>
      </c>
      <c r="G67" s="34"/>
      <c r="H67" s="72" t="s">
        <v>55</v>
      </c>
      <c r="I67" s="176" t="s">
        <v>370</v>
      </c>
      <c r="J67" s="34"/>
      <c r="K67" s="34"/>
    </row>
    <row r="68" spans="1:14" ht="43.5">
      <c r="A68" s="353"/>
      <c r="B68" s="35"/>
      <c r="C68" s="98" t="s">
        <v>376</v>
      </c>
      <c r="D68" s="108">
        <v>40765</v>
      </c>
      <c r="E68" s="172" t="s">
        <v>377</v>
      </c>
      <c r="F68" s="35"/>
      <c r="G68" s="35"/>
      <c r="H68" s="72" t="s">
        <v>55</v>
      </c>
      <c r="I68" s="177" t="s">
        <v>370</v>
      </c>
      <c r="J68" s="35"/>
      <c r="K68" s="35"/>
    </row>
    <row r="69" spans="1:14" ht="16.5">
      <c r="A69" s="353"/>
      <c r="E69" s="33" t="s">
        <v>378</v>
      </c>
      <c r="F69" s="34"/>
      <c r="G69" s="34"/>
      <c r="H69" s="72" t="s">
        <v>55</v>
      </c>
      <c r="I69" s="176" t="s">
        <v>370</v>
      </c>
      <c r="J69" s="34"/>
      <c r="K69" s="34"/>
    </row>
    <row r="70" spans="1:14" ht="16.5">
      <c r="A70" s="353"/>
      <c r="B70" s="35"/>
      <c r="C70" s="35"/>
      <c r="D70" s="35"/>
      <c r="E70" s="83"/>
      <c r="F70" s="35"/>
      <c r="G70" s="35"/>
      <c r="H70" s="72" t="s">
        <v>55</v>
      </c>
      <c r="I70" s="177" t="s">
        <v>370</v>
      </c>
      <c r="J70" s="35"/>
      <c r="K70" s="35"/>
    </row>
    <row r="71" spans="1:14" ht="16.5">
      <c r="A71" s="353"/>
      <c r="F71" s="34"/>
      <c r="G71" s="34"/>
      <c r="H71" s="72" t="s">
        <v>55</v>
      </c>
      <c r="I71" s="176" t="s">
        <v>370</v>
      </c>
      <c r="J71" s="34"/>
      <c r="K71" s="34"/>
    </row>
    <row r="72" spans="1:14" ht="16.5">
      <c r="A72" s="353"/>
      <c r="B72" s="35"/>
      <c r="C72" s="35"/>
      <c r="D72" s="35"/>
      <c r="E72" s="83"/>
      <c r="F72" s="35"/>
      <c r="G72" s="35"/>
      <c r="H72" s="72" t="s">
        <v>55</v>
      </c>
      <c r="I72" s="177" t="s">
        <v>370</v>
      </c>
      <c r="J72" s="35"/>
      <c r="K72" s="35"/>
    </row>
    <row r="73" spans="1:14" ht="43.5">
      <c r="A73" s="353"/>
      <c r="B73" s="55" t="s">
        <v>379</v>
      </c>
      <c r="C73" s="43" t="s">
        <v>380</v>
      </c>
      <c r="D73" s="77">
        <v>2026</v>
      </c>
      <c r="E73" s="77" t="s">
        <v>239</v>
      </c>
      <c r="F73" s="78" t="s">
        <v>381</v>
      </c>
      <c r="G73" s="49" t="s">
        <v>382</v>
      </c>
      <c r="H73" s="75" t="s">
        <v>221</v>
      </c>
      <c r="I73" s="49" t="s">
        <v>383</v>
      </c>
      <c r="J73" s="42" t="s">
        <v>384</v>
      </c>
      <c r="K73" s="35" t="s">
        <v>385</v>
      </c>
    </row>
    <row r="74" spans="1:14" ht="86.25">
      <c r="A74" s="353" t="s">
        <v>386</v>
      </c>
      <c r="B74" s="131" t="s">
        <v>387</v>
      </c>
      <c r="C74" s="158" t="s">
        <v>388</v>
      </c>
      <c r="D74" s="97">
        <v>2025</v>
      </c>
      <c r="E74" s="97" t="s">
        <v>135</v>
      </c>
      <c r="F74" s="127" t="s">
        <v>389</v>
      </c>
      <c r="G74" s="106" t="s">
        <v>390</v>
      </c>
      <c r="H74" s="105" t="s">
        <v>221</v>
      </c>
      <c r="I74" s="106" t="s">
        <v>391</v>
      </c>
      <c r="J74" s="130" t="s">
        <v>392</v>
      </c>
      <c r="K74" s="130" t="s">
        <v>393</v>
      </c>
    </row>
    <row r="75" spans="1:14" ht="72">
      <c r="A75" s="353"/>
      <c r="B75" s="128" t="s">
        <v>394</v>
      </c>
      <c r="C75" s="139" t="s">
        <v>395</v>
      </c>
      <c r="D75" s="77">
        <v>2024</v>
      </c>
      <c r="E75" s="77" t="s">
        <v>135</v>
      </c>
      <c r="F75" s="112" t="s">
        <v>396</v>
      </c>
      <c r="G75" s="95" t="s">
        <v>397</v>
      </c>
      <c r="H75" s="105" t="s">
        <v>221</v>
      </c>
      <c r="I75" s="95" t="s">
        <v>398</v>
      </c>
      <c r="J75" s="123" t="s">
        <v>399</v>
      </c>
      <c r="K75" s="123" t="s">
        <v>400</v>
      </c>
    </row>
    <row r="76" spans="1:14" ht="86.25">
      <c r="A76" s="353"/>
      <c r="B76" s="131" t="s">
        <v>401</v>
      </c>
      <c r="C76" s="158" t="s">
        <v>402</v>
      </c>
      <c r="D76" s="97">
        <v>2023</v>
      </c>
      <c r="E76" s="97" t="s">
        <v>135</v>
      </c>
      <c r="F76" s="127" t="s">
        <v>403</v>
      </c>
      <c r="G76" s="106" t="s">
        <v>404</v>
      </c>
      <c r="H76" s="105" t="s">
        <v>183</v>
      </c>
      <c r="I76" s="106" t="s">
        <v>405</v>
      </c>
      <c r="J76" s="130" t="s">
        <v>406</v>
      </c>
      <c r="K76" s="130" t="s">
        <v>407</v>
      </c>
    </row>
    <row r="77" spans="1:14" ht="57.75">
      <c r="A77" s="353"/>
      <c r="B77" s="128" t="s">
        <v>408</v>
      </c>
      <c r="C77" s="139" t="s">
        <v>409</v>
      </c>
      <c r="D77" s="77">
        <v>2021</v>
      </c>
      <c r="E77" s="77" t="s">
        <v>239</v>
      </c>
      <c r="F77" s="112" t="s">
        <v>410</v>
      </c>
      <c r="G77" s="95" t="s">
        <v>411</v>
      </c>
      <c r="H77" s="105" t="s">
        <v>221</v>
      </c>
      <c r="I77" s="95" t="s">
        <v>412</v>
      </c>
      <c r="J77" s="123" t="s">
        <v>413</v>
      </c>
      <c r="K77" s="123" t="s">
        <v>414</v>
      </c>
      <c r="N77" s="25"/>
    </row>
    <row r="78" spans="1:14" ht="57.75">
      <c r="A78" s="353"/>
      <c r="B78" s="131" t="s">
        <v>415</v>
      </c>
      <c r="C78" s="158" t="s">
        <v>416</v>
      </c>
      <c r="D78" s="97">
        <v>2026</v>
      </c>
      <c r="E78" s="97" t="s">
        <v>135</v>
      </c>
      <c r="F78" s="127" t="s">
        <v>417</v>
      </c>
      <c r="G78" s="106" t="s">
        <v>418</v>
      </c>
      <c r="H78" s="105" t="s">
        <v>221</v>
      </c>
      <c r="I78" s="106" t="s">
        <v>419</v>
      </c>
      <c r="J78" s="130"/>
      <c r="K78" s="130"/>
    </row>
    <row r="79" spans="1:14" ht="60.75" customHeight="1">
      <c r="A79" s="353"/>
      <c r="B79" s="128" t="s">
        <v>420</v>
      </c>
      <c r="C79" s="139" t="s">
        <v>421</v>
      </c>
      <c r="D79" s="77">
        <v>2026</v>
      </c>
      <c r="E79" s="77" t="s">
        <v>135</v>
      </c>
      <c r="F79" s="112" t="s">
        <v>422</v>
      </c>
      <c r="G79" s="95" t="s">
        <v>423</v>
      </c>
      <c r="H79" s="104" t="s">
        <v>424</v>
      </c>
      <c r="I79" s="95"/>
      <c r="J79" s="123"/>
      <c r="K79" s="123"/>
    </row>
    <row r="80" spans="1:14" ht="60.75" customHeight="1">
      <c r="A80" s="353"/>
      <c r="B80" s="131" t="s">
        <v>425</v>
      </c>
      <c r="C80" s="158" t="s">
        <v>426</v>
      </c>
      <c r="D80" s="97">
        <v>2026</v>
      </c>
      <c r="E80" s="97" t="s">
        <v>135</v>
      </c>
      <c r="F80" s="127" t="s">
        <v>427</v>
      </c>
      <c r="G80" s="106" t="s">
        <v>428</v>
      </c>
      <c r="H80" s="105" t="s">
        <v>221</v>
      </c>
      <c r="I80" s="106" t="s">
        <v>429</v>
      </c>
      <c r="J80" s="130"/>
      <c r="K80" s="130"/>
    </row>
    <row r="81" spans="1:11" ht="43.5">
      <c r="A81" s="353"/>
      <c r="B81" s="128" t="s">
        <v>430</v>
      </c>
      <c r="C81" s="139" t="s">
        <v>431</v>
      </c>
      <c r="D81" s="77">
        <v>2026</v>
      </c>
      <c r="E81" s="77" t="s">
        <v>135</v>
      </c>
      <c r="F81" s="112" t="s">
        <v>432</v>
      </c>
      <c r="G81" s="95" t="s">
        <v>433</v>
      </c>
      <c r="H81" s="105" t="s">
        <v>21</v>
      </c>
      <c r="I81" s="95" t="s">
        <v>434</v>
      </c>
      <c r="J81" s="123"/>
      <c r="K81" s="123"/>
    </row>
    <row r="82" spans="1:11" ht="57.75">
      <c r="A82" s="353"/>
      <c r="B82" s="139" t="s">
        <v>435</v>
      </c>
      <c r="C82" s="77" t="s">
        <v>436</v>
      </c>
      <c r="D82" s="77">
        <v>2021</v>
      </c>
      <c r="E82" s="77" t="s">
        <v>135</v>
      </c>
      <c r="F82" s="112" t="s">
        <v>437</v>
      </c>
      <c r="G82" s="159" t="s">
        <v>438</v>
      </c>
      <c r="H82" s="104" t="s">
        <v>424</v>
      </c>
      <c r="I82" s="248" t="s">
        <v>439</v>
      </c>
      <c r="J82" s="130"/>
      <c r="K82" s="130"/>
    </row>
    <row r="83" spans="1:11" ht="43.5">
      <c r="A83" s="353"/>
      <c r="B83" s="123" t="s">
        <v>440</v>
      </c>
      <c r="C83" s="131" t="s">
        <v>441</v>
      </c>
      <c r="D83" s="123">
        <v>2015</v>
      </c>
      <c r="E83" s="123" t="s">
        <v>18</v>
      </c>
      <c r="F83" s="127" t="s">
        <v>442</v>
      </c>
      <c r="G83" s="123" t="s">
        <v>443</v>
      </c>
      <c r="H83" s="105" t="s">
        <v>221</v>
      </c>
      <c r="I83" s="131" t="s">
        <v>444</v>
      </c>
      <c r="J83" s="123" t="s">
        <v>445</v>
      </c>
      <c r="K83" s="123" t="s">
        <v>446</v>
      </c>
    </row>
    <row r="84" spans="1:11" ht="15" customHeight="1">
      <c r="A84" s="353"/>
      <c r="B84" s="249"/>
      <c r="C84" s="249"/>
      <c r="D84" s="249"/>
      <c r="E84" s="249"/>
      <c r="F84" s="124"/>
      <c r="G84" s="124"/>
      <c r="H84" s="105"/>
      <c r="I84" s="124"/>
      <c r="J84" s="124"/>
      <c r="K84" s="124"/>
    </row>
    <row r="85" spans="1:11" ht="45.75">
      <c r="A85" s="250"/>
      <c r="B85" s="162" t="s">
        <v>447</v>
      </c>
      <c r="C85" s="139" t="s">
        <v>448</v>
      </c>
      <c r="D85" s="155">
        <v>2021</v>
      </c>
      <c r="E85" s="77" t="s">
        <v>135</v>
      </c>
      <c r="F85" s="163" t="s">
        <v>449</v>
      </c>
      <c r="G85" s="77" t="s">
        <v>450</v>
      </c>
      <c r="H85" s="105" t="s">
        <v>21</v>
      </c>
      <c r="I85" s="106" t="s">
        <v>451</v>
      </c>
      <c r="J85" s="167" t="s">
        <v>452</v>
      </c>
      <c r="K85" s="168" t="s">
        <v>453</v>
      </c>
    </row>
    <row r="86" spans="1:11" ht="15.75">
      <c r="A86" s="353" t="s">
        <v>454</v>
      </c>
      <c r="B86" s="127" t="s">
        <v>455</v>
      </c>
      <c r="C86" s="123" t="s">
        <v>456</v>
      </c>
      <c r="D86" s="123">
        <v>2024</v>
      </c>
      <c r="E86" s="123" t="s">
        <v>135</v>
      </c>
      <c r="F86" s="166" t="s">
        <v>457</v>
      </c>
      <c r="G86" s="123" t="s">
        <v>458</v>
      </c>
      <c r="H86" s="75" t="s">
        <v>153</v>
      </c>
      <c r="I86" s="97" t="s">
        <v>459</v>
      </c>
      <c r="J86" s="97" t="s">
        <v>460</v>
      </c>
      <c r="K86" s="136" t="s">
        <v>461</v>
      </c>
    </row>
    <row r="87" spans="1:11" ht="43.5">
      <c r="A87" s="353"/>
      <c r="B87" s="77" t="s">
        <v>462</v>
      </c>
      <c r="C87" s="139" t="s">
        <v>463</v>
      </c>
      <c r="D87" s="77">
        <v>2026</v>
      </c>
      <c r="E87" s="77" t="s">
        <v>135</v>
      </c>
      <c r="F87" s="112" t="s">
        <v>464</v>
      </c>
      <c r="G87" s="130" t="s">
        <v>465</v>
      </c>
      <c r="H87" s="105" t="s">
        <v>153</v>
      </c>
      <c r="I87" s="164" t="s">
        <v>466</v>
      </c>
      <c r="J87" s="165" t="s">
        <v>467</v>
      </c>
      <c r="K87" s="165" t="s">
        <v>468</v>
      </c>
    </row>
    <row r="88" spans="1:11" ht="43.5">
      <c r="A88" s="353"/>
      <c r="B88" s="123" t="s">
        <v>469</v>
      </c>
      <c r="C88" s="158" t="s">
        <v>470</v>
      </c>
      <c r="D88" s="97">
        <v>2023</v>
      </c>
      <c r="E88" s="97" t="s">
        <v>135</v>
      </c>
      <c r="F88" s="127" t="s">
        <v>471</v>
      </c>
      <c r="G88" s="97" t="s">
        <v>472</v>
      </c>
      <c r="H88" s="105" t="s">
        <v>153</v>
      </c>
      <c r="I88" s="97" t="s">
        <v>473</v>
      </c>
      <c r="J88" s="97" t="s">
        <v>474</v>
      </c>
      <c r="K88" s="97" t="s">
        <v>475</v>
      </c>
    </row>
    <row r="89" spans="1:11" ht="45.75">
      <c r="A89" s="353"/>
      <c r="B89" s="77" t="s">
        <v>476</v>
      </c>
      <c r="C89" s="139" t="s">
        <v>477</v>
      </c>
      <c r="D89" s="77">
        <v>2026</v>
      </c>
      <c r="E89" s="77" t="s">
        <v>150</v>
      </c>
      <c r="F89" s="112" t="s">
        <v>478</v>
      </c>
      <c r="G89" s="130" t="s">
        <v>479</v>
      </c>
      <c r="H89" s="105" t="s">
        <v>153</v>
      </c>
      <c r="I89" s="164" t="s">
        <v>480</v>
      </c>
      <c r="J89" s="165" t="s">
        <v>481</v>
      </c>
      <c r="K89" s="165" t="s">
        <v>482</v>
      </c>
    </row>
    <row r="90" spans="1:11" ht="16.5">
      <c r="A90" s="353"/>
      <c r="B90" s="35" t="s">
        <v>483</v>
      </c>
      <c r="C90" s="35"/>
      <c r="D90" s="35"/>
      <c r="E90" s="83"/>
      <c r="F90" s="35"/>
      <c r="G90" s="35"/>
      <c r="H90" s="72" t="s">
        <v>55</v>
      </c>
      <c r="I90" s="35"/>
      <c r="J90" s="35"/>
      <c r="K90" s="35"/>
    </row>
    <row r="91" spans="1:11" ht="16.5">
      <c r="A91" s="353"/>
      <c r="B91" t="s">
        <v>483</v>
      </c>
      <c r="F91" s="34"/>
      <c r="G91" s="34"/>
      <c r="H91" s="72" t="s">
        <v>55</v>
      </c>
      <c r="I91" s="34"/>
      <c r="J91" s="34"/>
      <c r="K91" s="34"/>
    </row>
    <row r="92" spans="1:11" ht="16.5">
      <c r="A92" s="353"/>
      <c r="B92" s="35" t="s">
        <v>483</v>
      </c>
      <c r="C92" s="35"/>
      <c r="D92" s="35"/>
      <c r="E92" s="83"/>
      <c r="F92" s="35"/>
      <c r="G92" s="35"/>
      <c r="H92" s="72" t="s">
        <v>55</v>
      </c>
      <c r="I92" s="35"/>
      <c r="J92" s="35"/>
      <c r="K92" s="35"/>
    </row>
    <row r="93" spans="1:11" ht="16.5">
      <c r="A93" s="353"/>
      <c r="B93" t="s">
        <v>483</v>
      </c>
      <c r="F93" s="34"/>
      <c r="G93" s="34"/>
      <c r="H93" s="72" t="s">
        <v>55</v>
      </c>
      <c r="I93" s="34"/>
      <c r="J93" s="34"/>
      <c r="K93" s="34"/>
    </row>
    <row r="94" spans="1:11" ht="16.5">
      <c r="A94" s="353"/>
      <c r="B94" s="35" t="s">
        <v>483</v>
      </c>
      <c r="C94" s="35"/>
      <c r="D94" s="35"/>
      <c r="E94" s="83"/>
      <c r="F94" s="35"/>
      <c r="G94" s="35"/>
      <c r="H94" s="72" t="s">
        <v>55</v>
      </c>
      <c r="I94" s="35"/>
      <c r="J94" s="35"/>
      <c r="K94" s="35"/>
    </row>
    <row r="95" spans="1:11" ht="16.5">
      <c r="A95" s="353"/>
      <c r="B95" t="s">
        <v>483</v>
      </c>
      <c r="F95" s="34"/>
      <c r="G95" s="34"/>
      <c r="H95" s="72" t="s">
        <v>55</v>
      </c>
      <c r="I95" s="34"/>
      <c r="J95" s="34"/>
      <c r="K95" s="34"/>
    </row>
    <row r="96" spans="1:11" ht="16.5">
      <c r="A96" s="353"/>
      <c r="B96" s="35" t="s">
        <v>483</v>
      </c>
      <c r="C96" s="35"/>
      <c r="D96" s="35"/>
      <c r="E96" s="83"/>
      <c r="F96" s="35"/>
      <c r="G96" s="35"/>
      <c r="H96" s="72" t="s">
        <v>55</v>
      </c>
      <c r="I96" s="35"/>
      <c r="J96" s="35"/>
      <c r="K96" s="35"/>
    </row>
    <row r="97" spans="1:11" ht="16.5">
      <c r="A97" s="358"/>
      <c r="B97" t="s">
        <v>483</v>
      </c>
      <c r="F97" s="34"/>
      <c r="G97" s="34"/>
      <c r="H97" s="72" t="s">
        <v>282</v>
      </c>
      <c r="I97" s="34"/>
      <c r="J97" s="34"/>
      <c r="K97" s="34"/>
    </row>
    <row r="98" spans="1:11" ht="115.5">
      <c r="A98" s="359" t="s">
        <v>484</v>
      </c>
      <c r="B98" s="151" t="s">
        <v>485</v>
      </c>
      <c r="C98" s="152" t="s">
        <v>486</v>
      </c>
      <c r="D98" s="136">
        <v>2026</v>
      </c>
      <c r="E98" s="136" t="s">
        <v>150</v>
      </c>
      <c r="F98" s="127" t="s">
        <v>487</v>
      </c>
      <c r="G98" s="135" t="s">
        <v>488</v>
      </c>
      <c r="H98" s="153" t="s">
        <v>153</v>
      </c>
      <c r="I98" s="251" t="s">
        <v>489</v>
      </c>
      <c r="J98" s="152" t="s">
        <v>490</v>
      </c>
      <c r="K98" s="106" t="s">
        <v>491</v>
      </c>
    </row>
    <row r="99" spans="1:11" ht="57.75">
      <c r="A99" s="353"/>
      <c r="B99" s="128" t="s">
        <v>485</v>
      </c>
      <c r="C99" s="139" t="s">
        <v>492</v>
      </c>
      <c r="D99" s="77">
        <v>2025</v>
      </c>
      <c r="E99" s="77" t="s">
        <v>150</v>
      </c>
      <c r="F99" s="112" t="s">
        <v>487</v>
      </c>
      <c r="G99" s="252" t="s">
        <v>493</v>
      </c>
      <c r="H99" s="105" t="s">
        <v>153</v>
      </c>
      <c r="I99" s="110" t="s">
        <v>494</v>
      </c>
      <c r="J99" s="110" t="s">
        <v>495</v>
      </c>
      <c r="K99" s="110" t="s">
        <v>496</v>
      </c>
    </row>
    <row r="100" spans="1:11" ht="76.5">
      <c r="A100" s="353"/>
      <c r="B100" s="151" t="s">
        <v>497</v>
      </c>
      <c r="C100" s="152" t="s">
        <v>498</v>
      </c>
      <c r="D100" s="104">
        <v>2008</v>
      </c>
      <c r="E100" s="136" t="s">
        <v>18</v>
      </c>
      <c r="F100" s="127" t="s">
        <v>499</v>
      </c>
      <c r="G100" s="121" t="s">
        <v>500</v>
      </c>
      <c r="H100" s="105" t="s">
        <v>153</v>
      </c>
      <c r="I100" s="251" t="s">
        <v>501</v>
      </c>
      <c r="J100" s="152" t="s">
        <v>502</v>
      </c>
      <c r="K100" s="106" t="s">
        <v>503</v>
      </c>
    </row>
    <row r="101" spans="1:11" ht="91.5">
      <c r="A101" s="353"/>
      <c r="B101" s="128" t="s">
        <v>504</v>
      </c>
      <c r="C101" s="77" t="s">
        <v>505</v>
      </c>
      <c r="D101" s="77">
        <v>2020</v>
      </c>
      <c r="E101" s="77" t="s">
        <v>150</v>
      </c>
      <c r="F101" s="112" t="s">
        <v>506</v>
      </c>
      <c r="G101" s="156" t="s">
        <v>507</v>
      </c>
      <c r="H101" s="105" t="s">
        <v>153</v>
      </c>
      <c r="I101" s="110" t="s">
        <v>508</v>
      </c>
      <c r="J101" s="34"/>
      <c r="K101" s="34"/>
    </row>
    <row r="102" spans="1:11" ht="16.5">
      <c r="A102" s="353"/>
      <c r="B102" s="35" t="s">
        <v>483</v>
      </c>
      <c r="C102" s="35"/>
      <c r="D102" s="35"/>
      <c r="E102" s="83"/>
      <c r="F102" s="35"/>
      <c r="G102" s="35"/>
      <c r="H102" s="72" t="s">
        <v>282</v>
      </c>
      <c r="I102" s="35"/>
      <c r="J102" s="35"/>
      <c r="K102" s="35"/>
    </row>
    <row r="103" spans="1:11" ht="16.5">
      <c r="A103" s="353"/>
      <c r="B103" t="s">
        <v>483</v>
      </c>
      <c r="F103" s="34"/>
      <c r="G103" s="34"/>
      <c r="H103" s="72" t="s">
        <v>282</v>
      </c>
      <c r="I103" s="34"/>
      <c r="J103" s="34"/>
      <c r="K103" s="34"/>
    </row>
    <row r="104" spans="1:11" ht="16.5">
      <c r="A104" s="353"/>
      <c r="B104" s="35" t="s">
        <v>483</v>
      </c>
      <c r="C104" s="35"/>
      <c r="D104" s="35"/>
      <c r="E104" s="83"/>
      <c r="F104" s="35"/>
      <c r="G104" s="35"/>
      <c r="H104" s="72" t="s">
        <v>282</v>
      </c>
      <c r="I104" s="35"/>
      <c r="J104" s="35"/>
      <c r="K104" s="35"/>
    </row>
    <row r="105" spans="1:11" ht="16.5">
      <c r="A105" s="353"/>
      <c r="B105" t="s">
        <v>483</v>
      </c>
      <c r="F105" s="34"/>
      <c r="G105" s="34"/>
      <c r="H105" s="72" t="s">
        <v>282</v>
      </c>
      <c r="I105" s="34"/>
      <c r="J105" s="34"/>
      <c r="K105" s="34"/>
    </row>
    <row r="106" spans="1:11" ht="16.5">
      <c r="A106" s="353"/>
      <c r="B106" s="35" t="s">
        <v>483</v>
      </c>
      <c r="C106" s="35"/>
      <c r="D106" s="35"/>
      <c r="E106" s="83"/>
      <c r="F106" s="35"/>
      <c r="G106" s="35"/>
      <c r="H106" s="72" t="s">
        <v>282</v>
      </c>
      <c r="I106" s="35"/>
      <c r="J106" s="35"/>
      <c r="K106" s="35"/>
    </row>
    <row r="107" spans="1:11" ht="16.5">
      <c r="A107" s="353"/>
      <c r="B107" t="s">
        <v>483</v>
      </c>
      <c r="F107" s="34"/>
      <c r="G107" s="34"/>
      <c r="H107" s="72" t="s">
        <v>282</v>
      </c>
      <c r="I107" s="34"/>
      <c r="J107" s="34"/>
      <c r="K107" s="34"/>
    </row>
    <row r="108" spans="1:11" ht="16.5">
      <c r="A108" s="353"/>
      <c r="B108" s="35" t="s">
        <v>483</v>
      </c>
      <c r="C108" s="35"/>
      <c r="D108" s="35"/>
      <c r="E108" s="83"/>
      <c r="F108" s="35"/>
      <c r="G108" s="35"/>
      <c r="H108" s="72" t="s">
        <v>282</v>
      </c>
      <c r="I108" s="35"/>
      <c r="J108" s="35"/>
      <c r="K108" s="35"/>
    </row>
    <row r="109" spans="1:11" ht="16.5">
      <c r="A109" s="353"/>
      <c r="B109" s="41" t="s">
        <v>483</v>
      </c>
      <c r="C109" s="40"/>
      <c r="D109" s="44"/>
      <c r="F109" s="45"/>
      <c r="G109" s="34"/>
      <c r="H109" s="72" t="s">
        <v>282</v>
      </c>
      <c r="I109" s="74"/>
      <c r="J109" s="34"/>
      <c r="K109" s="34"/>
    </row>
    <row r="110" spans="1:11" ht="115.5">
      <c r="A110" s="353" t="s">
        <v>509</v>
      </c>
      <c r="B110" s="47" t="s">
        <v>510</v>
      </c>
      <c r="C110" s="227" t="s">
        <v>511</v>
      </c>
      <c r="D110" s="76" t="s">
        <v>512</v>
      </c>
      <c r="E110" s="83" t="s">
        <v>150</v>
      </c>
      <c r="F110" s="230" t="s">
        <v>513</v>
      </c>
      <c r="G110" s="98" t="s">
        <v>514</v>
      </c>
      <c r="H110" s="72" t="s">
        <v>21</v>
      </c>
      <c r="I110" s="227" t="s">
        <v>515</v>
      </c>
      <c r="J110" s="229" t="s">
        <v>516</v>
      </c>
      <c r="K110" s="217" t="s">
        <v>517</v>
      </c>
    </row>
    <row r="111" spans="1:11" ht="16.5">
      <c r="A111" s="353"/>
      <c r="B111" s="41" t="s">
        <v>518</v>
      </c>
      <c r="C111" t="s">
        <v>519</v>
      </c>
      <c r="D111" s="44">
        <v>45886</v>
      </c>
      <c r="E111" s="33" t="s">
        <v>150</v>
      </c>
      <c r="F111" s="223" t="s">
        <v>520</v>
      </c>
      <c r="G111" s="228" t="s">
        <v>521</v>
      </c>
      <c r="H111" s="72" t="s">
        <v>21</v>
      </c>
      <c r="I111" s="228" t="s">
        <v>522</v>
      </c>
      <c r="J111" s="218"/>
      <c r="K111" s="218" t="s">
        <v>523</v>
      </c>
    </row>
    <row r="112" spans="1:11" ht="57.75">
      <c r="A112" s="353"/>
      <c r="B112" s="47" t="s">
        <v>524</v>
      </c>
      <c r="C112" s="35" t="s">
        <v>525</v>
      </c>
      <c r="D112" s="35" t="s">
        <v>526</v>
      </c>
      <c r="E112" s="83" t="s">
        <v>150</v>
      </c>
      <c r="F112" s="222" t="s">
        <v>527</v>
      </c>
      <c r="G112" s="227" t="s">
        <v>528</v>
      </c>
      <c r="H112" s="72" t="s">
        <v>370</v>
      </c>
      <c r="I112" s="217"/>
      <c r="J112" s="98" t="s">
        <v>529</v>
      </c>
      <c r="K112" s="219" t="s">
        <v>530</v>
      </c>
    </row>
    <row r="113" spans="1:11" ht="101.25">
      <c r="A113" s="353"/>
      <c r="B113" s="41" t="s">
        <v>531</v>
      </c>
      <c r="C113" t="s">
        <v>532</v>
      </c>
      <c r="D113" t="s">
        <v>533</v>
      </c>
      <c r="E113" s="33" t="s">
        <v>150</v>
      </c>
      <c r="F113" s="223" t="s">
        <v>534</v>
      </c>
      <c r="G113" s="226" t="s">
        <v>535</v>
      </c>
      <c r="H113" s="72" t="s">
        <v>21</v>
      </c>
      <c r="I113" s="226" t="s">
        <v>536</v>
      </c>
      <c r="J113" s="228" t="s">
        <v>537</v>
      </c>
      <c r="K113" s="220" t="s">
        <v>538</v>
      </c>
    </row>
    <row r="114" spans="1:11" ht="16.5">
      <c r="A114" s="353"/>
      <c r="B114" s="41" t="s">
        <v>539</v>
      </c>
      <c r="C114" s="35" t="s">
        <v>540</v>
      </c>
      <c r="D114" s="76">
        <v>45988</v>
      </c>
      <c r="E114" s="83" t="s">
        <v>150</v>
      </c>
      <c r="F114" s="222" t="s">
        <v>541</v>
      </c>
      <c r="G114" t="s">
        <v>542</v>
      </c>
      <c r="H114" s="72" t="s">
        <v>21</v>
      </c>
      <c r="I114" s="227" t="s">
        <v>543</v>
      </c>
      <c r="J114" t="s">
        <v>544</v>
      </c>
      <c r="K114" s="225" t="s">
        <v>545</v>
      </c>
    </row>
    <row r="115" spans="1:11" ht="152.25">
      <c r="A115" s="353"/>
      <c r="B115" s="253" t="s">
        <v>546</v>
      </c>
      <c r="C115" t="s">
        <v>547</v>
      </c>
      <c r="D115" s="44">
        <v>46006</v>
      </c>
      <c r="E115" s="33" t="s">
        <v>150</v>
      </c>
      <c r="F115" s="45" t="s">
        <v>548</v>
      </c>
      <c r="G115" s="156" t="s">
        <v>549</v>
      </c>
      <c r="H115" s="72" t="s">
        <v>21</v>
      </c>
      <c r="I115" s="224" t="s">
        <v>550</v>
      </c>
      <c r="J115" s="224" t="s">
        <v>551</v>
      </c>
      <c r="K115" s="156" t="s">
        <v>552</v>
      </c>
    </row>
    <row r="116" spans="1:11" ht="16.5">
      <c r="A116" s="353"/>
      <c r="B116" s="47" t="s">
        <v>539</v>
      </c>
      <c r="C116" s="35" t="s">
        <v>540</v>
      </c>
      <c r="D116" s="35"/>
      <c r="E116" s="83"/>
      <c r="F116" s="35"/>
      <c r="G116" s="35"/>
      <c r="H116" s="72" t="s">
        <v>282</v>
      </c>
      <c r="I116" s="35" t="s">
        <v>553</v>
      </c>
      <c r="J116" s="35"/>
      <c r="K116" s="35"/>
    </row>
    <row r="117" spans="1:11" ht="16.5">
      <c r="A117" s="353"/>
      <c r="B117" s="41" t="s">
        <v>554</v>
      </c>
      <c r="C117" t="s">
        <v>555</v>
      </c>
      <c r="D117" t="s">
        <v>556</v>
      </c>
      <c r="E117" s="33" t="s">
        <v>150</v>
      </c>
      <c r="F117" s="45" t="s">
        <v>557</v>
      </c>
      <c r="G117" s="254" t="s">
        <v>558</v>
      </c>
      <c r="H117" s="72" t="s">
        <v>21</v>
      </c>
      <c r="I117" s="224" t="s">
        <v>559</v>
      </c>
      <c r="J117" t="s">
        <v>560</v>
      </c>
      <c r="K117" s="224" t="s">
        <v>561</v>
      </c>
    </row>
    <row r="118" spans="1:11" ht="15.75">
      <c r="A118" s="353"/>
      <c r="B118" s="47" t="s">
        <v>562</v>
      </c>
      <c r="C118" s="225" t="s">
        <v>563</v>
      </c>
      <c r="D118" s="35" t="s">
        <v>564</v>
      </c>
      <c r="E118" s="83" t="s">
        <v>150</v>
      </c>
      <c r="F118" s="41" t="s">
        <v>565</v>
      </c>
      <c r="G118" s="35"/>
      <c r="H118" s="72"/>
      <c r="I118" s="35"/>
      <c r="J118" s="35"/>
      <c r="K118" s="35"/>
    </row>
    <row r="119" spans="1:11" ht="16.5">
      <c r="A119" s="353"/>
      <c r="B119" t="s">
        <v>483</v>
      </c>
      <c r="F119" s="35"/>
      <c r="G119" s="34"/>
      <c r="H119" s="72" t="s">
        <v>282</v>
      </c>
      <c r="I119" s="34"/>
      <c r="J119" s="34"/>
      <c r="K119" s="34"/>
    </row>
    <row r="120" spans="1:11" ht="28.5">
      <c r="A120" s="353"/>
      <c r="B120" s="47" t="s">
        <v>566</v>
      </c>
      <c r="C120" s="42" t="s">
        <v>567</v>
      </c>
      <c r="D120" s="76">
        <v>45924</v>
      </c>
      <c r="E120" s="83" t="s">
        <v>135</v>
      </c>
      <c r="F120" s="47" t="s">
        <v>568</v>
      </c>
      <c r="G120" s="35"/>
      <c r="H120" s="75" t="s">
        <v>282</v>
      </c>
      <c r="I120" s="35" t="s">
        <v>569</v>
      </c>
      <c r="J120" s="35"/>
      <c r="K120" s="35"/>
    </row>
    <row r="121" spans="1:11" ht="45.75">
      <c r="A121" s="353"/>
      <c r="B121" t="s">
        <v>570</v>
      </c>
      <c r="C121" s="40" t="s">
        <v>571</v>
      </c>
      <c r="F121" s="34"/>
      <c r="G121" s="34"/>
      <c r="H121" s="75" t="s">
        <v>21</v>
      </c>
      <c r="I121" s="34"/>
      <c r="J121" s="34"/>
      <c r="K121" s="34"/>
    </row>
    <row r="122" spans="1:11" ht="16.5">
      <c r="A122" s="353" t="s">
        <v>572</v>
      </c>
      <c r="B122" s="35" t="s">
        <v>483</v>
      </c>
      <c r="C122" s="35"/>
      <c r="D122" s="35"/>
      <c r="E122" s="83"/>
      <c r="F122" s="35"/>
      <c r="G122" s="35"/>
      <c r="H122" s="72" t="s">
        <v>282</v>
      </c>
      <c r="I122" s="35" t="s">
        <v>370</v>
      </c>
      <c r="J122" s="35"/>
      <c r="K122" s="35"/>
    </row>
    <row r="123" spans="1:11" ht="16.5">
      <c r="A123" s="353"/>
      <c r="B123" t="s">
        <v>483</v>
      </c>
      <c r="F123" s="34"/>
      <c r="G123" s="34"/>
      <c r="H123" s="72" t="s">
        <v>282</v>
      </c>
      <c r="I123" s="34" t="s">
        <v>370</v>
      </c>
      <c r="J123" s="34"/>
      <c r="K123" s="34"/>
    </row>
    <row r="124" spans="1:11" ht="16.5">
      <c r="A124" s="353"/>
      <c r="B124" s="35" t="s">
        <v>483</v>
      </c>
      <c r="C124" s="35"/>
      <c r="D124" s="35"/>
      <c r="E124" s="83"/>
      <c r="F124" s="35"/>
      <c r="G124" s="35"/>
      <c r="H124" s="72" t="s">
        <v>282</v>
      </c>
      <c r="I124" s="35" t="s">
        <v>370</v>
      </c>
      <c r="J124" s="35"/>
      <c r="K124" s="35"/>
    </row>
    <row r="125" spans="1:11" ht="16.5">
      <c r="A125" s="353"/>
      <c r="B125" t="s">
        <v>483</v>
      </c>
      <c r="F125" s="34"/>
      <c r="G125" s="34"/>
      <c r="H125" s="72" t="s">
        <v>282</v>
      </c>
      <c r="I125" s="34" t="s">
        <v>370</v>
      </c>
      <c r="J125" s="34"/>
      <c r="K125" s="34"/>
    </row>
    <row r="126" spans="1:11" ht="16.5">
      <c r="A126" s="353"/>
      <c r="B126" s="35" t="s">
        <v>483</v>
      </c>
      <c r="C126" s="35"/>
      <c r="D126" s="35"/>
      <c r="E126" s="83"/>
      <c r="F126" s="35"/>
      <c r="G126" s="35"/>
      <c r="H126" s="72" t="s">
        <v>282</v>
      </c>
      <c r="I126" s="35" t="s">
        <v>370</v>
      </c>
      <c r="J126" s="35"/>
      <c r="K126" s="35"/>
    </row>
    <row r="127" spans="1:11" ht="16.5">
      <c r="A127" s="353"/>
      <c r="B127" t="s">
        <v>483</v>
      </c>
      <c r="F127" s="34"/>
      <c r="G127" s="34"/>
      <c r="H127" s="72" t="s">
        <v>282</v>
      </c>
      <c r="I127" s="34" t="s">
        <v>370</v>
      </c>
      <c r="J127" s="34"/>
      <c r="K127" s="34"/>
    </row>
    <row r="128" spans="1:11" ht="57.75">
      <c r="A128" s="353"/>
      <c r="B128" s="35" t="s">
        <v>573</v>
      </c>
      <c r="C128" s="42" t="s">
        <v>650</v>
      </c>
      <c r="D128" s="35"/>
      <c r="E128" s="83"/>
      <c r="F128" s="35"/>
      <c r="G128" s="35"/>
      <c r="H128" s="75" t="s">
        <v>21</v>
      </c>
      <c r="I128" s="35"/>
      <c r="J128" s="35"/>
      <c r="K128" s="35"/>
    </row>
    <row r="129" spans="1:11" ht="30.75">
      <c r="A129" s="353"/>
      <c r="B129" t="s">
        <v>585</v>
      </c>
      <c r="C129" s="40" t="s">
        <v>586</v>
      </c>
      <c r="D129" s="107">
        <v>37967</v>
      </c>
      <c r="F129" s="34"/>
      <c r="G129" s="34"/>
      <c r="H129" s="72" t="s">
        <v>282</v>
      </c>
      <c r="I129" s="34" t="s">
        <v>587</v>
      </c>
      <c r="J129" s="34"/>
      <c r="K129" s="34"/>
    </row>
    <row r="130" spans="1:11" ht="43.5">
      <c r="A130" s="353"/>
      <c r="B130" s="35" t="s">
        <v>483</v>
      </c>
      <c r="C130" s="42" t="s">
        <v>588</v>
      </c>
      <c r="D130" s="35"/>
      <c r="E130" s="83"/>
      <c r="F130" s="35"/>
      <c r="G130" s="35"/>
      <c r="H130" s="72" t="s">
        <v>282</v>
      </c>
      <c r="I130" s="35" t="s">
        <v>587</v>
      </c>
      <c r="J130" s="35"/>
      <c r="K130" s="35"/>
    </row>
    <row r="131" spans="1:11" ht="30.75">
      <c r="A131" s="353"/>
      <c r="B131" s="41" t="s">
        <v>589</v>
      </c>
      <c r="C131" s="40" t="s">
        <v>590</v>
      </c>
      <c r="D131" s="44">
        <v>45088</v>
      </c>
      <c r="E131" s="33" t="s">
        <v>135</v>
      </c>
      <c r="F131" s="45" t="s">
        <v>591</v>
      </c>
      <c r="G131" s="34"/>
      <c r="H131" s="75" t="s">
        <v>153</v>
      </c>
      <c r="I131" s="34"/>
      <c r="J131" s="34"/>
      <c r="K131" s="34"/>
    </row>
    <row r="132" spans="1:11" ht="32.25">
      <c r="A132" s="353"/>
      <c r="B132" s="35" t="s">
        <v>594</v>
      </c>
      <c r="C132" s="72" t="s">
        <v>595</v>
      </c>
      <c r="D132" s="35" t="s">
        <v>596</v>
      </c>
      <c r="E132" s="83" t="s">
        <v>64</v>
      </c>
      <c r="F132" s="35"/>
      <c r="G132" s="35"/>
      <c r="H132" s="72" t="s">
        <v>282</v>
      </c>
      <c r="I132" s="35" t="s">
        <v>597</v>
      </c>
      <c r="J132" s="35"/>
      <c r="K132" s="35"/>
    </row>
    <row r="133" spans="1:11" ht="45.75">
      <c r="A133" s="353"/>
      <c r="B133" t="s">
        <v>598</v>
      </c>
      <c r="C133" s="40" t="s">
        <v>651</v>
      </c>
      <c r="D133" s="40" t="s">
        <v>652</v>
      </c>
      <c r="E133" s="33" t="s">
        <v>653</v>
      </c>
      <c r="F133" s="45" t="s">
        <v>601</v>
      </c>
      <c r="G133" s="34"/>
      <c r="H133" s="75" t="s">
        <v>153</v>
      </c>
      <c r="I133" s="34"/>
      <c r="J133" s="34"/>
      <c r="K133" s="34"/>
    </row>
    <row r="134" spans="1:11" ht="43.5">
      <c r="A134" s="353" t="s">
        <v>572</v>
      </c>
      <c r="B134" s="35" t="s">
        <v>654</v>
      </c>
      <c r="C134" s="42" t="s">
        <v>611</v>
      </c>
      <c r="D134" s="92">
        <v>44287</v>
      </c>
      <c r="E134" s="83" t="s">
        <v>64</v>
      </c>
      <c r="F134" s="47" t="s">
        <v>612</v>
      </c>
      <c r="G134" s="35"/>
      <c r="H134" s="75" t="s">
        <v>153</v>
      </c>
      <c r="I134" s="35"/>
      <c r="J134" s="35"/>
      <c r="K134" s="35"/>
    </row>
    <row r="135" spans="1:11" ht="30.75">
      <c r="A135" s="353"/>
      <c r="B135" s="41" t="s">
        <v>615</v>
      </c>
      <c r="C135" s="40" t="s">
        <v>616</v>
      </c>
      <c r="D135" s="44">
        <v>45800</v>
      </c>
      <c r="E135" s="33" t="s">
        <v>135</v>
      </c>
      <c r="F135" s="45" t="s">
        <v>617</v>
      </c>
      <c r="G135" s="34"/>
      <c r="H135" s="75" t="s">
        <v>153</v>
      </c>
      <c r="I135" s="34"/>
      <c r="J135" s="34"/>
      <c r="K135" s="34"/>
    </row>
    <row r="136" spans="1:11" ht="16.5">
      <c r="A136" s="353"/>
      <c r="B136" s="35" t="s">
        <v>619</v>
      </c>
      <c r="C136" s="35" t="s">
        <v>620</v>
      </c>
      <c r="D136" s="107">
        <v>40148</v>
      </c>
      <c r="E136" s="83" t="s">
        <v>621</v>
      </c>
      <c r="F136" s="47" t="s">
        <v>622</v>
      </c>
      <c r="G136" s="35"/>
      <c r="H136" s="72" t="s">
        <v>282</v>
      </c>
      <c r="I136" s="35" t="s">
        <v>587</v>
      </c>
      <c r="J136" s="35"/>
      <c r="K136" s="35"/>
    </row>
    <row r="137" spans="1:11" ht="16.5">
      <c r="A137" s="353"/>
      <c r="B137" t="s">
        <v>483</v>
      </c>
      <c r="F137" s="34"/>
      <c r="G137" s="34"/>
      <c r="H137" s="72" t="s">
        <v>282</v>
      </c>
      <c r="I137" s="34"/>
      <c r="J137" s="34"/>
      <c r="K137" s="34"/>
    </row>
    <row r="138" spans="1:11">
      <c r="A138" s="353"/>
      <c r="B138" s="35"/>
      <c r="C138" s="35"/>
      <c r="D138" s="35"/>
      <c r="E138" s="83"/>
      <c r="F138" s="35"/>
      <c r="G138" s="35"/>
      <c r="H138" s="35"/>
      <c r="I138" s="35"/>
      <c r="J138" s="35"/>
      <c r="K138" s="35"/>
    </row>
    <row r="139" spans="1:11">
      <c r="A139" s="353"/>
      <c r="F139" s="34"/>
      <c r="G139" s="34"/>
      <c r="H139" s="34"/>
      <c r="I139" s="34"/>
      <c r="J139" s="34"/>
      <c r="K139" s="34"/>
    </row>
    <row r="140" spans="1:11">
      <c r="A140" s="353"/>
      <c r="B140" s="35"/>
      <c r="C140" s="35"/>
      <c r="D140" s="35"/>
      <c r="E140" s="83"/>
      <c r="F140" s="35"/>
      <c r="G140" s="35"/>
      <c r="H140" s="35"/>
      <c r="I140" s="35"/>
      <c r="J140" s="35"/>
      <c r="K140" s="35"/>
    </row>
    <row r="141" spans="1:11">
      <c r="A141" s="353"/>
      <c r="D141" s="34"/>
      <c r="E141" s="91"/>
      <c r="F141" s="34"/>
      <c r="G141" s="28"/>
    </row>
    <row r="142" spans="1:11">
      <c r="A142" s="353"/>
    </row>
    <row r="143" spans="1:11">
      <c r="A143" s="353"/>
    </row>
    <row r="144" spans="1:11">
      <c r="A144" s="353"/>
    </row>
    <row r="145" spans="1:7">
      <c r="A145" s="353"/>
    </row>
    <row r="152" spans="1:7">
      <c r="B152" s="25" t="str">
        <f>IF(C152="","","PID-"&amp;TEXT(ROW()-2,"0000"))</f>
        <v/>
      </c>
      <c r="D152" s="25"/>
      <c r="F152" s="25"/>
      <c r="G152" s="25"/>
    </row>
    <row r="153" spans="1:7">
      <c r="B153" s="25" t="str">
        <f>IF(C153="","","PID-"&amp;TEXT(ROW()-2,"0000"))</f>
        <v/>
      </c>
      <c r="D153" s="25"/>
      <c r="F153" s="25"/>
      <c r="G153" s="25"/>
    </row>
    <row r="154" spans="1:7">
      <c r="B154" s="25" t="str">
        <f>IF(C154="","","PID-"&amp;TEXT(ROW()-2,"0000"))</f>
        <v/>
      </c>
      <c r="D154" s="25"/>
      <c r="F154" s="25"/>
      <c r="G154" s="25"/>
    </row>
    <row r="155" spans="1:7">
      <c r="B155" s="25" t="str">
        <f>IF(C155="","","PID-"&amp;TEXT(ROW()-2,"0000"))</f>
        <v/>
      </c>
      <c r="D155" s="25"/>
      <c r="F155" s="25"/>
      <c r="G155" s="25"/>
    </row>
    <row r="156" spans="1:7">
      <c r="B156" s="25" t="str">
        <f>IF(C156="","","PID-"&amp;TEXT(ROW()-2,"0000"))</f>
        <v/>
      </c>
      <c r="D156" s="25"/>
      <c r="F156" s="25"/>
      <c r="G156" s="25"/>
    </row>
    <row r="157" spans="1:7">
      <c r="B157" s="25" t="str">
        <f>IF(C157="","","PID-"&amp;TEXT(ROW()-2,"0000"))</f>
        <v/>
      </c>
      <c r="D157" s="25"/>
      <c r="F157" s="25"/>
      <c r="G157" s="25"/>
    </row>
    <row r="158" spans="1:7">
      <c r="B158" s="25" t="str">
        <f>IF(C158="","","PID-"&amp;TEXT(ROW()-2,"0000"))</f>
        <v/>
      </c>
      <c r="C158" s="25"/>
      <c r="D158" s="25"/>
      <c r="F158" s="25"/>
      <c r="G158" s="25"/>
    </row>
    <row r="159" spans="1:7">
      <c r="B159" s="25" t="str">
        <f>IF(C159="","","PID-"&amp;TEXT(ROW()-2,"0000"))</f>
        <v/>
      </c>
      <c r="C159" s="25"/>
      <c r="D159" s="25"/>
      <c r="E159" s="255"/>
      <c r="F159" s="25"/>
      <c r="G159" s="25"/>
    </row>
    <row r="160" spans="1:7">
      <c r="B160" s="25" t="str">
        <f>IF(C160="","","PID-"&amp;TEXT(ROW()-2,"0000"))</f>
        <v/>
      </c>
      <c r="C160" s="25"/>
      <c r="D160" s="25"/>
      <c r="E160" s="255"/>
      <c r="F160" s="25"/>
      <c r="G160" s="25"/>
    </row>
    <row r="161" spans="2:7">
      <c r="B161" s="25" t="str">
        <f>IF(C161="","","PID-"&amp;TEXT(ROW()-2,"0000"))</f>
        <v/>
      </c>
      <c r="C161" s="25"/>
      <c r="D161" s="25"/>
      <c r="E161" s="255"/>
      <c r="F161" s="25"/>
      <c r="G161" s="25"/>
    </row>
    <row r="162" spans="2:7">
      <c r="B162" s="25" t="str">
        <f>IF(C162="","","PID-"&amp;TEXT(ROW()-2,"0000"))</f>
        <v/>
      </c>
      <c r="C162" s="25"/>
      <c r="D162" s="25"/>
      <c r="E162" s="255"/>
      <c r="F162" s="25"/>
      <c r="G162" s="25"/>
    </row>
    <row r="163" spans="2:7">
      <c r="B163" s="25" t="str">
        <f>IF(C163="","","PID-"&amp;TEXT(ROW()-2,"0000"))</f>
        <v/>
      </c>
      <c r="C163" s="25"/>
      <c r="D163" s="25"/>
      <c r="E163" s="255"/>
      <c r="F163" s="25"/>
      <c r="G163" s="25"/>
    </row>
    <row r="164" spans="2:7">
      <c r="B164" s="25" t="str">
        <f>IF(C164="","","PID-"&amp;TEXT(ROW()-2,"0000"))</f>
        <v/>
      </c>
      <c r="C164" s="25"/>
      <c r="D164" s="25"/>
      <c r="E164" s="255"/>
      <c r="F164" s="25"/>
      <c r="G164" s="25"/>
    </row>
    <row r="165" spans="2:7">
      <c r="B165" s="25" t="str">
        <f>IF(C165="","","PID-"&amp;TEXT(ROW()-2,"0000"))</f>
        <v/>
      </c>
      <c r="C165" s="25"/>
      <c r="D165" s="25"/>
      <c r="E165" s="255"/>
      <c r="F165" s="25"/>
      <c r="G165" s="25"/>
    </row>
    <row r="166" spans="2:7">
      <c r="B166" s="25" t="str">
        <f>IF(C166="","","PID-"&amp;TEXT(ROW()-2,"0000"))</f>
        <v/>
      </c>
      <c r="C166" s="25"/>
      <c r="D166" s="25"/>
      <c r="E166" s="255"/>
      <c r="F166" s="25"/>
      <c r="G166" s="25"/>
    </row>
    <row r="167" spans="2:7">
      <c r="B167" s="25" t="str">
        <f>IF(C167="","","PID-"&amp;TEXT(ROW()-2,"0000"))</f>
        <v/>
      </c>
      <c r="C167" s="25"/>
      <c r="D167" s="25"/>
      <c r="E167" s="255"/>
      <c r="F167" s="25"/>
      <c r="G167" s="25"/>
    </row>
    <row r="168" spans="2:7">
      <c r="B168" s="25" t="str">
        <f>IF(C168="","","PID-"&amp;TEXT(ROW()-2,"0000"))</f>
        <v/>
      </c>
      <c r="C168" s="25"/>
      <c r="D168" s="25"/>
      <c r="E168" s="255"/>
      <c r="F168" s="25"/>
      <c r="G168" s="25"/>
    </row>
    <row r="169" spans="2:7">
      <c r="B169" s="25" t="str">
        <f>IF(C169="","","PID-"&amp;TEXT(ROW()-2,"0000"))</f>
        <v/>
      </c>
      <c r="C169" s="25"/>
      <c r="D169" s="25"/>
      <c r="E169" s="255"/>
      <c r="F169" s="25"/>
      <c r="G169" s="25"/>
    </row>
    <row r="170" spans="2:7">
      <c r="B170" s="25" t="str">
        <f>IF(C170="","","PID-"&amp;TEXT(ROW()-2,"0000"))</f>
        <v/>
      </c>
      <c r="C170" s="25"/>
      <c r="D170" s="25"/>
      <c r="E170" s="255"/>
      <c r="F170" s="25"/>
      <c r="G170" s="25"/>
    </row>
    <row r="171" spans="2:7">
      <c r="B171" s="25" t="str">
        <f>IF(C171="","","PID-"&amp;TEXT(ROW()-2,"0000"))</f>
        <v/>
      </c>
      <c r="C171" s="25"/>
      <c r="D171" s="25"/>
      <c r="E171" s="255"/>
      <c r="F171" s="25"/>
      <c r="G171" s="25"/>
    </row>
    <row r="172" spans="2:7">
      <c r="B172" s="25" t="str">
        <f>IF(C172="","","PID-"&amp;TEXT(ROW()-2,"0000"))</f>
        <v/>
      </c>
      <c r="C172" s="25"/>
      <c r="D172" s="25"/>
      <c r="E172" s="255"/>
      <c r="F172" s="25"/>
      <c r="G172" s="25"/>
    </row>
    <row r="173" spans="2:7">
      <c r="B173" s="25" t="str">
        <f>IF(C173="","","PID-"&amp;TEXT(ROW()-2,"0000"))</f>
        <v/>
      </c>
      <c r="C173" s="25"/>
      <c r="D173" s="25"/>
      <c r="E173" s="255"/>
      <c r="F173" s="25"/>
      <c r="G173" s="25"/>
    </row>
    <row r="174" spans="2:7">
      <c r="B174" s="25" t="str">
        <f>IF(C174="","","PID-"&amp;TEXT(ROW()-2,"0000"))</f>
        <v/>
      </c>
      <c r="C174" s="25"/>
      <c r="D174" s="25"/>
      <c r="E174" s="255"/>
      <c r="F174" s="25"/>
      <c r="G174" s="25"/>
    </row>
    <row r="175" spans="2:7">
      <c r="B175" s="25" t="str">
        <f>IF(C175="","","PID-"&amp;TEXT(ROW()-2,"0000"))</f>
        <v/>
      </c>
      <c r="C175" s="25"/>
      <c r="D175" s="25"/>
      <c r="E175" s="255"/>
      <c r="F175" s="25"/>
      <c r="G175" s="25"/>
    </row>
    <row r="176" spans="2:7">
      <c r="B176" s="25" t="str">
        <f>IF(C176="","","PID-"&amp;TEXT(ROW()-2,"0000"))</f>
        <v/>
      </c>
      <c r="C176" s="25"/>
      <c r="D176" s="25"/>
      <c r="E176" s="255"/>
      <c r="F176" s="25"/>
      <c r="G176" s="25"/>
    </row>
    <row r="177" spans="2:7">
      <c r="B177" s="25" t="str">
        <f>IF(C177="","","PID-"&amp;TEXT(ROW()-2,"0000"))</f>
        <v/>
      </c>
      <c r="C177" s="25"/>
      <c r="D177" s="25"/>
      <c r="E177" s="255"/>
      <c r="F177" s="25"/>
      <c r="G177" s="25"/>
    </row>
    <row r="178" spans="2:7">
      <c r="B178" s="25" t="str">
        <f>IF(C178="","","PID-"&amp;TEXT(ROW()-2,"0000"))</f>
        <v/>
      </c>
      <c r="C178" s="25"/>
      <c r="D178" s="25"/>
      <c r="E178" s="255"/>
      <c r="F178" s="25"/>
      <c r="G178" s="25"/>
    </row>
    <row r="179" spans="2:7">
      <c r="B179" s="25" t="str">
        <f>IF(C179="","","PID-"&amp;TEXT(ROW()-2,"0000"))</f>
        <v/>
      </c>
      <c r="C179" s="25"/>
      <c r="D179" s="25"/>
      <c r="E179" s="255"/>
      <c r="F179" s="25"/>
      <c r="G179" s="25"/>
    </row>
    <row r="180" spans="2:7">
      <c r="B180" s="25" t="str">
        <f>IF(C180="","","PID-"&amp;TEXT(ROW()-2,"0000"))</f>
        <v/>
      </c>
      <c r="C180" s="25"/>
      <c r="D180" s="25"/>
      <c r="E180" s="255"/>
      <c r="F180" s="25"/>
      <c r="G180" s="25"/>
    </row>
    <row r="181" spans="2:7">
      <c r="B181" s="25" t="str">
        <f>IF(C181="","","PID-"&amp;TEXT(ROW()-2,"0000"))</f>
        <v/>
      </c>
      <c r="C181" s="25"/>
      <c r="D181" s="25"/>
      <c r="E181" s="255"/>
      <c r="F181" s="25"/>
      <c r="G181" s="25"/>
    </row>
    <row r="182" spans="2:7">
      <c r="B182" s="25" t="str">
        <f>IF(C182="","","PID-"&amp;TEXT(ROW()-2,"0000"))</f>
        <v/>
      </c>
      <c r="C182" s="25"/>
      <c r="D182" s="25"/>
      <c r="E182" s="255"/>
      <c r="F182" s="25"/>
      <c r="G182" s="25"/>
    </row>
    <row r="183" spans="2:7">
      <c r="B183" s="25" t="str">
        <f>IF(C183="","","PID-"&amp;TEXT(ROW()-2,"0000"))</f>
        <v/>
      </c>
      <c r="C183" s="25"/>
      <c r="D183" s="25"/>
      <c r="E183" s="255"/>
      <c r="F183" s="25"/>
      <c r="G183" s="25"/>
    </row>
    <row r="184" spans="2:7">
      <c r="B184" s="25" t="str">
        <f>IF(C184="","","PID-"&amp;TEXT(ROW()-2,"0000"))</f>
        <v/>
      </c>
      <c r="C184" s="25"/>
      <c r="D184" s="25"/>
      <c r="E184" s="255"/>
      <c r="F184" s="25"/>
      <c r="G184" s="25"/>
    </row>
    <row r="185" spans="2:7">
      <c r="B185" s="25" t="str">
        <f>IF(C185="","","PID-"&amp;TEXT(ROW()-2,"0000"))</f>
        <v/>
      </c>
      <c r="C185" s="25"/>
      <c r="D185" s="25"/>
      <c r="E185" s="255"/>
      <c r="F185" s="25"/>
      <c r="G185" s="25"/>
    </row>
    <row r="186" spans="2:7">
      <c r="B186" s="25" t="str">
        <f>IF(C186="","","PID-"&amp;TEXT(ROW()-2,"0000"))</f>
        <v/>
      </c>
      <c r="C186" s="25"/>
      <c r="D186" s="25"/>
      <c r="E186" s="255"/>
      <c r="F186" s="25"/>
      <c r="G186" s="25"/>
    </row>
    <row r="187" spans="2:7">
      <c r="B187" s="25" t="str">
        <f>IF(C187="","","PID-"&amp;TEXT(ROW()-2,"0000"))</f>
        <v/>
      </c>
      <c r="C187" s="25"/>
      <c r="D187" s="25"/>
      <c r="E187" s="255"/>
      <c r="F187" s="25"/>
      <c r="G187" s="25"/>
    </row>
    <row r="188" spans="2:7">
      <c r="B188" s="25" t="str">
        <f>IF(C188="","","PID-"&amp;TEXT(ROW()-2,"0000"))</f>
        <v/>
      </c>
      <c r="C188" s="25"/>
      <c r="D188" s="25"/>
      <c r="E188" s="255"/>
      <c r="F188" s="25"/>
      <c r="G188" s="25"/>
    </row>
    <row r="189" spans="2:7">
      <c r="B189" s="25" t="str">
        <f>IF(C189="","","PID-"&amp;TEXT(ROW()-2,"0000"))</f>
        <v/>
      </c>
      <c r="C189" s="25"/>
      <c r="D189" s="25"/>
      <c r="E189" s="255"/>
      <c r="F189" s="25"/>
      <c r="G189" s="25"/>
    </row>
    <row r="190" spans="2:7">
      <c r="B190" s="25" t="str">
        <f>IF(C190="","","PID-"&amp;TEXT(ROW()-2,"0000"))</f>
        <v/>
      </c>
      <c r="C190" s="25"/>
      <c r="D190" s="25"/>
      <c r="E190" s="255"/>
      <c r="F190" s="25"/>
      <c r="G190" s="25"/>
    </row>
    <row r="191" spans="2:7">
      <c r="B191" s="25" t="str">
        <f>IF(C191="","","PID-"&amp;TEXT(ROW()-2,"0000"))</f>
        <v/>
      </c>
      <c r="C191" s="25"/>
      <c r="D191" s="25"/>
      <c r="E191" s="255"/>
      <c r="F191" s="25"/>
      <c r="G191" s="25"/>
    </row>
    <row r="192" spans="2:7">
      <c r="B192" s="25" t="str">
        <f>IF(C192="","","PID-"&amp;TEXT(ROW()-2,"0000"))</f>
        <v/>
      </c>
      <c r="C192" s="25"/>
      <c r="D192" s="25"/>
      <c r="E192" s="255"/>
      <c r="F192" s="25"/>
      <c r="G192" s="25"/>
    </row>
    <row r="193" spans="2:7">
      <c r="B193" s="25" t="str">
        <f>IF(C193="","","PID-"&amp;TEXT(ROW()-2,"0000"))</f>
        <v/>
      </c>
      <c r="C193" s="25"/>
      <c r="D193" s="25"/>
      <c r="E193" s="255"/>
      <c r="F193" s="25"/>
      <c r="G193" s="25"/>
    </row>
    <row r="194" spans="2:7">
      <c r="B194" s="25" t="str">
        <f>IF(C194="","","PID-"&amp;TEXT(ROW()-2,"0000"))</f>
        <v/>
      </c>
      <c r="C194" s="25"/>
      <c r="D194" s="25"/>
      <c r="E194" s="255"/>
      <c r="F194" s="25"/>
      <c r="G194" s="25"/>
    </row>
    <row r="195" spans="2:7">
      <c r="B195" s="25" t="str">
        <f>IF(C195="","","PID-"&amp;TEXT(ROW()-2,"0000"))</f>
        <v/>
      </c>
      <c r="C195" s="25"/>
      <c r="D195" s="25"/>
      <c r="E195" s="255"/>
      <c r="F195" s="25"/>
      <c r="G195" s="25"/>
    </row>
    <row r="196" spans="2:7">
      <c r="B196" s="25" t="str">
        <f>IF(C196="","","PID-"&amp;TEXT(ROW()-2,"0000"))</f>
        <v/>
      </c>
      <c r="C196" s="25"/>
      <c r="D196" s="25"/>
      <c r="E196" s="255"/>
      <c r="F196" s="25"/>
      <c r="G196" s="25"/>
    </row>
    <row r="197" spans="2:7">
      <c r="B197" s="25" t="str">
        <f>IF(C197="","","PID-"&amp;TEXT(ROW()-2,"0000"))</f>
        <v/>
      </c>
      <c r="C197" s="25"/>
      <c r="D197" s="25"/>
      <c r="E197" s="255"/>
      <c r="F197" s="25"/>
      <c r="G197" s="25"/>
    </row>
    <row r="198" spans="2:7">
      <c r="B198" s="25" t="str">
        <f>IF(C198="","","PID-"&amp;TEXT(ROW()-2,"0000"))</f>
        <v/>
      </c>
      <c r="C198" s="25"/>
      <c r="D198" s="25"/>
      <c r="E198" s="255"/>
      <c r="F198" s="25"/>
      <c r="G198" s="25"/>
    </row>
    <row r="199" spans="2:7">
      <c r="B199" s="25" t="str">
        <f>IF(C199="","","PID-"&amp;TEXT(ROW()-2,"0000"))</f>
        <v/>
      </c>
      <c r="C199" s="25"/>
      <c r="D199" s="25"/>
      <c r="E199" s="255"/>
      <c r="F199" s="25"/>
      <c r="G199" s="25"/>
    </row>
    <row r="200" spans="2:7">
      <c r="B200" s="25" t="str">
        <f>IF(C200="","","PID-"&amp;TEXT(ROW()-2,"0000"))</f>
        <v/>
      </c>
      <c r="C200" s="25"/>
      <c r="D200" s="25"/>
      <c r="E200" s="255"/>
      <c r="F200" s="25"/>
      <c r="G200" s="25"/>
    </row>
    <row r="201" spans="2:7">
      <c r="B201" s="25" t="str">
        <f>IF(C201="","","PID-"&amp;TEXT(ROW()-2,"0000"))</f>
        <v/>
      </c>
      <c r="C201" s="25"/>
      <c r="D201" s="25"/>
      <c r="E201" s="255"/>
      <c r="F201" s="25"/>
      <c r="G201" s="25"/>
    </row>
    <row r="202" spans="2:7">
      <c r="B202" s="25" t="str">
        <f>IF(C202="","","PID-"&amp;TEXT(ROW()-2,"0000"))</f>
        <v/>
      </c>
      <c r="C202" s="25"/>
      <c r="D202" s="25"/>
      <c r="E202" s="255"/>
      <c r="F202" s="25"/>
      <c r="G202" s="25"/>
    </row>
    <row r="203" spans="2:7">
      <c r="B203" s="25" t="str">
        <f>IF(C203="","","PID-"&amp;TEXT(ROW()-2,"0000"))</f>
        <v/>
      </c>
      <c r="C203" s="25"/>
      <c r="D203" s="25"/>
      <c r="E203" s="255"/>
      <c r="F203" s="25"/>
      <c r="G203" s="25"/>
    </row>
    <row r="204" spans="2:7">
      <c r="B204" s="25" t="str">
        <f>IF(C204="","","PID-"&amp;TEXT(ROW()-2,"0000"))</f>
        <v/>
      </c>
      <c r="C204" s="25"/>
      <c r="D204" s="25"/>
      <c r="E204" s="255"/>
      <c r="F204" s="25"/>
      <c r="G204" s="25"/>
    </row>
    <row r="205" spans="2:7">
      <c r="B205" s="25" t="str">
        <f>IF(C205="","","PID-"&amp;TEXT(ROW()-2,"0000"))</f>
        <v/>
      </c>
      <c r="C205" s="25"/>
      <c r="D205" s="25"/>
      <c r="E205" s="255"/>
      <c r="F205" s="25"/>
      <c r="G205" s="25"/>
    </row>
    <row r="206" spans="2:7">
      <c r="B206" s="25" t="str">
        <f>IF(C206="","","PID-"&amp;TEXT(ROW()-2,"0000"))</f>
        <v/>
      </c>
      <c r="C206" s="25"/>
      <c r="D206" s="25"/>
      <c r="E206" s="255"/>
      <c r="F206" s="25"/>
      <c r="G206" s="25"/>
    </row>
    <row r="207" spans="2:7">
      <c r="B207" s="25" t="str">
        <f>IF(C207="","","PID-"&amp;TEXT(ROW()-2,"0000"))</f>
        <v/>
      </c>
      <c r="C207" s="25"/>
      <c r="D207" s="25"/>
      <c r="E207" s="255"/>
      <c r="F207" s="25"/>
      <c r="G207" s="25"/>
    </row>
    <row r="208" spans="2:7">
      <c r="B208" s="25" t="str">
        <f>IF(C208="","","PID-"&amp;TEXT(ROW()-2,"0000"))</f>
        <v/>
      </c>
      <c r="C208" s="25"/>
      <c r="D208" s="25"/>
      <c r="E208" s="255"/>
      <c r="F208" s="25"/>
      <c r="G208" s="25"/>
    </row>
    <row r="209" spans="2:7">
      <c r="B209" s="25" t="str">
        <f>IF(C209="","","PID-"&amp;TEXT(ROW()-2,"0000"))</f>
        <v/>
      </c>
      <c r="C209" s="25"/>
      <c r="D209" s="25"/>
      <c r="E209" s="255"/>
      <c r="F209" s="25"/>
      <c r="G209" s="25"/>
    </row>
    <row r="210" spans="2:7">
      <c r="B210" s="25" t="str">
        <f>IF(C210="","","PID-"&amp;TEXT(ROW()-2,"0000"))</f>
        <v/>
      </c>
      <c r="C210" s="25"/>
      <c r="D210" s="25"/>
      <c r="E210" s="255"/>
      <c r="F210" s="25"/>
      <c r="G210" s="25"/>
    </row>
    <row r="211" spans="2:7">
      <c r="B211" s="25" t="str">
        <f>IF(C211="","","PID-"&amp;TEXT(ROW()-2,"0000"))</f>
        <v/>
      </c>
      <c r="C211" s="25"/>
      <c r="D211" s="25"/>
      <c r="E211" s="255"/>
      <c r="F211" s="25"/>
      <c r="G211" s="25"/>
    </row>
    <row r="212" spans="2:7">
      <c r="B212" s="25" t="str">
        <f>IF(C212="","","PID-"&amp;TEXT(ROW()-2,"0000"))</f>
        <v/>
      </c>
      <c r="C212" s="25"/>
      <c r="D212" s="25"/>
      <c r="E212" s="255"/>
      <c r="F212" s="25"/>
      <c r="G212" s="25"/>
    </row>
    <row r="213" spans="2:7">
      <c r="B213" s="25" t="str">
        <f>IF(C213="","","PID-"&amp;TEXT(ROW()-2,"0000"))</f>
        <v/>
      </c>
      <c r="C213" s="25"/>
      <c r="D213" s="25"/>
      <c r="E213" s="255"/>
      <c r="F213" s="25"/>
      <c r="G213" s="25"/>
    </row>
    <row r="214" spans="2:7">
      <c r="B214" s="25" t="str">
        <f>IF(C214="","","PID-"&amp;TEXT(ROW()-2,"0000"))</f>
        <v/>
      </c>
      <c r="C214" s="25"/>
      <c r="D214" s="25"/>
      <c r="E214" s="255"/>
      <c r="F214" s="25"/>
      <c r="G214" s="25"/>
    </row>
    <row r="215" spans="2:7">
      <c r="B215" s="25" t="str">
        <f>IF(C215="","","PID-"&amp;TEXT(ROW()-2,"0000"))</f>
        <v/>
      </c>
      <c r="C215" s="25"/>
      <c r="D215" s="25"/>
      <c r="E215" s="255"/>
      <c r="F215" s="25"/>
      <c r="G215" s="25"/>
    </row>
    <row r="216" spans="2:7">
      <c r="B216" s="25" t="str">
        <f>IF(C216="","","PID-"&amp;TEXT(ROW()-2,"0000"))</f>
        <v/>
      </c>
      <c r="C216" s="25"/>
      <c r="D216" s="25"/>
      <c r="E216" s="255"/>
      <c r="F216" s="25"/>
      <c r="G216" s="25"/>
    </row>
    <row r="217" spans="2:7">
      <c r="B217" s="25" t="str">
        <f>IF(C217="","","PID-"&amp;TEXT(ROW()-2,"0000"))</f>
        <v/>
      </c>
      <c r="C217" s="25"/>
      <c r="D217" s="25"/>
      <c r="E217" s="255"/>
      <c r="F217" s="25"/>
      <c r="G217" s="25"/>
    </row>
    <row r="218" spans="2:7">
      <c r="B218" s="25" t="str">
        <f>IF(C218="","","PID-"&amp;TEXT(ROW()-2,"0000"))</f>
        <v/>
      </c>
      <c r="C218" s="25"/>
      <c r="D218" s="25"/>
      <c r="E218" s="255"/>
      <c r="F218" s="25"/>
      <c r="G218" s="25"/>
    </row>
    <row r="219" spans="2:7">
      <c r="B219" s="25" t="str">
        <f>IF(C219="","","PID-"&amp;TEXT(ROW()-2,"0000"))</f>
        <v/>
      </c>
      <c r="C219" s="25"/>
      <c r="D219" s="25"/>
      <c r="E219" s="255"/>
      <c r="F219" s="25"/>
      <c r="G219" s="25"/>
    </row>
    <row r="220" spans="2:7">
      <c r="B220" s="25" t="str">
        <f>IF(C220="","","PID-"&amp;TEXT(ROW()-2,"0000"))</f>
        <v/>
      </c>
      <c r="C220" s="25"/>
      <c r="D220" s="25"/>
      <c r="E220" s="255"/>
      <c r="F220" s="25"/>
      <c r="G220" s="25"/>
    </row>
    <row r="221" spans="2:7">
      <c r="B221" s="25" t="str">
        <f>IF(C221="","","PID-"&amp;TEXT(ROW()-2,"0000"))</f>
        <v/>
      </c>
      <c r="C221" s="25"/>
      <c r="D221" s="25"/>
      <c r="E221" s="255"/>
      <c r="F221" s="25"/>
      <c r="G221" s="25"/>
    </row>
    <row r="222" spans="2:7">
      <c r="B222" s="25" t="str">
        <f>IF(C222="","","PID-"&amp;TEXT(ROW()-2,"0000"))</f>
        <v/>
      </c>
      <c r="C222" s="25"/>
      <c r="D222" s="25"/>
      <c r="E222" s="255"/>
      <c r="F222" s="25"/>
      <c r="G222" s="25"/>
    </row>
    <row r="223" spans="2:7">
      <c r="B223" s="25" t="str">
        <f>IF(C223="","","PID-"&amp;TEXT(ROW()-2,"0000"))</f>
        <v/>
      </c>
      <c r="C223" s="25"/>
      <c r="D223" s="25"/>
      <c r="E223" s="255"/>
      <c r="F223" s="25"/>
      <c r="G223" s="25"/>
    </row>
    <row r="224" spans="2:7">
      <c r="B224" s="25" t="str">
        <f>IF(C224="","","PID-"&amp;TEXT(ROW()-2,"0000"))</f>
        <v/>
      </c>
      <c r="C224" s="25"/>
      <c r="D224" s="25"/>
      <c r="E224" s="255"/>
      <c r="F224" s="25"/>
      <c r="G224" s="25"/>
    </row>
    <row r="225" spans="2:7">
      <c r="B225" s="25" t="str">
        <f>IF(C225="","","PID-"&amp;TEXT(ROW()-2,"0000"))</f>
        <v/>
      </c>
      <c r="C225" s="25"/>
      <c r="D225" s="25"/>
      <c r="E225" s="255"/>
      <c r="F225" s="25"/>
      <c r="G225" s="25"/>
    </row>
    <row r="226" spans="2:7">
      <c r="B226" s="25" t="str">
        <f>IF(C226="","","PID-"&amp;TEXT(ROW()-2,"0000"))</f>
        <v/>
      </c>
      <c r="C226" s="25"/>
      <c r="D226" s="25"/>
      <c r="E226" s="255"/>
      <c r="F226" s="25"/>
      <c r="G226" s="25"/>
    </row>
    <row r="227" spans="2:7">
      <c r="B227" s="25" t="str">
        <f>IF(C227="","","PID-"&amp;TEXT(ROW()-2,"0000"))</f>
        <v/>
      </c>
      <c r="C227" s="25"/>
      <c r="D227" s="25"/>
      <c r="E227" s="255"/>
      <c r="F227" s="25"/>
      <c r="G227" s="25"/>
    </row>
    <row r="228" spans="2:7">
      <c r="B228" s="25" t="str">
        <f>IF(C228="","","PID-"&amp;TEXT(ROW()-2,"0000"))</f>
        <v/>
      </c>
      <c r="C228" s="25"/>
      <c r="D228" s="25"/>
      <c r="E228" s="255"/>
      <c r="F228" s="25"/>
      <c r="G228" s="25"/>
    </row>
    <row r="229" spans="2:7">
      <c r="B229" s="25" t="str">
        <f>IF(C229="","","PID-"&amp;TEXT(ROW()-2,"0000"))</f>
        <v/>
      </c>
      <c r="C229" s="25"/>
      <c r="D229" s="25"/>
      <c r="E229" s="255"/>
      <c r="F229" s="25"/>
      <c r="G229" s="25"/>
    </row>
    <row r="230" spans="2:7">
      <c r="B230" s="25" t="str">
        <f>IF(C230="","","PID-"&amp;TEXT(ROW()-2,"0000"))</f>
        <v/>
      </c>
      <c r="C230" s="25"/>
      <c r="D230" s="25"/>
      <c r="E230" s="255"/>
      <c r="F230" s="25"/>
      <c r="G230" s="25"/>
    </row>
    <row r="231" spans="2:7">
      <c r="B231" s="25" t="str">
        <f>IF(C231="","","PID-"&amp;TEXT(ROW()-2,"0000"))</f>
        <v/>
      </c>
      <c r="C231" s="25"/>
      <c r="D231" s="25"/>
      <c r="E231" s="255"/>
      <c r="F231" s="25"/>
      <c r="G231" s="25"/>
    </row>
    <row r="232" spans="2:7">
      <c r="B232" s="25" t="str">
        <f>IF(C232="","","PID-"&amp;TEXT(ROW()-2,"0000"))</f>
        <v/>
      </c>
      <c r="C232" s="25"/>
      <c r="D232" s="25"/>
      <c r="E232" s="255"/>
      <c r="F232" s="25"/>
      <c r="G232" s="25"/>
    </row>
    <row r="233" spans="2:7">
      <c r="B233" s="25" t="str">
        <f>IF(C233="","","PID-"&amp;TEXT(ROW()-2,"0000"))</f>
        <v/>
      </c>
      <c r="C233" s="25"/>
      <c r="D233" s="25"/>
      <c r="E233" s="255"/>
      <c r="F233" s="25"/>
      <c r="G233" s="25"/>
    </row>
    <row r="234" spans="2:7">
      <c r="B234" s="25" t="str">
        <f>IF(C234="","","PID-"&amp;TEXT(ROW()-2,"0000"))</f>
        <v/>
      </c>
      <c r="C234" s="25"/>
      <c r="D234" s="25"/>
      <c r="E234" s="255"/>
      <c r="F234" s="25"/>
      <c r="G234" s="25"/>
    </row>
    <row r="235" spans="2:7">
      <c r="B235" s="25" t="str">
        <f>IF(C235="","","PID-"&amp;TEXT(ROW()-2,"0000"))</f>
        <v/>
      </c>
      <c r="C235" s="25"/>
      <c r="D235" s="25"/>
      <c r="E235" s="255"/>
      <c r="F235" s="25"/>
      <c r="G235" s="25"/>
    </row>
    <row r="236" spans="2:7">
      <c r="B236" s="25" t="str">
        <f>IF(C236="","","PID-"&amp;TEXT(ROW()-2,"0000"))</f>
        <v/>
      </c>
      <c r="C236" s="25"/>
      <c r="D236" s="25"/>
      <c r="E236" s="255"/>
      <c r="F236" s="25"/>
      <c r="G236" s="25"/>
    </row>
    <row r="237" spans="2:7">
      <c r="B237" s="25" t="str">
        <f>IF(C237="","","PID-"&amp;TEXT(ROW()-2,"0000"))</f>
        <v/>
      </c>
      <c r="C237" s="25"/>
      <c r="D237" s="25"/>
      <c r="E237" s="255"/>
      <c r="F237" s="25"/>
      <c r="G237" s="25"/>
    </row>
    <row r="238" spans="2:7">
      <c r="B238" s="25" t="str">
        <f>IF(C238="","","PID-"&amp;TEXT(ROW()-2,"0000"))</f>
        <v/>
      </c>
      <c r="C238" s="25"/>
      <c r="D238" s="25"/>
      <c r="E238" s="255"/>
      <c r="F238" s="25"/>
      <c r="G238" s="25"/>
    </row>
    <row r="239" spans="2:7">
      <c r="B239" s="25" t="str">
        <f>IF(C239="","","PID-"&amp;TEXT(ROW()-2,"0000"))</f>
        <v/>
      </c>
      <c r="C239" s="25"/>
      <c r="D239" s="25"/>
      <c r="E239" s="255"/>
      <c r="F239" s="25"/>
      <c r="G239" s="25"/>
    </row>
    <row r="240" spans="2:7">
      <c r="B240" s="25" t="str">
        <f>IF(C240="","","PID-"&amp;TEXT(ROW()-2,"0000"))</f>
        <v/>
      </c>
      <c r="C240" s="25"/>
      <c r="D240" s="25"/>
      <c r="E240" s="255"/>
      <c r="F240" s="25"/>
      <c r="G240" s="25"/>
    </row>
    <row r="241" spans="2:7">
      <c r="B241" s="25" t="str">
        <f>IF(C241="","","PID-"&amp;TEXT(ROW()-2,"0000"))</f>
        <v/>
      </c>
      <c r="C241" s="25"/>
      <c r="D241" s="25"/>
      <c r="E241" s="255"/>
      <c r="F241" s="25"/>
      <c r="G241" s="25"/>
    </row>
    <row r="242" spans="2:7">
      <c r="B242" s="25" t="str">
        <f>IF(C242="","","PID-"&amp;TEXT(ROW()-2,"0000"))</f>
        <v/>
      </c>
      <c r="C242" s="25"/>
      <c r="D242" s="25"/>
      <c r="E242" s="255"/>
      <c r="F242" s="25"/>
      <c r="G242" s="25"/>
    </row>
    <row r="243" spans="2:7">
      <c r="B243" s="25" t="str">
        <f>IF(C243="","","PID-"&amp;TEXT(ROW()-2,"0000"))</f>
        <v/>
      </c>
      <c r="C243" s="25"/>
      <c r="D243" s="25"/>
      <c r="E243" s="255"/>
      <c r="F243" s="25"/>
      <c r="G243" s="25"/>
    </row>
    <row r="244" spans="2:7">
      <c r="B244" s="25" t="str">
        <f>IF(C244="","","PID-"&amp;TEXT(ROW()-2,"0000"))</f>
        <v/>
      </c>
      <c r="C244" s="25"/>
      <c r="D244" s="25"/>
      <c r="E244" s="255"/>
      <c r="F244" s="25"/>
      <c r="G244" s="25"/>
    </row>
    <row r="245" spans="2:7">
      <c r="B245" s="25" t="str">
        <f>IF(C245="","","PID-"&amp;TEXT(ROW()-2,"0000"))</f>
        <v/>
      </c>
      <c r="C245" s="25"/>
      <c r="D245" s="25"/>
      <c r="E245" s="255"/>
      <c r="F245" s="25"/>
      <c r="G245" s="25"/>
    </row>
    <row r="246" spans="2:7">
      <c r="B246" s="25" t="str">
        <f>IF(C246="","","PID-"&amp;TEXT(ROW()-2,"0000"))</f>
        <v/>
      </c>
      <c r="C246" s="25"/>
      <c r="D246" s="25"/>
      <c r="E246" s="255"/>
      <c r="F246" s="25"/>
      <c r="G246" s="25"/>
    </row>
    <row r="247" spans="2:7">
      <c r="B247" s="25" t="str">
        <f>IF(C247="","","PID-"&amp;TEXT(ROW()-2,"0000"))</f>
        <v/>
      </c>
      <c r="C247" s="25"/>
      <c r="D247" s="25"/>
      <c r="E247" s="255"/>
      <c r="F247" s="25"/>
      <c r="G247" s="25"/>
    </row>
    <row r="248" spans="2:7">
      <c r="B248" s="25" t="str">
        <f>IF(C248="","","PID-"&amp;TEXT(ROW()-2,"0000"))</f>
        <v/>
      </c>
      <c r="C248" s="25"/>
      <c r="D248" s="25"/>
      <c r="E248" s="255"/>
      <c r="F248" s="25"/>
      <c r="G248" s="25"/>
    </row>
    <row r="249" spans="2:7">
      <c r="B249" s="25" t="str">
        <f>IF(C249="","","PID-"&amp;TEXT(ROW()-2,"0000"))</f>
        <v/>
      </c>
      <c r="C249" s="25"/>
      <c r="D249" s="25"/>
      <c r="E249" s="255"/>
      <c r="F249" s="25"/>
      <c r="G249" s="25"/>
    </row>
    <row r="250" spans="2:7">
      <c r="B250" s="25" t="str">
        <f>IF(C250="","","PID-"&amp;TEXT(ROW()-2,"0000"))</f>
        <v/>
      </c>
      <c r="C250" s="25"/>
      <c r="D250" s="25"/>
      <c r="E250" s="255"/>
      <c r="F250" s="25"/>
      <c r="G250" s="25"/>
    </row>
    <row r="251" spans="2:7">
      <c r="B251" s="25" t="str">
        <f>IF(C251="","","PID-"&amp;TEXT(ROW()-2,"0000"))</f>
        <v/>
      </c>
      <c r="C251" s="25"/>
      <c r="D251" s="25"/>
      <c r="E251" s="255"/>
      <c r="F251" s="25"/>
      <c r="G251" s="25"/>
    </row>
    <row r="252" spans="2:7">
      <c r="B252" s="25" t="str">
        <f>IF(C252="","","PID-"&amp;TEXT(ROW()-2,"0000"))</f>
        <v/>
      </c>
      <c r="C252" s="25"/>
      <c r="D252" s="25"/>
      <c r="E252" s="255"/>
      <c r="F252" s="25"/>
      <c r="G252" s="25"/>
    </row>
    <row r="253" spans="2:7">
      <c r="B253" s="25" t="str">
        <f>IF(C253="","","PID-"&amp;TEXT(ROW()-2,"0000"))</f>
        <v/>
      </c>
      <c r="C253" s="25"/>
      <c r="D253" s="25"/>
      <c r="E253" s="255"/>
      <c r="F253" s="25"/>
      <c r="G253" s="25"/>
    </row>
    <row r="254" spans="2:7">
      <c r="B254" s="25" t="str">
        <f>IF(C254="","","PID-"&amp;TEXT(ROW()-2,"0000"))</f>
        <v/>
      </c>
      <c r="C254" s="25"/>
      <c r="D254" s="25"/>
      <c r="E254" s="255"/>
      <c r="F254" s="25"/>
      <c r="G254" s="25"/>
    </row>
    <row r="255" spans="2:7">
      <c r="B255" s="25" t="str">
        <f>IF(C255="","","PID-"&amp;TEXT(ROW()-2,"0000"))</f>
        <v/>
      </c>
      <c r="C255" s="25"/>
      <c r="D255" s="25"/>
      <c r="E255" s="255"/>
      <c r="F255" s="25"/>
      <c r="G255" s="25"/>
    </row>
    <row r="256" spans="2:7">
      <c r="B256" s="25" t="str">
        <f>IF(C256="","","PID-"&amp;TEXT(ROW()-2,"0000"))</f>
        <v/>
      </c>
      <c r="C256" s="25"/>
      <c r="D256" s="25"/>
      <c r="E256" s="255"/>
      <c r="F256" s="25"/>
      <c r="G256" s="25"/>
    </row>
    <row r="257" spans="2:7">
      <c r="B257" s="25" t="str">
        <f>IF(C257="","","PID-"&amp;TEXT(ROW()-2,"0000"))</f>
        <v/>
      </c>
      <c r="C257" s="25"/>
      <c r="D257" s="25"/>
      <c r="E257" s="255"/>
      <c r="F257" s="25"/>
      <c r="G257" s="25"/>
    </row>
    <row r="258" spans="2:7">
      <c r="B258" s="25" t="str">
        <f>IF(C258="","","PID-"&amp;TEXT(ROW()-2,"0000"))</f>
        <v/>
      </c>
      <c r="C258" s="25"/>
      <c r="D258" s="25"/>
      <c r="E258" s="255"/>
      <c r="F258" s="25"/>
      <c r="G258" s="25"/>
    </row>
    <row r="259" spans="2:7">
      <c r="B259" s="25" t="str">
        <f>IF(C259="","","PID-"&amp;TEXT(ROW()-2,"0000"))</f>
        <v/>
      </c>
      <c r="C259" s="25"/>
      <c r="D259" s="25"/>
      <c r="E259" s="255"/>
      <c r="F259" s="25"/>
      <c r="G259" s="25"/>
    </row>
    <row r="260" spans="2:7">
      <c r="B260" s="25" t="str">
        <f>IF(C260="","","PID-"&amp;TEXT(ROW()-2,"0000"))</f>
        <v/>
      </c>
      <c r="C260" s="25"/>
      <c r="D260" s="25"/>
      <c r="E260" s="255"/>
      <c r="F260" s="25"/>
      <c r="G260" s="25"/>
    </row>
    <row r="261" spans="2:7">
      <c r="B261" s="25" t="str">
        <f>IF(C261="","","PID-"&amp;TEXT(ROW()-2,"0000"))</f>
        <v/>
      </c>
      <c r="C261" s="25"/>
      <c r="D261" s="25"/>
      <c r="E261" s="255"/>
      <c r="F261" s="25"/>
      <c r="G261" s="25"/>
    </row>
    <row r="262" spans="2:7">
      <c r="B262" s="25" t="str">
        <f>IF(C262="","","PID-"&amp;TEXT(ROW()-2,"0000"))</f>
        <v/>
      </c>
      <c r="C262" s="25"/>
      <c r="D262" s="25"/>
      <c r="E262" s="255"/>
      <c r="F262" s="25"/>
      <c r="G262" s="25"/>
    </row>
    <row r="263" spans="2:7">
      <c r="B263" s="25" t="str">
        <f>IF(C263="","","PID-"&amp;TEXT(ROW()-2,"0000"))</f>
        <v/>
      </c>
      <c r="C263" s="25"/>
      <c r="D263" s="25"/>
      <c r="E263" s="255"/>
      <c r="F263" s="25"/>
      <c r="G263" s="25"/>
    </row>
    <row r="264" spans="2:7">
      <c r="B264" s="25" t="str">
        <f>IF(C264="","","PID-"&amp;TEXT(ROW()-2,"0000"))</f>
        <v/>
      </c>
      <c r="C264" s="25"/>
      <c r="D264" s="25"/>
      <c r="E264" s="255"/>
      <c r="F264" s="25"/>
      <c r="G264" s="25"/>
    </row>
    <row r="265" spans="2:7">
      <c r="B265" s="25" t="str">
        <f>IF(C265="","","PID-"&amp;TEXT(ROW()-2,"0000"))</f>
        <v/>
      </c>
      <c r="C265" s="25"/>
      <c r="D265" s="25"/>
      <c r="E265" s="255"/>
      <c r="F265" s="25"/>
      <c r="G265" s="25"/>
    </row>
    <row r="266" spans="2:7">
      <c r="B266" s="25" t="str">
        <f>IF(C266="","","PID-"&amp;TEXT(ROW()-2,"0000"))</f>
        <v/>
      </c>
      <c r="C266" s="25"/>
      <c r="D266" s="25"/>
      <c r="E266" s="255"/>
      <c r="F266" s="25"/>
      <c r="G266" s="25"/>
    </row>
    <row r="267" spans="2:7">
      <c r="B267" s="25" t="str">
        <f>IF(C267="","","PID-"&amp;TEXT(ROW()-2,"0000"))</f>
        <v/>
      </c>
      <c r="C267" s="25"/>
      <c r="D267" s="25"/>
      <c r="E267" s="255"/>
      <c r="F267" s="25"/>
      <c r="G267" s="25"/>
    </row>
    <row r="268" spans="2:7">
      <c r="B268" s="25" t="str">
        <f>IF(C268="","","PID-"&amp;TEXT(ROW()-2,"0000"))</f>
        <v/>
      </c>
      <c r="C268" s="25"/>
      <c r="D268" s="25"/>
      <c r="E268" s="255"/>
      <c r="F268" s="25"/>
      <c r="G268" s="25"/>
    </row>
    <row r="269" spans="2:7">
      <c r="B269" s="25" t="str">
        <f>IF(C269="","","PID-"&amp;TEXT(ROW()-2,"0000"))</f>
        <v/>
      </c>
      <c r="C269" s="25"/>
      <c r="D269" s="25"/>
      <c r="E269" s="255"/>
      <c r="F269" s="25"/>
      <c r="G269" s="25"/>
    </row>
    <row r="270" spans="2:7">
      <c r="B270" s="25" t="str">
        <f>IF(C270="","","PID-"&amp;TEXT(ROW()-2,"0000"))</f>
        <v/>
      </c>
      <c r="C270" s="25"/>
      <c r="D270" s="25"/>
      <c r="E270" s="255"/>
      <c r="F270" s="25"/>
      <c r="G270" s="25"/>
    </row>
    <row r="271" spans="2:7">
      <c r="B271" s="25" t="str">
        <f>IF(C271="","","PID-"&amp;TEXT(ROW()-2,"0000"))</f>
        <v/>
      </c>
      <c r="C271" s="25"/>
      <c r="D271" s="25"/>
      <c r="E271" s="255"/>
      <c r="F271" s="25"/>
      <c r="G271" s="25"/>
    </row>
    <row r="272" spans="2:7">
      <c r="B272" s="25" t="str">
        <f>IF(C272="","","PID-"&amp;TEXT(ROW()-2,"0000"))</f>
        <v/>
      </c>
      <c r="C272" s="25"/>
      <c r="D272" s="25"/>
      <c r="E272" s="255"/>
      <c r="F272" s="25"/>
      <c r="G272" s="25"/>
    </row>
    <row r="273" spans="2:7">
      <c r="B273" s="25" t="str">
        <f>IF(C273="","","PID-"&amp;TEXT(ROW()-2,"0000"))</f>
        <v/>
      </c>
      <c r="C273" s="25"/>
      <c r="D273" s="25"/>
      <c r="E273" s="255"/>
      <c r="F273" s="25"/>
      <c r="G273" s="25"/>
    </row>
    <row r="274" spans="2:7">
      <c r="B274" s="25" t="str">
        <f>IF(C274="","","PID-"&amp;TEXT(ROW()-2,"0000"))</f>
        <v/>
      </c>
      <c r="C274" s="25"/>
      <c r="D274" s="25"/>
      <c r="E274" s="255"/>
      <c r="F274" s="25"/>
      <c r="G274" s="25"/>
    </row>
    <row r="275" spans="2:7">
      <c r="B275" s="25" t="str">
        <f>IF(C275="","","PID-"&amp;TEXT(ROW()-2,"0000"))</f>
        <v/>
      </c>
      <c r="C275" s="25"/>
      <c r="D275" s="25"/>
      <c r="E275" s="255"/>
      <c r="F275" s="25"/>
      <c r="G275" s="25"/>
    </row>
    <row r="276" spans="2:7">
      <c r="B276" s="25" t="str">
        <f>IF(C276="","","PID-"&amp;TEXT(ROW()-2,"0000"))</f>
        <v/>
      </c>
      <c r="C276" s="25"/>
      <c r="D276" s="25"/>
      <c r="E276" s="255"/>
      <c r="F276" s="25"/>
      <c r="G276" s="25"/>
    </row>
    <row r="277" spans="2:7">
      <c r="B277" s="25" t="str">
        <f>IF(C277="","","PID-"&amp;TEXT(ROW()-2,"0000"))</f>
        <v/>
      </c>
      <c r="C277" s="25"/>
      <c r="D277" s="25"/>
      <c r="E277" s="255"/>
      <c r="F277" s="25"/>
      <c r="G277" s="25"/>
    </row>
    <row r="278" spans="2:7">
      <c r="B278" s="25" t="str">
        <f>IF(C278="","","PID-"&amp;TEXT(ROW()-2,"0000"))</f>
        <v/>
      </c>
      <c r="C278" s="25"/>
      <c r="D278" s="25"/>
      <c r="E278" s="255"/>
      <c r="F278" s="25"/>
      <c r="G278" s="25"/>
    </row>
    <row r="279" spans="2:7">
      <c r="B279" s="25" t="str">
        <f>IF(C279="","","PID-"&amp;TEXT(ROW()-2,"0000"))</f>
        <v/>
      </c>
      <c r="C279" s="25"/>
      <c r="D279" s="25"/>
      <c r="E279" s="255"/>
      <c r="F279" s="25"/>
      <c r="G279" s="25"/>
    </row>
    <row r="280" spans="2:7">
      <c r="B280" s="25" t="str">
        <f>IF(C280="","","PID-"&amp;TEXT(ROW()-2,"0000"))</f>
        <v/>
      </c>
      <c r="C280" s="25"/>
      <c r="D280" s="25"/>
      <c r="E280" s="255"/>
      <c r="F280" s="25"/>
      <c r="G280" s="25"/>
    </row>
    <row r="281" spans="2:7">
      <c r="B281" s="25" t="str">
        <f>IF(C281="","","PID-"&amp;TEXT(ROW()-2,"0000"))</f>
        <v/>
      </c>
      <c r="C281" s="25"/>
      <c r="D281" s="25"/>
      <c r="E281" s="255"/>
      <c r="F281" s="25"/>
      <c r="G281" s="25"/>
    </row>
    <row r="282" spans="2:7">
      <c r="B282" s="25" t="str">
        <f>IF(C282="","","PID-"&amp;TEXT(ROW()-2,"0000"))</f>
        <v/>
      </c>
      <c r="C282" s="25"/>
      <c r="D282" s="25"/>
      <c r="E282" s="255"/>
      <c r="F282" s="25"/>
      <c r="G282" s="25"/>
    </row>
    <row r="283" spans="2:7">
      <c r="B283" s="25" t="str">
        <f>IF(C283="","","PID-"&amp;TEXT(ROW()-2,"0000"))</f>
        <v/>
      </c>
      <c r="C283" s="25"/>
      <c r="D283" s="25"/>
      <c r="E283" s="255"/>
      <c r="F283" s="25"/>
      <c r="G283" s="25"/>
    </row>
    <row r="284" spans="2:7">
      <c r="B284" s="25" t="str">
        <f>IF(C284="","","PID-"&amp;TEXT(ROW()-2,"0000"))</f>
        <v/>
      </c>
      <c r="C284" s="25"/>
      <c r="D284" s="25"/>
      <c r="E284" s="255"/>
      <c r="F284" s="25"/>
      <c r="G284" s="25"/>
    </row>
    <row r="285" spans="2:7">
      <c r="B285" s="25" t="str">
        <f>IF(C285="","","PID-"&amp;TEXT(ROW()-2,"0000"))</f>
        <v/>
      </c>
      <c r="C285" s="25"/>
      <c r="D285" s="25"/>
      <c r="E285" s="255"/>
      <c r="F285" s="25"/>
      <c r="G285" s="25"/>
    </row>
    <row r="286" spans="2:7">
      <c r="B286" s="25" t="str">
        <f>IF(C286="","","PID-"&amp;TEXT(ROW()-2,"0000"))</f>
        <v/>
      </c>
      <c r="C286" s="25"/>
      <c r="D286" s="25"/>
      <c r="E286" s="255"/>
      <c r="F286" s="25"/>
      <c r="G286" s="25"/>
    </row>
    <row r="287" spans="2:7">
      <c r="B287" s="25" t="str">
        <f>IF(C287="","","PID-"&amp;TEXT(ROW()-2,"0000"))</f>
        <v/>
      </c>
      <c r="C287" s="25"/>
      <c r="D287" s="25"/>
      <c r="E287" s="255"/>
      <c r="F287" s="25"/>
      <c r="G287" s="25"/>
    </row>
    <row r="288" spans="2:7">
      <c r="B288" s="25" t="str">
        <f>IF(C288="","","PID-"&amp;TEXT(ROW()-2,"0000"))</f>
        <v/>
      </c>
      <c r="C288" s="25"/>
      <c r="D288" s="25"/>
      <c r="E288" s="255"/>
      <c r="F288" s="25"/>
      <c r="G288" s="25"/>
    </row>
    <row r="289" spans="2:7">
      <c r="B289" s="25" t="str">
        <f>IF(C289="","","PID-"&amp;TEXT(ROW()-2,"0000"))</f>
        <v/>
      </c>
      <c r="C289" s="25"/>
      <c r="D289" s="25"/>
      <c r="E289" s="255"/>
      <c r="F289" s="25"/>
      <c r="G289" s="25"/>
    </row>
    <row r="290" spans="2:7">
      <c r="B290" s="25" t="str">
        <f>IF(C290="","","PID-"&amp;TEXT(ROW()-2,"0000"))</f>
        <v/>
      </c>
      <c r="C290" s="25"/>
      <c r="D290" s="25"/>
      <c r="E290" s="255"/>
      <c r="F290" s="25"/>
      <c r="G290" s="25"/>
    </row>
    <row r="291" spans="2:7">
      <c r="B291" s="25" t="str">
        <f>IF(C291="","","PID-"&amp;TEXT(ROW()-2,"0000"))</f>
        <v/>
      </c>
      <c r="C291" s="25"/>
      <c r="D291" s="25"/>
      <c r="E291" s="255"/>
      <c r="F291" s="25"/>
      <c r="G291" s="25"/>
    </row>
    <row r="292" spans="2:7">
      <c r="B292" s="25" t="str">
        <f>IF(C292="","","PID-"&amp;TEXT(ROW()-2,"0000"))</f>
        <v/>
      </c>
      <c r="C292" s="25"/>
      <c r="D292" s="25"/>
      <c r="E292" s="255"/>
      <c r="F292" s="25"/>
      <c r="G292" s="25"/>
    </row>
    <row r="293" spans="2:7">
      <c r="B293" s="25" t="str">
        <f>IF(C293="","","PID-"&amp;TEXT(ROW()-2,"0000"))</f>
        <v/>
      </c>
      <c r="C293" s="25"/>
      <c r="D293" s="25"/>
      <c r="E293" s="255"/>
      <c r="F293" s="25"/>
      <c r="G293" s="25"/>
    </row>
    <row r="294" spans="2:7">
      <c r="B294" s="25" t="str">
        <f>IF(C294="","","PID-"&amp;TEXT(ROW()-2,"0000"))</f>
        <v/>
      </c>
      <c r="C294" s="25"/>
      <c r="D294" s="25"/>
      <c r="E294" s="255"/>
      <c r="F294" s="25"/>
      <c r="G294" s="25"/>
    </row>
    <row r="295" spans="2:7">
      <c r="B295" s="25" t="str">
        <f>IF(C295="","","PID-"&amp;TEXT(ROW()-2,"0000"))</f>
        <v/>
      </c>
      <c r="C295" s="25"/>
      <c r="D295" s="25"/>
      <c r="E295" s="255"/>
      <c r="F295" s="25"/>
      <c r="G295" s="25"/>
    </row>
    <row r="296" spans="2:7">
      <c r="B296" s="25" t="str">
        <f>IF(C296="","","PID-"&amp;TEXT(ROW()-2,"0000"))</f>
        <v/>
      </c>
      <c r="C296" s="25"/>
      <c r="D296" s="25"/>
      <c r="E296" s="255"/>
      <c r="F296" s="25"/>
      <c r="G296" s="25"/>
    </row>
    <row r="297" spans="2:7">
      <c r="B297" s="25" t="str">
        <f>IF(C297="","","PID-"&amp;TEXT(ROW()-2,"0000"))</f>
        <v/>
      </c>
      <c r="C297" s="25"/>
      <c r="D297" s="25"/>
      <c r="E297" s="255"/>
      <c r="F297" s="25"/>
      <c r="G297" s="25"/>
    </row>
    <row r="298" spans="2:7">
      <c r="B298" s="25" t="str">
        <f>IF(C298="","","PID-"&amp;TEXT(ROW()-2,"0000"))</f>
        <v/>
      </c>
      <c r="C298" s="25"/>
      <c r="D298" s="25"/>
      <c r="E298" s="255"/>
      <c r="F298" s="25"/>
      <c r="G298" s="25"/>
    </row>
    <row r="299" spans="2:7">
      <c r="B299" s="25" t="str">
        <f>IF(C299="","","PID-"&amp;TEXT(ROW()-2,"0000"))</f>
        <v/>
      </c>
      <c r="C299" s="25"/>
      <c r="D299" s="25"/>
      <c r="E299" s="255"/>
      <c r="F299" s="25"/>
      <c r="G299" s="25"/>
    </row>
    <row r="300" spans="2:7">
      <c r="B300" s="25" t="str">
        <f>IF(C300="","","PID-"&amp;TEXT(ROW()-2,"0000"))</f>
        <v/>
      </c>
      <c r="C300" s="25"/>
      <c r="D300" s="25"/>
      <c r="E300" s="255"/>
      <c r="F300" s="25"/>
      <c r="G300" s="25"/>
    </row>
    <row r="301" spans="2:7">
      <c r="B301" s="25" t="str">
        <f>IF(C301="","","PID-"&amp;TEXT(ROW()-2,"0000"))</f>
        <v/>
      </c>
      <c r="C301" s="25"/>
      <c r="D301" s="25"/>
      <c r="E301" s="255"/>
      <c r="F301" s="25"/>
      <c r="G301" s="25"/>
    </row>
    <row r="302" spans="2:7">
      <c r="B302" s="25" t="str">
        <f>IF(C302="","","PID-"&amp;TEXT(ROW()-2,"0000"))</f>
        <v/>
      </c>
      <c r="C302" s="25"/>
      <c r="D302" s="25"/>
      <c r="E302" s="255"/>
      <c r="F302" s="25"/>
      <c r="G302" s="25"/>
    </row>
    <row r="303" spans="2:7">
      <c r="B303" s="25" t="str">
        <f>IF(C303="","","PID-"&amp;TEXT(ROW()-2,"0000"))</f>
        <v/>
      </c>
      <c r="C303" s="25"/>
      <c r="D303" s="25"/>
      <c r="E303" s="255"/>
      <c r="F303" s="25"/>
      <c r="G303" s="25"/>
    </row>
    <row r="304" spans="2:7">
      <c r="B304" s="25" t="str">
        <f>IF(C304="","","PID-"&amp;TEXT(ROW()-2,"0000"))</f>
        <v/>
      </c>
      <c r="C304" s="25"/>
      <c r="D304" s="25"/>
      <c r="E304" s="255"/>
      <c r="F304" s="25"/>
      <c r="G304" s="25"/>
    </row>
    <row r="305" spans="2:7">
      <c r="B305" s="25" t="str">
        <f>IF(C305="","","PID-"&amp;TEXT(ROW()-2,"0000"))</f>
        <v/>
      </c>
      <c r="C305" s="25"/>
      <c r="D305" s="25"/>
      <c r="E305" s="255"/>
      <c r="F305" s="25"/>
      <c r="G305" s="25"/>
    </row>
    <row r="306" spans="2:7">
      <c r="B306" s="25" t="str">
        <f>IF(C306="","","PID-"&amp;TEXT(ROW()-2,"0000"))</f>
        <v/>
      </c>
      <c r="C306" s="25"/>
      <c r="D306" s="25"/>
      <c r="E306" s="255"/>
      <c r="F306" s="25"/>
      <c r="G306" s="25"/>
    </row>
    <row r="307" spans="2:7">
      <c r="B307" s="25" t="str">
        <f>IF(C307="","","PID-"&amp;TEXT(ROW()-2,"0000"))</f>
        <v/>
      </c>
      <c r="C307" s="25"/>
      <c r="D307" s="25"/>
      <c r="E307" s="255"/>
      <c r="F307" s="25"/>
      <c r="G307" s="25"/>
    </row>
    <row r="308" spans="2:7">
      <c r="B308" s="25" t="str">
        <f>IF(C308="","","PID-"&amp;TEXT(ROW()-2,"0000"))</f>
        <v/>
      </c>
      <c r="C308" s="25"/>
      <c r="D308" s="25"/>
      <c r="E308" s="255"/>
      <c r="F308" s="25"/>
      <c r="G308" s="25"/>
    </row>
    <row r="309" spans="2:7">
      <c r="B309" s="25" t="str">
        <f>IF(C309="","","PID-"&amp;TEXT(ROW()-2,"0000"))</f>
        <v/>
      </c>
      <c r="C309" s="25"/>
      <c r="D309" s="25"/>
      <c r="E309" s="255"/>
      <c r="F309" s="25"/>
      <c r="G309" s="25"/>
    </row>
    <row r="310" spans="2:7">
      <c r="B310" s="25" t="str">
        <f>IF(C310="","","PID-"&amp;TEXT(ROW()-2,"0000"))</f>
        <v/>
      </c>
      <c r="C310" s="25"/>
      <c r="D310" s="25"/>
      <c r="E310" s="255"/>
      <c r="F310" s="25"/>
      <c r="G310" s="25"/>
    </row>
    <row r="311" spans="2:7">
      <c r="B311" s="25" t="str">
        <f>IF(C311="","","PID-"&amp;TEXT(ROW()-2,"0000"))</f>
        <v/>
      </c>
      <c r="C311" s="25"/>
      <c r="D311" s="25"/>
      <c r="E311" s="255"/>
      <c r="F311" s="25"/>
      <c r="G311" s="25"/>
    </row>
    <row r="312" spans="2:7">
      <c r="B312" s="25" t="str">
        <f>IF(C312="","","PID-"&amp;TEXT(ROW()-2,"0000"))</f>
        <v/>
      </c>
      <c r="C312" s="25"/>
      <c r="D312" s="25"/>
      <c r="E312" s="255"/>
      <c r="F312" s="25"/>
      <c r="G312" s="25"/>
    </row>
    <row r="313" spans="2:7">
      <c r="B313" s="25" t="str">
        <f>IF(C313="","","PID-"&amp;TEXT(ROW()-2,"0000"))</f>
        <v/>
      </c>
      <c r="C313" s="25"/>
      <c r="D313" s="25"/>
      <c r="E313" s="255"/>
      <c r="F313" s="25"/>
      <c r="G313" s="25"/>
    </row>
    <row r="314" spans="2:7">
      <c r="B314" s="25" t="str">
        <f>IF(C314="","","PID-"&amp;TEXT(ROW()-2,"0000"))</f>
        <v/>
      </c>
      <c r="C314" s="25"/>
      <c r="D314" s="25"/>
      <c r="E314" s="255"/>
      <c r="F314" s="25"/>
      <c r="G314" s="25"/>
    </row>
    <row r="315" spans="2:7">
      <c r="B315" s="25" t="str">
        <f>IF(C315="","","PID-"&amp;TEXT(ROW()-2,"0000"))</f>
        <v/>
      </c>
      <c r="C315" s="25"/>
      <c r="D315" s="25"/>
      <c r="E315" s="255"/>
      <c r="F315" s="25"/>
      <c r="G315" s="25"/>
    </row>
    <row r="316" spans="2:7">
      <c r="B316" s="25" t="str">
        <f>IF(C316="","","PID-"&amp;TEXT(ROW()-2,"0000"))</f>
        <v/>
      </c>
      <c r="C316" s="25"/>
      <c r="D316" s="25"/>
      <c r="E316" s="255"/>
      <c r="F316" s="25"/>
      <c r="G316" s="25"/>
    </row>
    <row r="317" spans="2:7">
      <c r="B317" s="25" t="str">
        <f>IF(C317="","","PID-"&amp;TEXT(ROW()-2,"0000"))</f>
        <v/>
      </c>
      <c r="C317" s="25"/>
      <c r="D317" s="25"/>
      <c r="E317" s="255"/>
      <c r="F317" s="25"/>
      <c r="G317" s="25"/>
    </row>
    <row r="318" spans="2:7">
      <c r="B318" s="25" t="str">
        <f>IF(C318="","","PID-"&amp;TEXT(ROW()-2,"0000"))</f>
        <v/>
      </c>
      <c r="C318" s="25"/>
      <c r="D318" s="25"/>
      <c r="E318" s="255"/>
      <c r="F318" s="25"/>
      <c r="G318" s="25"/>
    </row>
    <row r="319" spans="2:7">
      <c r="B319" s="25" t="str">
        <f>IF(C319="","","PID-"&amp;TEXT(ROW()-2,"0000"))</f>
        <v/>
      </c>
      <c r="C319" s="25"/>
      <c r="D319" s="25"/>
      <c r="E319" s="255"/>
      <c r="F319" s="25"/>
      <c r="G319" s="25"/>
    </row>
  </sheetData>
  <mergeCells count="12">
    <mergeCell ref="A134:A145"/>
    <mergeCell ref="A2:A13"/>
    <mergeCell ref="A14:A25"/>
    <mergeCell ref="A26:A37"/>
    <mergeCell ref="A38:A49"/>
    <mergeCell ref="A50:A61"/>
    <mergeCell ref="A62:A73"/>
    <mergeCell ref="A74:A84"/>
    <mergeCell ref="A86:A97"/>
    <mergeCell ref="A98:A109"/>
    <mergeCell ref="A110:A121"/>
    <mergeCell ref="A122:A133"/>
  </mergeCells>
  <conditionalFormatting sqref="D152:E319 E2 E4 E18 E20 E22 E29 E37 E39 E47 E61 E63 E65 E67 E69 E71 E87 E89 E91 E93 E95 E97 E99 E101 E103 E105 E107 E109 E111 E113 E115 E117 E119 E121 E123 E125 E127 E129 E131 E133 E135 E137 E139 D26 E49 E75 E77 E79 E81:E82 E41 E85 E73 BC33 E33">
    <cfRule type="expression" dxfId="58" priority="8">
      <formula>AND($C2&lt;&gt;"",D2="")</formula>
    </cfRule>
  </conditionalFormatting>
  <conditionalFormatting sqref="I26">
    <cfRule type="expression" dxfId="57" priority="7">
      <formula>AND($C26&lt;&gt;"",I26="")</formula>
    </cfRule>
  </conditionalFormatting>
  <conditionalFormatting sqref="E43">
    <cfRule type="expression" dxfId="56" priority="6">
      <formula>AND($C43&lt;&gt;"",E43="")</formula>
    </cfRule>
  </conditionalFormatting>
  <conditionalFormatting sqref="E45">
    <cfRule type="expression" dxfId="55" priority="5">
      <formula>AND($C45&lt;&gt;"",E45="")</formula>
    </cfRule>
  </conditionalFormatting>
  <conditionalFormatting sqref="I31">
    <cfRule type="expression" dxfId="54" priority="4">
      <formula>AND($C31&lt;&gt;"",I31="")</formula>
    </cfRule>
  </conditionalFormatting>
  <conditionalFormatting sqref="BD33">
    <cfRule type="expression" dxfId="53" priority="3">
      <formula>AND($C35&lt;&gt;"",BD33="")</formula>
    </cfRule>
  </conditionalFormatting>
  <conditionalFormatting sqref="I14">
    <cfRule type="expression" dxfId="52" priority="2">
      <formula>AND($C14&lt;&gt;"",I14="")</formula>
    </cfRule>
  </conditionalFormatting>
  <conditionalFormatting sqref="I21">
    <cfRule type="expression" dxfId="51" priority="1">
      <formula>AND($C21&lt;&gt;"",I21="")</formula>
    </cfRule>
  </conditionalFormatting>
  <conditionalFormatting sqref="C152:C319">
    <cfRule type="expression" dxfId="50" priority="581">
      <formula>AND(C152&lt;&gt;"",COUNTIF($C$2:$C$319,C152)&gt;1)</formula>
    </cfRule>
    <cfRule type="expression" dxfId="49" priority="582">
      <formula>AND($C152&lt;&gt;"",C152="")</formula>
    </cfRule>
  </conditionalFormatting>
  <conditionalFormatting sqref="F141 F152:F319">
    <cfRule type="expression" dxfId="48" priority="583">
      <formula>AND(F141&lt;&gt;"",COUNTIF($F$2:$F$319,F141)&gt;1)</formula>
    </cfRule>
    <cfRule type="expression" dxfId="47" priority="584">
      <formula>AND(C141&lt;&gt;"",F141="")</formula>
    </cfRule>
  </conditionalFormatting>
  <dataValidations count="1">
    <dataValidation type="whole" allowBlank="1" errorTitle="Invalid year" error="Enter a year between 2014 and 2030." promptTitle="Publication Year" prompt="Enter the publication year (numeric)." sqref="D152:D319" xr:uid="{FB9C4A26-AC61-4399-9C6C-DF366D74CA71}">
      <formula1>2014</formula1>
      <formula2>2030</formula2>
    </dataValidation>
  </dataValidations>
  <hyperlinks>
    <hyperlink ref="B49" r:id="rId1" xr:uid="{3CB48BB3-C391-42D7-AC05-ECA0136D0414}"/>
    <hyperlink ref="F61" r:id="rId2" xr:uid="{C32B4FA0-9F8E-40D0-A87C-6D1BB8E73969}"/>
    <hyperlink ref="B50" r:id="rId3" xr:uid="{F08B2245-1DB0-4BA1-8D8E-5B7BB8737D01}"/>
    <hyperlink ref="B51" r:id="rId4" xr:uid="{F991B732-A45C-41E2-9DF4-2084A989D1E8}"/>
    <hyperlink ref="F49" r:id="rId5" xr:uid="{6538D8B7-3E27-45E8-B3BD-544073FD3FBD}"/>
    <hyperlink ref="F50" r:id="rId6" xr:uid="{E29482CD-3BB9-436A-84BF-A414EDB65C54}"/>
    <hyperlink ref="F51" r:id="rId7" xr:uid="{F4504F0E-AB0C-41B7-8224-32474F4A034A}"/>
    <hyperlink ref="F52" r:id="rId8" xr:uid="{E3A1BFCE-17ED-495B-AB9F-52ED8DEEDF8F}"/>
    <hyperlink ref="B52" r:id="rId9" xr:uid="{EC456715-CDD9-452B-9FEB-1A15CF9E7128}"/>
    <hyperlink ref="F73" r:id="rId10" xr:uid="{10D21C99-FA20-40FA-8031-D456B3E47AE5}"/>
    <hyperlink ref="F53" r:id="rId11" xr:uid="{63BA6AD8-A8F3-47C4-8C7F-C4246284BC8F}"/>
    <hyperlink ref="B53" r:id="rId12" xr:uid="{C783C535-4F75-4818-9DAE-9D288E778103}"/>
    <hyperlink ref="F54" r:id="rId13" xr:uid="{3B3109AD-95E2-492E-A687-13037035E25A}"/>
    <hyperlink ref="B54" r:id="rId14" xr:uid="{C00DC433-7621-425F-B13E-38CEF96EBC64}"/>
    <hyperlink ref="F26" r:id="rId15" xr:uid="{6EBD1F88-A0D0-41BD-A88D-9832A9BD23E9}"/>
    <hyperlink ref="F55" r:id="rId16" xr:uid="{29FB1D85-25F5-4A35-B48F-B68DF69CC70C}"/>
    <hyperlink ref="B55" r:id="rId17" display="10.1177/10711813251360704" xr:uid="{D739F751-5B8C-44D2-8E10-BC68E57BA913}"/>
    <hyperlink ref="F74" r:id="rId18" xr:uid="{1F6DC273-9570-4781-92F1-B0CCF7893D46}"/>
    <hyperlink ref="F56" r:id="rId19" xr:uid="{7F60089E-0F9E-49BC-B20A-C5A4367F2AE3}"/>
    <hyperlink ref="F57" r:id="rId20" xr:uid="{C33CD9BA-8188-4702-957D-8B7E4048AD8A}"/>
    <hyperlink ref="B57" r:id="rId21" xr:uid="{39B63C5C-769C-44BF-8D25-7ECBC32B2D38}"/>
    <hyperlink ref="B37" r:id="rId22" xr:uid="{E1DD78D3-F248-424F-9679-C749C99F7269}"/>
    <hyperlink ref="B58" r:id="rId23" xr:uid="{290E4BE9-5D80-4C60-8CAE-C2D41CB63D2C}"/>
    <hyperlink ref="F58" r:id="rId24" xr:uid="{E6CDE44D-37A1-4C17-ABC9-6A13D3BDCBFE}"/>
    <hyperlink ref="F59" r:id="rId25" xr:uid="{C2D13515-E3FD-416D-B2C4-4F73151D56AB}"/>
    <hyperlink ref="F37" r:id="rId26" xr:uid="{82547ECE-2B40-4D13-ABF6-A84E48C5BB9D}"/>
    <hyperlink ref="B59" r:id="rId27" xr:uid="{B7983FAE-2B5D-4915-ADF2-913ED943F387}"/>
    <hyperlink ref="B60" r:id="rId28" xr:uid="{A86FD892-9B12-4691-B27B-880BC438C0CF}"/>
    <hyperlink ref="F60" r:id="rId29" xr:uid="{2DAB901D-9DDC-4919-B33E-4100BA52DE1F}"/>
    <hyperlink ref="F75" r:id="rId30" xr:uid="{2B82A6CA-E9E7-4E2D-B094-AF40A7652F3C}"/>
    <hyperlink ref="F76" r:id="rId31" xr:uid="{79EB298A-D74F-43F6-BE03-D05116F4F2A5}"/>
    <hyperlink ref="F77" r:id="rId32" xr:uid="{E5A25324-9F04-4BB9-A9EA-A483CCB23FD4}"/>
    <hyperlink ref="F78" r:id="rId33" xr:uid="{487F46FB-C2A6-4CC3-8CD4-AB2EF8752538}"/>
    <hyperlink ref="D62" r:id="rId34" display="10.1016/j.neubiorev.2007.05.010" xr:uid="{D7A92319-184C-43F4-B290-9A1269F62007}"/>
    <hyperlink ref="F62" r:id="rId35" xr:uid="{B0C0F4E2-E25C-4689-83A1-55048CFD4076}"/>
    <hyperlink ref="F63" r:id="rId36" xr:uid="{B75D1697-E781-45E4-B945-711FBEAEDB90}"/>
    <hyperlink ref="F79" r:id="rId37" xr:uid="{96F6BD3D-863F-40C9-A093-B0840DB642F0}"/>
    <hyperlink ref="B38" r:id="rId38" xr:uid="{B9B7B63A-A4ED-48DE-87C0-CD1315011076}"/>
    <hyperlink ref="F38" r:id="rId39" xr:uid="{70082A8B-E11F-4DAF-A2E4-AEA3AE66E818}"/>
    <hyperlink ref="F64" r:id="rId40" xr:uid="{EB9DB794-9B07-4DD2-9DA7-179F8B347567}"/>
    <hyperlink ref="F80" r:id="rId41" xr:uid="{4755755F-B7AD-4780-A881-3729956B47A4}"/>
    <hyperlink ref="F81" r:id="rId42" xr:uid="{F7EF88DF-B0C8-4AAC-B255-F41C1F91FD96}"/>
    <hyperlink ref="B67" r:id="rId43" xr:uid="{F2985CE7-A4CB-4308-9CED-733490E9B826}"/>
    <hyperlink ref="F67" r:id="rId44" xr:uid="{9995D493-C003-4519-82CA-51245DB59AB8}"/>
    <hyperlink ref="B39" r:id="rId45" xr:uid="{B51A75AF-051B-4B06-9557-290D87C599DE}"/>
    <hyperlink ref="F39" r:id="rId46" xr:uid="{4E3EFE85-A701-418B-B393-BD03FFD8E9CD}"/>
    <hyperlink ref="B131" r:id="rId47" xr:uid="{3D355F0D-3C3D-4044-80C0-EE50A8CB05D4}"/>
    <hyperlink ref="F40" r:id="rId48" xr:uid="{54609F6F-62F9-4473-9232-1BC3D8A3C4D3}"/>
    <hyperlink ref="F131" r:id="rId49" xr:uid="{C750E261-24C8-4665-883A-2283EBD7320C}"/>
    <hyperlink ref="F133" r:id="rId50" xr:uid="{78C66C41-406D-4413-AC5F-97C95AFB6E94}"/>
    <hyperlink ref="F134" r:id="rId51" xr:uid="{2C385F03-D6CA-4682-BB99-88F969A4E483}"/>
    <hyperlink ref="B135" r:id="rId52" xr:uid="{A6A14C21-59D7-4BBC-BA60-5087E0BC503C}"/>
    <hyperlink ref="F135" r:id="rId53" xr:uid="{DD7EE448-B77F-4AFF-B2E7-1CECD7A3FF0F}"/>
    <hyperlink ref="F136" r:id="rId54" xr:uid="{1273F994-0583-4C94-92FD-953C5D104C09}"/>
    <hyperlink ref="F82" r:id="rId55" xr:uid="{BD62A36A-92B2-4813-B42E-2A2F8332B19A}"/>
    <hyperlink ref="F41" r:id="rId56" xr:uid="{024770F2-347A-4831-908F-408DFB5ABB5C}"/>
    <hyperlink ref="F2" r:id="rId57" xr:uid="{B82335A4-B38A-4460-8363-FCAE38845570}"/>
    <hyperlink ref="B3" r:id="rId58" xr:uid="{FA27AB51-A99D-4F71-9E0A-CD38D5C27EB4}"/>
    <hyperlink ref="F3" r:id="rId59" xr:uid="{10080D5C-DED1-44F3-85EA-CDFB712EEE7A}"/>
    <hyperlink ref="B4" r:id="rId60" xr:uid="{55F7E1FE-F673-46CD-A925-7842A634F47F}"/>
    <hyperlink ref="F4" r:id="rId61" xr:uid="{F00679D2-35A2-4315-BFE2-A3AAF544FB83}"/>
    <hyperlink ref="B5" r:id="rId62" xr:uid="{B4C15C9A-348F-4B9B-89D5-C2DAF5E59254}"/>
    <hyperlink ref="F5" r:id="rId63" xr:uid="{2F0E40DB-5AA0-4205-B228-48B68F2876FF}"/>
    <hyperlink ref="F29" r:id="rId64" xr:uid="{11BCFA37-B4BA-4A61-86EB-C20277FB1B3B}"/>
    <hyperlink ref="F31" r:id="rId65" xr:uid="{BED14D48-CE0C-4131-AE61-49CEB9A96578}"/>
    <hyperlink ref="F19" r:id="rId66" xr:uid="{F76093A5-C192-4CE1-8129-C5D4E0117B78}"/>
    <hyperlink ref="B20" r:id="rId67" xr:uid="{273F7653-5E51-4791-9B4C-02E0178F30FB}"/>
    <hyperlink ref="F20" r:id="rId68" xr:uid="{34419CA9-96DC-4769-B138-3F573413164E}"/>
    <hyperlink ref="B22" r:id="rId69" xr:uid="{A0276F72-82B6-43B4-872B-D87B2AE7BAD9}"/>
    <hyperlink ref="F22" r:id="rId70" xr:uid="{9B65307C-0366-4057-A4B2-CB3EE54F342B}"/>
    <hyperlink ref="F28" r:id="rId71" xr:uid="{99457B07-1385-4CFC-8E9E-5854E998F7F8}"/>
    <hyperlink ref="F23" r:id="rId72" xr:uid="{E371807F-02E5-4591-B72D-91FB2486ED9A}"/>
    <hyperlink ref="B42" r:id="rId73" xr:uid="{F9E96840-C265-4CE9-9935-AC7373123A49}"/>
    <hyperlink ref="F42" r:id="rId74" xr:uid="{48600F01-CC6A-4382-B37E-84B44F17487D}"/>
    <hyperlink ref="F43" r:id="rId75" xr:uid="{C9EDE35F-F83F-4182-A217-3B23C8FFD51E}"/>
    <hyperlink ref="B44" r:id="rId76" xr:uid="{DDB9A436-4BEC-47BF-8636-7315750DC3D0}"/>
    <hyperlink ref="F44" r:id="rId77" xr:uid="{5CEA9091-18B6-4330-BA2A-7066368061CB}"/>
    <hyperlink ref="B45" r:id="rId78" xr:uid="{2B2D5B8C-31F7-447A-B1A9-26DECEB8955D}"/>
    <hyperlink ref="F45" r:id="rId79" xr:uid="{A7298AB3-58E0-44AD-A2B5-A29D8F18CE58}"/>
    <hyperlink ref="F83" r:id="rId80" xr:uid="{0C0E6B22-96E4-48EB-92DE-3A9E6D90BBDE}"/>
    <hyperlink ref="B109" r:id="rId81" xr:uid="{37AFF512-E775-4F65-BCDC-F48C3EF55BA2}"/>
    <hyperlink ref="B120" r:id="rId82" xr:uid="{01430FE1-667D-4F46-981D-A0C5A13B0D08}"/>
    <hyperlink ref="F120" r:id="rId83" xr:uid="{B3DD741A-7A78-498A-9634-A185E54BBA9F}"/>
    <hyperlink ref="B85" r:id="rId84" xr:uid="{20B7B743-F179-43AA-B2D4-5ECA68F871A1}"/>
    <hyperlink ref="F85" r:id="rId85" xr:uid="{2646D47D-8522-4252-8840-ED0D22465FCA}"/>
    <hyperlink ref="B86" r:id="rId86" xr:uid="{844F4693-98CC-4234-BDEB-94690D24E8EA}"/>
    <hyperlink ref="F86" r:id="rId87" xr:uid="{9B871221-3D28-48C7-813F-A601B536BC7F}"/>
    <hyperlink ref="F87" r:id="rId88" xr:uid="{32243BFD-7A0C-4FD3-A650-FBB77A8DE7F6}"/>
    <hyperlink ref="F88" r:id="rId89" xr:uid="{175FA756-3A4F-4DC3-8EDB-484F1FBFD7A9}"/>
    <hyperlink ref="F89" r:id="rId90" xr:uid="{6EE9F783-2150-4A16-AB0C-040B5D1FB0DD}"/>
    <hyperlink ref="B46" r:id="rId91" xr:uid="{3604EBB6-2AA0-4E0C-A545-B760B127D37D}"/>
    <hyperlink ref="B47" r:id="rId92" xr:uid="{B2460362-A8E0-4ED1-96CA-518A21B8D4CD}"/>
    <hyperlink ref="F47" r:id="rId93" xr:uid="{594A6BA6-898B-49C0-AE0B-46BFEA15EF8D}"/>
    <hyperlink ref="B48" r:id="rId94" xr:uid="{DBCE0026-ABEC-4778-86CC-C6BE45A47E39}"/>
    <hyperlink ref="F48" r:id="rId95" xr:uid="{BE81287E-132E-4D63-B05A-9F6E912C1D93}"/>
    <hyperlink ref="F14" r:id="rId96" xr:uid="{A0DC0364-623B-4AA7-9A28-D895EFCEE16D}"/>
    <hyperlink ref="B32" r:id="rId97" display="https://doi.org/10.1007/s11042-022-12577-w" xr:uid="{04C1550B-4A1E-4B30-8E0E-2AE528401539}"/>
    <hyperlink ref="F32" r:id="rId98" xr:uid="{8BFC8956-075C-44AB-9A8C-23D11B05B9B7}"/>
    <hyperlink ref="F33" r:id="rId99" xr:uid="{A40EB51E-EA71-4D7F-9A4F-C1C44307D6C8}"/>
    <hyperlink ref="F34" r:id="rId100" xr:uid="{D718414A-E900-47F4-A8BC-DBBAAFB38BB1}"/>
    <hyperlink ref="F36" r:id="rId101" xr:uid="{764804B0-D0E5-4585-BD6B-44768852FB64}"/>
    <hyperlink ref="F21" r:id="rId102" xr:uid="{47F46C66-D889-46BE-A92B-0481353088AA}"/>
    <hyperlink ref="B18" r:id="rId103" xr:uid="{4F28FF43-098B-4B0B-83EA-076C7525D18B}"/>
    <hyperlink ref="F18" r:id="rId104" xr:uid="{D1BB44E5-3251-44E2-9D1D-E3F09F8E5C3E}"/>
    <hyperlink ref="F98" r:id="rId105" xr:uid="{726FD062-C304-4AB7-91D1-3990DFE1D990}"/>
    <hyperlink ref="B98" r:id="rId106" xr:uid="{C926F71B-48C2-433F-95FC-9311B5A118CA}"/>
    <hyperlink ref="B99" r:id="rId107" xr:uid="{8B1F3824-9BDD-405C-BE19-42B8527ABBAB}"/>
    <hyperlink ref="F99" r:id="rId108" xr:uid="{E6C1036A-4752-4FB1-A8EE-ED3B3CBCD55A}"/>
    <hyperlink ref="F100" r:id="rId109" xr:uid="{25AA89B3-C11A-45E5-85D1-AEBC43C0E570}"/>
    <hyperlink ref="F101" r:id="rId110" xr:uid="{60EFA244-2891-4A98-9498-541E1C4D4914}"/>
    <hyperlink ref="F15" r:id="rId111" xr:uid="{B3C93E46-983E-44F1-94C4-6891D78CEDFE}"/>
    <hyperlink ref="B110" r:id="rId112" xr:uid="{7710BC17-F3C1-4EBA-B72E-261E6F9E0943}"/>
    <hyperlink ref="F110" r:id="rId113" xr:uid="{CFCF324A-0A06-4B53-97D9-AEFB5E2444D0}"/>
    <hyperlink ref="B111" r:id="rId114" xr:uid="{1DC63008-DBDD-46B5-BCF2-FFB1F1A917DB}"/>
    <hyperlink ref="F111" r:id="rId115" location="Sec12" xr:uid="{C64AA38E-EA0B-4BFC-8642-6DE6D69AE709}"/>
    <hyperlink ref="B112" r:id="rId116" xr:uid="{D7BD2721-C872-46AE-A89B-F4EA98CC53A0}"/>
    <hyperlink ref="F112" r:id="rId117" location="Abs1" xr:uid="{50BFC88D-801B-4503-A2B0-4097589B9060}"/>
    <hyperlink ref="B6" r:id="rId118" display="https://journals.sagepub.com/doi/10.1177/0145482X19842491" xr:uid="{E77F4A8F-8B66-4DB3-950E-556A5E2E4086}"/>
    <hyperlink ref="B7" r:id="rId119" display="https://pdfs.semanticscholar.org/9dc6/62fe1c66d32fd96ad040285a9ec3af56c912.pdf/1000" xr:uid="{446B36DA-9AB8-45A5-BAE2-02DBC74273E4}"/>
    <hyperlink ref="B8" r:id="rId120" display="https://ojs.aaai.org/index.php/AAAI/article/view/25233?utm_source=chatgpt.com" xr:uid="{B1FE5B42-5237-47AC-AED0-C769CB072802}"/>
    <hyperlink ref="B9" r:id="rId121" display="https://ieeexplore.ieee.org/document/6611022" xr:uid="{DC341E4A-3FA2-446E-85F0-40C45BEF8E19}"/>
    <hyperlink ref="B10" r:id="rId122" display="https://ecasp.ece.iit.edu/publications/2012-present/2021-10.pdf" xr:uid="{AAB17AC7-048D-43CC-B848-FB15B1D98233}"/>
    <hyperlink ref="B11" r:id="rId123" display="https://arxiv.org/abs/2108.09174" xr:uid="{AD80C3B2-957B-4C6E-82A8-2DEF72282F60}"/>
    <hyperlink ref="B12" r:id="rId124" display="https://arxiv.org/abs/2201.03036" xr:uid="{F177C833-479A-4F64-803A-D70CBC162C9D}"/>
    <hyperlink ref="B13" r:id="rId125" display="https://arxiv.org/abs/2201.04453like " xr:uid="{B23BB0C6-D0E6-45B9-AB20-47105D45FFBF}"/>
    <hyperlink ref="F6" r:id="rId126" xr:uid="{273785FB-9D86-4966-85FF-47B01EC00D6E}"/>
    <hyperlink ref="F7" r:id="rId127" xr:uid="{B74255BD-A834-404C-A332-47E04C4AF895}"/>
    <hyperlink ref="F8" r:id="rId128" xr:uid="{C19B0AC1-C6DA-48CF-AD89-7952EC3E567F}"/>
    <hyperlink ref="F9" r:id="rId129" xr:uid="{60E2292C-6301-449D-B6FC-E12CF131E4F6}"/>
    <hyperlink ref="F10" r:id="rId130" xr:uid="{D6484C35-2786-4DAB-BD96-B4A1F613F271}"/>
    <hyperlink ref="F11" r:id="rId131" xr:uid="{41AE53CD-512F-45C2-AD2F-3D64C5FB66EE}"/>
    <hyperlink ref="B113" r:id="rId132" xr:uid="{DE969E7C-8FA3-4ED3-954B-02EBE9B619D2}"/>
    <hyperlink ref="F13" r:id="rId133" xr:uid="{58B48365-4AC3-4A9B-9D8F-1D7BFE9B5A6C}"/>
    <hyperlink ref="F113" r:id="rId134" location="Abs1" xr:uid="{FCFDFD71-BB72-41F5-BD9C-5DD8B0D7D19B}"/>
    <hyperlink ref="F12" r:id="rId135" xr:uid="{885D84FA-1628-4B17-8DC4-94FCDC436A2D}"/>
    <hyperlink ref="F114" r:id="rId136" location="Abs1" xr:uid="{E1B203B8-D247-4201-BBCB-B86534D3D753}"/>
    <hyperlink ref="F115" r:id="rId137" location="Abs1" xr:uid="{F8AA4E73-B8AA-46F9-B0CB-14AD11C1346F}"/>
    <hyperlink ref="B114" r:id="rId138" xr:uid="{286A171A-C93C-48CC-BE8A-BA2122925286}"/>
    <hyperlink ref="B116" r:id="rId139" xr:uid="{CCF845CE-798A-4DD6-87A4-30AFC40382E0}"/>
    <hyperlink ref="B117" r:id="rId140" xr:uid="{8BF5115A-AEAB-4004-B546-58F58E37A9B7}"/>
    <hyperlink ref="F117" r:id="rId141" location="Abs1" xr:uid="{FDBDCCD9-9E8E-41B3-BCBC-A9E8AA973BF9}"/>
    <hyperlink ref="B118" r:id="rId142" xr:uid="{D9EFEFE8-960A-4C72-B6BC-E950882BF3CE}"/>
    <hyperlink ref="F118" r:id="rId143" location="Abs1" xr:uid="{06B16AED-1EB9-4557-A46D-D5265A6FF20A}"/>
  </hyperlinks>
  <pageMargins left="0.75" right="0.75" top="1" bottom="1" header="0.511811023622047" footer="0.511811023622047"/>
  <pageSetup paperSize="9" orientation="portrait" horizontalDpi="300" verticalDpi="300"/>
  <tableParts count="1">
    <tablePart r:id="rId144"/>
  </tableParts>
  <extLst>
    <ext xmlns:x14="http://schemas.microsoft.com/office/spreadsheetml/2009/9/main" uri="{CCE6A557-97BC-4b89-ADB6-D9C93CAAB3DF}">
      <x14:dataValidations xmlns:xm="http://schemas.microsoft.com/office/excel/2006/main" count="1">
        <x14:dataValidation type="list" allowBlank="1" errorTitle="Invalid entry" error="Please choose a value from the dropdown list." promptTitle="Publisher" prompt="Select the publisher." xr:uid="{21572576-9FCE-4BD7-8ECB-850573D7DA73}">
          <x14:formula1>
            <xm:f>Lists!$B$2:$B$11</xm:f>
          </x14:formula1>
          <x14:formula2>
            <xm:f>0</xm:f>
          </x14:formula2>
          <xm:sqref>E139 E2 E4 E137 E135 E133 E131 E14 E16 E18 E20 E22 E85 E26 E119 E29 E31 BC33 E35 E37 E39 E41 E43 E45 E47 E49 E121 E123 E125 E127 E129 E61 E63 E65 E67 E69 E71 E74 E76 E78 E80 E82 E152:E319 E87 E89 E91 E93 E95 E97 E99 E101 E103 E105 E107 E109 E111 E113 E115 E117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44E25-6946-4ECA-A3AF-28B810175AF5}">
  <sheetPr>
    <tabColor rgb="FF003C71"/>
  </sheetPr>
  <dimension ref="A1:BD319"/>
  <sheetViews>
    <sheetView zoomScaleNormal="100" workbookViewId="0">
      <pane xSplit="1" topLeftCell="B20" activePane="topRight" state="frozen"/>
      <selection pane="topRight" activeCell="B27" sqref="B27"/>
      <selection activeCell="A3" sqref="A3"/>
    </sheetView>
  </sheetViews>
  <sheetFormatPr defaultColWidth="13.42578125" defaultRowHeight="15"/>
  <cols>
    <col min="1" max="1" width="5" customWidth="1"/>
    <col min="2" max="2" width="33.28515625" customWidth="1"/>
    <col min="3" max="3" width="122.28515625" bestFit="1" customWidth="1"/>
    <col min="4" max="4" width="21.5703125" customWidth="1"/>
    <col min="5" max="5" width="17" style="33" bestFit="1" customWidth="1"/>
    <col min="6" max="6" width="78" bestFit="1" customWidth="1"/>
    <col min="7" max="7" width="44.140625" bestFit="1" customWidth="1"/>
    <col min="8" max="8" width="23.140625" customWidth="1"/>
    <col min="9" max="9" width="133" bestFit="1" customWidth="1"/>
    <col min="10" max="10" width="99.140625" bestFit="1" customWidth="1"/>
    <col min="11" max="11" width="221.7109375" bestFit="1" customWidth="1"/>
    <col min="12" max="12" width="99.140625" customWidth="1"/>
    <col min="13" max="13" width="15" customWidth="1"/>
    <col min="14" max="14" width="18" customWidth="1"/>
  </cols>
  <sheetData>
    <row r="1" spans="1:13">
      <c r="B1" s="38" t="s">
        <v>0</v>
      </c>
      <c r="C1" s="38" t="s">
        <v>1</v>
      </c>
      <c r="D1" s="38" t="s">
        <v>2</v>
      </c>
      <c r="E1" s="38" t="s">
        <v>3</v>
      </c>
      <c r="F1" s="38" t="s">
        <v>4</v>
      </c>
      <c r="G1" s="38" t="s">
        <v>5</v>
      </c>
      <c r="H1" s="38" t="s">
        <v>6</v>
      </c>
      <c r="I1" s="38" t="s">
        <v>7</v>
      </c>
      <c r="J1" s="38" t="s">
        <v>8</v>
      </c>
      <c r="K1" s="38" t="s">
        <v>9</v>
      </c>
      <c r="L1" s="38" t="s">
        <v>10</v>
      </c>
      <c r="M1" s="38" t="s">
        <v>11</v>
      </c>
    </row>
    <row r="2" spans="1:13" ht="144">
      <c r="A2" s="354" t="s">
        <v>15</v>
      </c>
      <c r="B2" t="s">
        <v>16</v>
      </c>
      <c r="C2" s="200" t="s">
        <v>17</v>
      </c>
      <c r="D2" s="77">
        <v>2025</v>
      </c>
      <c r="E2" s="132" t="s">
        <v>18</v>
      </c>
      <c r="F2" s="201" t="s">
        <v>19</v>
      </c>
      <c r="G2" s="215" t="s">
        <v>20</v>
      </c>
      <c r="H2" s="105" t="s">
        <v>21</v>
      </c>
      <c r="I2" s="36"/>
      <c r="J2" s="207" t="s">
        <v>22</v>
      </c>
      <c r="K2" s="207" t="s">
        <v>23</v>
      </c>
      <c r="L2" s="207"/>
      <c r="M2" s="207"/>
    </row>
    <row r="3" spans="1:13" ht="86.25">
      <c r="A3" s="354"/>
      <c r="B3" s="191" t="s">
        <v>26</v>
      </c>
      <c r="C3" s="202" t="s">
        <v>27</v>
      </c>
      <c r="D3" s="97">
        <v>2025</v>
      </c>
      <c r="E3" s="97" t="s">
        <v>18</v>
      </c>
      <c r="F3" s="127" t="s">
        <v>28</v>
      </c>
      <c r="G3" s="158" t="s">
        <v>29</v>
      </c>
      <c r="H3" s="105" t="s">
        <v>21</v>
      </c>
      <c r="I3" s="35"/>
      <c r="J3" s="208" t="s">
        <v>30</v>
      </c>
      <c r="K3" s="208" t="s">
        <v>31</v>
      </c>
      <c r="L3" s="208"/>
      <c r="M3" s="208"/>
    </row>
    <row r="4" spans="1:13" ht="86.25">
      <c r="A4" s="354"/>
      <c r="B4" s="190" t="s">
        <v>32</v>
      </c>
      <c r="C4" s="139" t="s">
        <v>33</v>
      </c>
      <c r="D4" s="77">
        <v>2021</v>
      </c>
      <c r="E4" s="77" t="s">
        <v>18</v>
      </c>
      <c r="F4" s="112" t="s">
        <v>34</v>
      </c>
      <c r="G4" s="164" t="s">
        <v>35</v>
      </c>
      <c r="H4" s="105" t="s">
        <v>21</v>
      </c>
      <c r="J4" s="209" t="s">
        <v>36</v>
      </c>
      <c r="K4" s="210" t="s">
        <v>37</v>
      </c>
      <c r="L4" s="210"/>
      <c r="M4" s="209"/>
    </row>
    <row r="5" spans="1:13" ht="86.25">
      <c r="A5" s="354"/>
      <c r="B5" s="191" t="s">
        <v>38</v>
      </c>
      <c r="C5" s="158" t="s">
        <v>39</v>
      </c>
      <c r="D5" s="97">
        <v>2024</v>
      </c>
      <c r="E5" s="97" t="s">
        <v>18</v>
      </c>
      <c r="F5" s="127" t="s">
        <v>40</v>
      </c>
      <c r="G5" s="158" t="s">
        <v>41</v>
      </c>
      <c r="H5" s="105" t="s">
        <v>21</v>
      </c>
      <c r="I5" s="35"/>
      <c r="J5" s="208" t="s">
        <v>42</v>
      </c>
      <c r="K5" s="208" t="s">
        <v>43</v>
      </c>
      <c r="L5" s="208"/>
      <c r="M5" s="208"/>
    </row>
    <row r="6" spans="1:13" ht="86.25">
      <c r="A6" s="354"/>
      <c r="B6" s="190" t="s">
        <v>44</v>
      </c>
      <c r="C6" s="33" t="s">
        <v>45</v>
      </c>
      <c r="D6" s="77">
        <v>2019</v>
      </c>
      <c r="E6" s="33" t="s">
        <v>46</v>
      </c>
      <c r="F6" s="112" t="s">
        <v>47</v>
      </c>
      <c r="G6" s="164" t="s">
        <v>48</v>
      </c>
      <c r="H6" s="198" t="s">
        <v>21</v>
      </c>
      <c r="J6" s="209" t="s">
        <v>49</v>
      </c>
      <c r="K6" s="210" t="s">
        <v>50</v>
      </c>
      <c r="L6" s="210"/>
      <c r="M6" s="209"/>
    </row>
    <row r="7" spans="1:13" ht="16.5" customHeight="1">
      <c r="A7" s="354"/>
      <c r="B7" s="191" t="s">
        <v>51</v>
      </c>
      <c r="C7" s="33" t="s">
        <v>52</v>
      </c>
      <c r="D7" s="97">
        <v>2018</v>
      </c>
      <c r="E7" s="189" t="s">
        <v>53</v>
      </c>
      <c r="F7" s="127" t="s">
        <v>54</v>
      </c>
      <c r="G7" s="97"/>
      <c r="H7" s="104" t="s">
        <v>55</v>
      </c>
      <c r="I7" s="199" t="s">
        <v>56</v>
      </c>
      <c r="J7" s="211"/>
      <c r="K7" s="211"/>
      <c r="L7" s="211"/>
      <c r="M7" s="211"/>
    </row>
    <row r="8" spans="1:13" ht="16.5" customHeight="1">
      <c r="A8" s="354"/>
      <c r="B8" s="190" t="s">
        <v>57</v>
      </c>
      <c r="C8" s="33" t="s">
        <v>58</v>
      </c>
      <c r="D8" s="77">
        <v>2023</v>
      </c>
      <c r="E8" s="189" t="s">
        <v>59</v>
      </c>
      <c r="F8" s="112" t="s">
        <v>60</v>
      </c>
      <c r="G8" s="165"/>
      <c r="H8" s="104" t="s">
        <v>55</v>
      </c>
      <c r="I8" s="33" t="s">
        <v>61</v>
      </c>
      <c r="J8" s="209"/>
      <c r="K8" s="209"/>
      <c r="L8" s="209"/>
      <c r="M8" s="209"/>
    </row>
    <row r="9" spans="1:13" ht="16.5" customHeight="1">
      <c r="A9" s="354"/>
      <c r="B9" s="194" t="s">
        <v>62</v>
      </c>
      <c r="C9" s="204" t="s">
        <v>63</v>
      </c>
      <c r="D9" s="195">
        <v>2013</v>
      </c>
      <c r="E9" s="196" t="s">
        <v>64</v>
      </c>
      <c r="F9" s="127" t="s">
        <v>65</v>
      </c>
      <c r="G9" s="158"/>
      <c r="H9" s="104" t="s">
        <v>55</v>
      </c>
      <c r="I9" s="33" t="s">
        <v>66</v>
      </c>
      <c r="J9" s="211"/>
      <c r="K9" s="211"/>
      <c r="L9" s="211"/>
      <c r="M9" s="211"/>
    </row>
    <row r="10" spans="1:13" ht="159">
      <c r="A10" s="354"/>
      <c r="B10" s="193" t="s">
        <v>67</v>
      </c>
      <c r="C10" s="33" t="s">
        <v>68</v>
      </c>
      <c r="D10" s="77">
        <v>2021</v>
      </c>
      <c r="E10" s="33" t="s">
        <v>64</v>
      </c>
      <c r="F10" s="112" t="s">
        <v>69</v>
      </c>
      <c r="G10" s="164" t="s">
        <v>70</v>
      </c>
      <c r="H10" s="198" t="s">
        <v>21</v>
      </c>
      <c r="I10" s="33"/>
      <c r="J10" s="209" t="s">
        <v>71</v>
      </c>
      <c r="K10" s="210" t="s">
        <v>72</v>
      </c>
      <c r="L10" s="210"/>
      <c r="M10" s="209"/>
    </row>
    <row r="11" spans="1:13" ht="115.5">
      <c r="A11" s="354"/>
      <c r="B11" s="191" t="s">
        <v>73</v>
      </c>
      <c r="C11" s="33" t="s">
        <v>74</v>
      </c>
      <c r="D11" s="97">
        <v>2021</v>
      </c>
      <c r="E11" s="33" t="s">
        <v>75</v>
      </c>
      <c r="F11" s="127" t="s">
        <v>76</v>
      </c>
      <c r="G11" s="158" t="s">
        <v>77</v>
      </c>
      <c r="H11" s="198" t="s">
        <v>21</v>
      </c>
      <c r="I11" s="83"/>
      <c r="J11" s="209" t="s">
        <v>78</v>
      </c>
      <c r="K11" s="208" t="s">
        <v>79</v>
      </c>
      <c r="L11" s="257"/>
      <c r="M11" s="209"/>
    </row>
    <row r="12" spans="1:13" ht="16.5" customHeight="1">
      <c r="A12" s="354"/>
      <c r="B12" s="190" t="s">
        <v>80</v>
      </c>
      <c r="C12" s="33" t="s">
        <v>81</v>
      </c>
      <c r="D12" s="77">
        <v>2022</v>
      </c>
      <c r="E12" s="33" t="s">
        <v>75</v>
      </c>
      <c r="F12" s="205" t="s">
        <v>82</v>
      </c>
      <c r="G12" s="165"/>
      <c r="H12" s="104" t="s">
        <v>55</v>
      </c>
      <c r="I12" s="33" t="s">
        <v>83</v>
      </c>
      <c r="J12" s="209"/>
      <c r="K12" s="209"/>
      <c r="L12" s="209"/>
      <c r="M12" s="209"/>
    </row>
    <row r="13" spans="1:13" ht="115.5">
      <c r="A13" s="354"/>
      <c r="B13" s="192" t="s">
        <v>84</v>
      </c>
      <c r="C13" s="33" t="s">
        <v>85</v>
      </c>
      <c r="D13" s="188">
        <v>2022</v>
      </c>
      <c r="E13" s="33" t="s">
        <v>86</v>
      </c>
      <c r="F13" s="112" t="s">
        <v>87</v>
      </c>
      <c r="G13" s="216" t="s">
        <v>88</v>
      </c>
      <c r="H13" s="198" t="s">
        <v>21</v>
      </c>
      <c r="I13" s="37"/>
      <c r="J13" s="213" t="s">
        <v>89</v>
      </c>
      <c r="K13" s="214" t="s">
        <v>90</v>
      </c>
      <c r="L13" s="261"/>
      <c r="M13" s="213"/>
    </row>
    <row r="14" spans="1:13" ht="45.75" customHeight="1">
      <c r="A14" s="354" t="s">
        <v>91</v>
      </c>
      <c r="B14" s="124" t="s">
        <v>92</v>
      </c>
      <c r="C14" s="139" t="s">
        <v>93</v>
      </c>
      <c r="D14" s="77">
        <v>2025</v>
      </c>
      <c r="E14" s="104" t="s">
        <v>94</v>
      </c>
      <c r="F14" s="125" t="s">
        <v>95</v>
      </c>
      <c r="G14" s="118" t="s">
        <v>96</v>
      </c>
      <c r="H14" s="104" t="s">
        <v>55</v>
      </c>
      <c r="I14" s="77" t="s">
        <v>97</v>
      </c>
      <c r="J14" s="118" t="s">
        <v>96</v>
      </c>
      <c r="K14" s="118" t="s">
        <v>96</v>
      </c>
    </row>
    <row r="15" spans="1:13" ht="45.75">
      <c r="A15" s="355"/>
      <c r="B15" s="126" t="s">
        <v>98</v>
      </c>
      <c r="C15" s="181" t="s">
        <v>99</v>
      </c>
      <c r="D15" s="97">
        <v>2026</v>
      </c>
      <c r="E15" s="240" t="s">
        <v>100</v>
      </c>
      <c r="F15" s="127" t="s">
        <v>101</v>
      </c>
      <c r="G15" s="106"/>
      <c r="H15" s="197" t="s">
        <v>21</v>
      </c>
      <c r="I15" s="35"/>
      <c r="J15" s="35"/>
      <c r="K15" s="35"/>
    </row>
    <row r="16" spans="1:13" ht="15.75" customHeight="1">
      <c r="A16" s="355"/>
      <c r="B16" s="232"/>
      <c r="C16" s="241" t="s">
        <v>628</v>
      </c>
      <c r="D16" s="233"/>
      <c r="E16" s="234"/>
      <c r="F16" s="235"/>
      <c r="G16" s="129"/>
      <c r="H16" s="236" t="s">
        <v>629</v>
      </c>
      <c r="I16" s="34"/>
      <c r="J16" s="34"/>
      <c r="K16" s="34"/>
    </row>
    <row r="17" spans="1:16" ht="16.5" customHeight="1">
      <c r="A17" s="355"/>
      <c r="B17" s="127"/>
      <c r="C17" s="242" t="s">
        <v>109</v>
      </c>
      <c r="D17" s="97">
        <v>2025</v>
      </c>
      <c r="E17" s="149" t="s">
        <v>110</v>
      </c>
      <c r="F17" s="127"/>
      <c r="G17" s="123"/>
      <c r="H17" s="104" t="s">
        <v>55</v>
      </c>
      <c r="I17" s="35"/>
      <c r="J17" s="35"/>
      <c r="K17" s="35"/>
    </row>
    <row r="18" spans="1:16" ht="21" customHeight="1">
      <c r="A18" s="355"/>
      <c r="B18" s="41" t="s">
        <v>111</v>
      </c>
      <c r="C18" s="77" t="s">
        <v>112</v>
      </c>
      <c r="D18" s="77">
        <v>2020</v>
      </c>
      <c r="E18" s="77" t="s">
        <v>64</v>
      </c>
      <c r="F18" s="112" t="s">
        <v>113</v>
      </c>
      <c r="G18" s="130"/>
      <c r="H18" s="105" t="s">
        <v>21</v>
      </c>
      <c r="I18" s="34"/>
      <c r="J18" s="34"/>
      <c r="K18" s="34"/>
    </row>
    <row r="19" spans="1:16" ht="30.75" customHeight="1">
      <c r="A19" s="355"/>
      <c r="B19" s="123" t="s">
        <v>117</v>
      </c>
      <c r="C19" s="181" t="s">
        <v>118</v>
      </c>
      <c r="D19" s="103">
        <v>2023</v>
      </c>
      <c r="E19" s="103" t="s">
        <v>64</v>
      </c>
      <c r="F19" s="127" t="s">
        <v>119</v>
      </c>
      <c r="G19" s="123"/>
      <c r="H19" s="105" t="s">
        <v>21</v>
      </c>
      <c r="I19" s="35"/>
      <c r="J19" s="35"/>
      <c r="K19" s="35"/>
    </row>
    <row r="20" spans="1:16" ht="60.75" customHeight="1">
      <c r="A20" s="355"/>
      <c r="B20" s="128" t="s">
        <v>123</v>
      </c>
      <c r="C20" s="139" t="s">
        <v>124</v>
      </c>
      <c r="D20" s="77">
        <v>2023</v>
      </c>
      <c r="E20" s="77" t="s">
        <v>18</v>
      </c>
      <c r="F20" s="112" t="s">
        <v>125</v>
      </c>
      <c r="G20" s="130"/>
      <c r="H20" s="105" t="s">
        <v>21</v>
      </c>
      <c r="I20" s="34"/>
      <c r="J20" s="34"/>
      <c r="K20" s="34"/>
    </row>
    <row r="21" spans="1:16" ht="43.5">
      <c r="A21" s="355"/>
      <c r="B21" s="131" t="s">
        <v>129</v>
      </c>
      <c r="C21" s="181" t="s">
        <v>130</v>
      </c>
      <c r="D21" s="103">
        <v>2026</v>
      </c>
      <c r="E21" s="104" t="s">
        <v>75</v>
      </c>
      <c r="F21" s="127" t="s">
        <v>131</v>
      </c>
      <c r="G21" s="137" t="s">
        <v>96</v>
      </c>
      <c r="H21" s="104" t="s">
        <v>55</v>
      </c>
      <c r="I21" s="243" t="s">
        <v>132</v>
      </c>
      <c r="J21" s="137" t="s">
        <v>96</v>
      </c>
      <c r="K21" s="137" t="s">
        <v>96</v>
      </c>
    </row>
    <row r="22" spans="1:16" ht="30.75" customHeight="1">
      <c r="A22" s="355"/>
      <c r="B22" s="128" t="s">
        <v>133</v>
      </c>
      <c r="C22" s="139" t="s">
        <v>630</v>
      </c>
      <c r="D22" s="77">
        <v>2023</v>
      </c>
      <c r="E22" s="77" t="s">
        <v>135</v>
      </c>
      <c r="F22" s="112" t="s">
        <v>136</v>
      </c>
      <c r="G22" s="130"/>
      <c r="H22" s="104" t="s">
        <v>631</v>
      </c>
      <c r="I22" s="34"/>
      <c r="J22" s="34"/>
      <c r="K22" s="34"/>
    </row>
    <row r="23" spans="1:16" ht="30.75" customHeight="1">
      <c r="A23" s="355"/>
      <c r="B23" s="127" t="s">
        <v>141</v>
      </c>
      <c r="C23" s="181" t="s">
        <v>632</v>
      </c>
      <c r="D23" s="103">
        <v>2025</v>
      </c>
      <c r="E23" s="103" t="s">
        <v>143</v>
      </c>
      <c r="F23" s="127" t="s">
        <v>144</v>
      </c>
      <c r="G23" s="123"/>
      <c r="H23" s="105" t="s">
        <v>21</v>
      </c>
      <c r="I23" s="35"/>
      <c r="J23" s="35"/>
      <c r="K23" s="35"/>
    </row>
    <row r="24" spans="1:16" ht="16.5" customHeight="1">
      <c r="A24" s="355"/>
      <c r="B24" s="139"/>
      <c r="C24" s="139"/>
      <c r="D24" s="244"/>
      <c r="E24" s="180"/>
      <c r="F24" s="180"/>
      <c r="G24" s="180"/>
      <c r="H24" s="180"/>
      <c r="I24" s="180"/>
      <c r="J24" s="180"/>
      <c r="K24" s="180"/>
    </row>
    <row r="25" spans="1:16" s="185" customFormat="1" ht="16.5" customHeight="1">
      <c r="A25" s="356"/>
      <c r="B25" s="182"/>
      <c r="C25" s="245"/>
      <c r="D25" s="182"/>
      <c r="E25" s="182"/>
      <c r="F25" s="182"/>
      <c r="G25" s="182"/>
      <c r="H25" s="183" t="s">
        <v>55</v>
      </c>
      <c r="I25" s="184"/>
      <c r="J25" s="184"/>
      <c r="K25" s="184"/>
      <c r="L25"/>
      <c r="M25"/>
    </row>
    <row r="26" spans="1:16" ht="16.5" customHeight="1">
      <c r="A26" s="354" t="s">
        <v>159</v>
      </c>
      <c r="B26" s="104" t="s">
        <v>160</v>
      </c>
      <c r="C26" s="77" t="s">
        <v>161</v>
      </c>
      <c r="D26" s="77">
        <v>2021</v>
      </c>
      <c r="E26" s="104" t="s">
        <v>162</v>
      </c>
      <c r="F26" s="186" t="s">
        <v>163</v>
      </c>
      <c r="G26" s="118" t="s">
        <v>96</v>
      </c>
      <c r="H26" s="104" t="s">
        <v>55</v>
      </c>
      <c r="I26" s="77" t="s">
        <v>164</v>
      </c>
      <c r="J26" s="118" t="s">
        <v>96</v>
      </c>
      <c r="K26" s="118" t="s">
        <v>96</v>
      </c>
      <c r="N26" s="56"/>
      <c r="O26" s="56"/>
      <c r="P26" s="56"/>
    </row>
    <row r="27" spans="1:16" ht="72">
      <c r="A27" s="355"/>
      <c r="B27" s="282" t="s">
        <v>165</v>
      </c>
      <c r="C27" s="181" t="s">
        <v>166</v>
      </c>
      <c r="D27" s="104">
        <v>2004</v>
      </c>
      <c r="E27" s="181" t="s">
        <v>100</v>
      </c>
      <c r="F27" s="273" t="s">
        <v>167</v>
      </c>
      <c r="G27" s="361" t="s">
        <v>168</v>
      </c>
      <c r="H27" s="105" t="s">
        <v>21</v>
      </c>
      <c r="I27" s="106" t="s">
        <v>169</v>
      </c>
      <c r="J27" s="103" t="s">
        <v>170</v>
      </c>
      <c r="K27" s="102" t="s">
        <v>171</v>
      </c>
      <c r="N27" s="56"/>
      <c r="O27" s="56"/>
      <c r="P27" s="56"/>
    </row>
    <row r="28" spans="1:16" ht="101.25">
      <c r="A28" s="355"/>
      <c r="B28" s="125" t="s">
        <v>172</v>
      </c>
      <c r="C28" s="140" t="s">
        <v>173</v>
      </c>
      <c r="D28" s="140">
        <v>2024</v>
      </c>
      <c r="E28" s="140" t="s">
        <v>18</v>
      </c>
      <c r="F28" s="141" t="s">
        <v>174</v>
      </c>
      <c r="G28" s="142" t="s">
        <v>175</v>
      </c>
      <c r="H28" s="105" t="s">
        <v>21</v>
      </c>
      <c r="I28" s="143" t="s">
        <v>176</v>
      </c>
      <c r="J28" s="140" t="s">
        <v>177</v>
      </c>
      <c r="K28" s="142" t="s">
        <v>178</v>
      </c>
      <c r="N28" s="56"/>
      <c r="O28" s="56"/>
      <c r="P28" s="56"/>
    </row>
    <row r="29" spans="1:16" ht="115.5">
      <c r="A29" s="355"/>
      <c r="B29" s="144" t="s">
        <v>179</v>
      </c>
      <c r="C29" s="243" t="s">
        <v>180</v>
      </c>
      <c r="D29" s="243">
        <v>2021</v>
      </c>
      <c r="E29" s="243" t="s">
        <v>64</v>
      </c>
      <c r="F29" s="145" t="s">
        <v>181</v>
      </c>
      <c r="G29" s="135" t="s">
        <v>182</v>
      </c>
      <c r="H29" s="146" t="s">
        <v>183</v>
      </c>
      <c r="I29" s="147" t="s">
        <v>184</v>
      </c>
      <c r="J29" s="135" t="s">
        <v>185</v>
      </c>
      <c r="K29" s="148" t="s">
        <v>186</v>
      </c>
      <c r="N29" s="56"/>
      <c r="O29" s="56"/>
      <c r="P29" s="56"/>
    </row>
    <row r="30" spans="1:16" ht="26.25" customHeight="1">
      <c r="A30" s="355"/>
      <c r="B30" s="113"/>
      <c r="C30" s="114" t="s">
        <v>187</v>
      </c>
      <c r="D30" s="113"/>
      <c r="E30" s="113"/>
      <c r="F30" s="113"/>
      <c r="G30" s="113"/>
      <c r="H30" s="104" t="s">
        <v>55</v>
      </c>
      <c r="I30" s="113"/>
      <c r="J30" s="104"/>
      <c r="K30" s="104"/>
      <c r="N30" s="56"/>
      <c r="O30" s="56"/>
      <c r="P30" s="56"/>
    </row>
    <row r="31" spans="1:16" ht="16.5" customHeight="1">
      <c r="A31" s="355"/>
      <c r="B31" s="118" t="s">
        <v>96</v>
      </c>
      <c r="C31" s="118" t="s">
        <v>96</v>
      </c>
      <c r="D31" s="118" t="s">
        <v>96</v>
      </c>
      <c r="E31" s="115" t="s">
        <v>94</v>
      </c>
      <c r="F31" s="78" t="s">
        <v>188</v>
      </c>
      <c r="G31" s="118" t="s">
        <v>96</v>
      </c>
      <c r="H31" s="104" t="s">
        <v>55</v>
      </c>
      <c r="I31" s="77" t="s">
        <v>189</v>
      </c>
      <c r="J31" s="118" t="s">
        <v>96</v>
      </c>
      <c r="K31" s="118" t="s">
        <v>96</v>
      </c>
      <c r="N31" s="56"/>
      <c r="O31" s="56"/>
      <c r="P31" s="56"/>
    </row>
    <row r="32" spans="1:16" ht="129.75">
      <c r="A32" s="355"/>
      <c r="B32" s="127" t="s">
        <v>141</v>
      </c>
      <c r="C32" s="103" t="s">
        <v>190</v>
      </c>
      <c r="D32" s="103">
        <v>2025</v>
      </c>
      <c r="E32" s="103" t="s">
        <v>143</v>
      </c>
      <c r="F32" s="81" t="s">
        <v>191</v>
      </c>
      <c r="G32" s="102" t="s">
        <v>192</v>
      </c>
      <c r="H32" s="105" t="s">
        <v>153</v>
      </c>
      <c r="I32" s="106" t="s">
        <v>193</v>
      </c>
      <c r="J32" s="102" t="s">
        <v>194</v>
      </c>
      <c r="K32" s="102" t="s">
        <v>195</v>
      </c>
      <c r="N32" s="56"/>
      <c r="O32" s="56"/>
      <c r="P32" s="56"/>
    </row>
    <row r="33" spans="1:56" ht="159">
      <c r="A33" s="355"/>
      <c r="B33" s="125" t="s">
        <v>196</v>
      </c>
      <c r="C33" s="139" t="s">
        <v>197</v>
      </c>
      <c r="D33" s="77">
        <v>2023</v>
      </c>
      <c r="E33" s="77" t="s">
        <v>198</v>
      </c>
      <c r="F33" s="78" t="s">
        <v>199</v>
      </c>
      <c r="G33" s="111" t="s">
        <v>200</v>
      </c>
      <c r="H33" s="105" t="s">
        <v>153</v>
      </c>
      <c r="I33" s="129" t="s">
        <v>201</v>
      </c>
      <c r="J33" s="110" t="s">
        <v>202</v>
      </c>
      <c r="K33" s="110" t="s">
        <v>203</v>
      </c>
      <c r="N33" s="56"/>
      <c r="O33" s="56"/>
      <c r="P33" s="56"/>
      <c r="BC33" s="246"/>
      <c r="BD33" s="246"/>
    </row>
    <row r="34" spans="1:56" ht="115.5">
      <c r="A34" s="355"/>
      <c r="B34" s="127" t="s">
        <v>204</v>
      </c>
      <c r="C34" s="106" t="s">
        <v>205</v>
      </c>
      <c r="D34" s="103">
        <v>2023</v>
      </c>
      <c r="E34" s="103" t="s">
        <v>18</v>
      </c>
      <c r="F34" s="81" t="s">
        <v>125</v>
      </c>
      <c r="G34" s="102" t="s">
        <v>206</v>
      </c>
      <c r="H34" s="105" t="s">
        <v>153</v>
      </c>
      <c r="I34" s="106" t="s">
        <v>207</v>
      </c>
      <c r="J34" s="103"/>
      <c r="K34" s="106" t="s">
        <v>208</v>
      </c>
      <c r="N34" s="56"/>
      <c r="O34" s="56"/>
      <c r="P34" s="56"/>
    </row>
    <row r="35" spans="1:56" ht="25.5" customHeight="1">
      <c r="A35" s="355"/>
      <c r="B35" s="125" t="s">
        <v>209</v>
      </c>
      <c r="C35" s="77" t="s">
        <v>210</v>
      </c>
      <c r="D35" s="77">
        <v>2023</v>
      </c>
      <c r="E35" s="155" t="s">
        <v>150</v>
      </c>
      <c r="F35" s="118"/>
      <c r="G35" s="118"/>
      <c r="H35" s="105" t="s">
        <v>153</v>
      </c>
      <c r="J35" s="118" t="s">
        <v>96</v>
      </c>
      <c r="K35" s="118" t="s">
        <v>96</v>
      </c>
      <c r="N35" s="56"/>
      <c r="O35" s="56"/>
      <c r="P35" s="56"/>
    </row>
    <row r="36" spans="1:56" ht="129.75">
      <c r="A36" s="355"/>
      <c r="B36" s="127" t="s">
        <v>211</v>
      </c>
      <c r="C36" s="106" t="s">
        <v>212</v>
      </c>
      <c r="D36" s="103">
        <v>2026</v>
      </c>
      <c r="E36" s="103" t="s">
        <v>100</v>
      </c>
      <c r="F36" s="81" t="s">
        <v>151</v>
      </c>
      <c r="G36" s="102" t="s">
        <v>213</v>
      </c>
      <c r="H36" s="105" t="s">
        <v>153</v>
      </c>
      <c r="I36" s="106" t="s">
        <v>214</v>
      </c>
      <c r="J36" s="106" t="s">
        <v>215</v>
      </c>
      <c r="K36" s="106" t="s">
        <v>216</v>
      </c>
      <c r="N36" s="56"/>
      <c r="O36" s="56"/>
      <c r="P36" s="56"/>
    </row>
    <row r="37" spans="1:56" ht="159">
      <c r="A37" s="356"/>
      <c r="B37" s="125" t="s">
        <v>217</v>
      </c>
      <c r="C37" s="43" t="s">
        <v>218</v>
      </c>
      <c r="D37" s="77">
        <v>2020</v>
      </c>
      <c r="E37" s="77" t="s">
        <v>18</v>
      </c>
      <c r="F37" s="78" t="s">
        <v>219</v>
      </c>
      <c r="G37" s="49" t="s">
        <v>220</v>
      </c>
      <c r="H37" s="75" t="s">
        <v>221</v>
      </c>
      <c r="I37" s="49" t="s">
        <v>222</v>
      </c>
      <c r="J37" s="49" t="s">
        <v>223</v>
      </c>
      <c r="K37" s="49" t="s">
        <v>224</v>
      </c>
      <c r="N37" s="56"/>
      <c r="O37" s="56"/>
      <c r="P37" s="56"/>
    </row>
    <row r="38" spans="1:56" s="56" customFormat="1" ht="96" customHeight="1">
      <c r="A38" s="353" t="s">
        <v>225</v>
      </c>
      <c r="B38" s="50" t="s">
        <v>226</v>
      </c>
      <c r="C38" s="99" t="s">
        <v>227</v>
      </c>
      <c r="D38" s="97">
        <v>2023</v>
      </c>
      <c r="E38" s="97" t="s">
        <v>18</v>
      </c>
      <c r="F38" s="81" t="s">
        <v>228</v>
      </c>
      <c r="G38" s="96" t="s">
        <v>229</v>
      </c>
      <c r="H38" s="75" t="s">
        <v>221</v>
      </c>
      <c r="I38" s="94" t="s">
        <v>230</v>
      </c>
      <c r="J38" s="96" t="s">
        <v>231</v>
      </c>
      <c r="K38" s="96" t="s">
        <v>232</v>
      </c>
      <c r="L38"/>
      <c r="M38"/>
    </row>
    <row r="39" spans="1:56" s="56" customFormat="1" ht="141" customHeight="1">
      <c r="A39" s="353"/>
      <c r="B39" s="55" t="s">
        <v>233</v>
      </c>
      <c r="C39" s="43" t="s">
        <v>234</v>
      </c>
      <c r="D39" s="104">
        <v>2010</v>
      </c>
      <c r="E39" s="77" t="s">
        <v>64</v>
      </c>
      <c r="F39" s="78" t="s">
        <v>233</v>
      </c>
      <c r="G39" s="95" t="s">
        <v>235</v>
      </c>
      <c r="H39" s="93" t="s">
        <v>55</v>
      </c>
      <c r="I39" s="49" t="s">
        <v>236</v>
      </c>
      <c r="J39" s="95" t="s">
        <v>235</v>
      </c>
      <c r="K39" s="95" t="s">
        <v>235</v>
      </c>
      <c r="L39"/>
      <c r="M39"/>
    </row>
    <row r="40" spans="1:56" s="56" customFormat="1" ht="87.75" customHeight="1">
      <c r="A40" s="353"/>
      <c r="B40" s="82" t="s">
        <v>237</v>
      </c>
      <c r="C40" s="98" t="s">
        <v>238</v>
      </c>
      <c r="D40" s="97">
        <v>2021</v>
      </c>
      <c r="E40" s="97" t="s">
        <v>239</v>
      </c>
      <c r="F40" s="81" t="s">
        <v>240</v>
      </c>
      <c r="G40" s="96" t="s">
        <v>241</v>
      </c>
      <c r="H40" s="75" t="s">
        <v>221</v>
      </c>
      <c r="I40" s="94" t="s">
        <v>242</v>
      </c>
      <c r="J40" s="96" t="s">
        <v>243</v>
      </c>
      <c r="K40" s="96" t="s">
        <v>244</v>
      </c>
      <c r="L40"/>
      <c r="M40"/>
    </row>
    <row r="41" spans="1:56" ht="81" customHeight="1">
      <c r="A41" s="353"/>
      <c r="B41" s="55" t="s">
        <v>245</v>
      </c>
      <c r="C41" s="40" t="s">
        <v>246</v>
      </c>
      <c r="D41" s="77">
        <v>2023</v>
      </c>
      <c r="E41" s="77" t="s">
        <v>135</v>
      </c>
      <c r="F41" s="112" t="s">
        <v>247</v>
      </c>
      <c r="G41" s="95" t="s">
        <v>248</v>
      </c>
      <c r="H41" s="75" t="s">
        <v>221</v>
      </c>
      <c r="I41" s="169" t="s">
        <v>249</v>
      </c>
      <c r="J41" s="170" t="s">
        <v>250</v>
      </c>
      <c r="K41" s="170" t="s">
        <v>251</v>
      </c>
    </row>
    <row r="42" spans="1:56" ht="73.5" customHeight="1">
      <c r="A42" s="353"/>
      <c r="B42" s="81" t="s">
        <v>252</v>
      </c>
      <c r="C42" s="98" t="s">
        <v>253</v>
      </c>
      <c r="D42" s="97">
        <v>2026</v>
      </c>
      <c r="E42" s="97" t="s">
        <v>100</v>
      </c>
      <c r="F42" s="81" t="s">
        <v>254</v>
      </c>
      <c r="G42" s="96" t="s">
        <v>255</v>
      </c>
      <c r="H42" s="75" t="s">
        <v>221</v>
      </c>
      <c r="I42" s="94" t="s">
        <v>256</v>
      </c>
      <c r="J42" s="99" t="s">
        <v>257</v>
      </c>
      <c r="K42" s="99" t="s">
        <v>258</v>
      </c>
    </row>
    <row r="43" spans="1:56" ht="84.75" customHeight="1">
      <c r="A43" s="353"/>
      <c r="B43" s="55" t="s">
        <v>259</v>
      </c>
      <c r="C43" s="40" t="s">
        <v>260</v>
      </c>
      <c r="D43" s="77">
        <v>2023</v>
      </c>
      <c r="E43" s="77" t="s">
        <v>135</v>
      </c>
      <c r="F43" s="112" t="s">
        <v>261</v>
      </c>
      <c r="G43" s="95" t="s">
        <v>262</v>
      </c>
      <c r="H43" s="75" t="s">
        <v>221</v>
      </c>
      <c r="I43" s="169" t="s">
        <v>263</v>
      </c>
      <c r="J43" s="170" t="s">
        <v>264</v>
      </c>
      <c r="K43" s="170" t="s">
        <v>265</v>
      </c>
    </row>
    <row r="44" spans="1:56" ht="78" customHeight="1">
      <c r="A44" s="353"/>
      <c r="B44" s="47" t="s">
        <v>266</v>
      </c>
      <c r="C44" s="98" t="s">
        <v>267</v>
      </c>
      <c r="D44" s="97">
        <v>2023</v>
      </c>
      <c r="E44" s="97" t="s">
        <v>135</v>
      </c>
      <c r="F44" s="47" t="s">
        <v>268</v>
      </c>
      <c r="G44" s="96" t="s">
        <v>269</v>
      </c>
      <c r="H44" s="75" t="s">
        <v>221</v>
      </c>
      <c r="I44" s="94" t="s">
        <v>270</v>
      </c>
      <c r="J44" s="99" t="s">
        <v>271</v>
      </c>
      <c r="K44" s="99" t="s">
        <v>272</v>
      </c>
    </row>
    <row r="45" spans="1:56" ht="77.25" customHeight="1">
      <c r="A45" s="353"/>
      <c r="B45" s="41" t="s">
        <v>273</v>
      </c>
      <c r="C45" s="40" t="s">
        <v>274</v>
      </c>
      <c r="D45" s="77">
        <v>2025</v>
      </c>
      <c r="E45" s="77" t="s">
        <v>64</v>
      </c>
      <c r="F45" s="45" t="s">
        <v>275</v>
      </c>
      <c r="G45" s="52" t="s">
        <v>276</v>
      </c>
      <c r="H45" s="75" t="s">
        <v>221</v>
      </c>
      <c r="I45" s="171" t="s">
        <v>277</v>
      </c>
      <c r="J45" s="170" t="s">
        <v>278</v>
      </c>
      <c r="K45" s="171" t="s">
        <v>279</v>
      </c>
    </row>
    <row r="46" spans="1:56" ht="89.25" customHeight="1">
      <c r="A46" s="353"/>
      <c r="B46" s="47" t="s">
        <v>280</v>
      </c>
      <c r="C46" s="98" t="s">
        <v>281</v>
      </c>
      <c r="D46" s="172">
        <v>2024</v>
      </c>
      <c r="E46" s="172" t="s">
        <v>162</v>
      </c>
      <c r="F46" s="35"/>
      <c r="G46" s="35"/>
      <c r="H46" s="93" t="s">
        <v>282</v>
      </c>
      <c r="I46" s="122" t="s">
        <v>283</v>
      </c>
      <c r="J46" s="35"/>
      <c r="K46" s="35"/>
    </row>
    <row r="47" spans="1:56" ht="96.75" customHeight="1">
      <c r="A47" s="353"/>
      <c r="B47" s="41" t="s">
        <v>284</v>
      </c>
      <c r="C47" t="s">
        <v>285</v>
      </c>
      <c r="D47" s="104">
        <v>2019</v>
      </c>
      <c r="E47" s="33" t="s">
        <v>18</v>
      </c>
      <c r="F47" s="45" t="s">
        <v>286</v>
      </c>
      <c r="G47" s="34"/>
      <c r="H47" s="93" t="s">
        <v>282</v>
      </c>
      <c r="I47" s="171" t="s">
        <v>287</v>
      </c>
      <c r="J47" s="34"/>
      <c r="K47" s="34"/>
    </row>
    <row r="48" spans="1:56" ht="68.25" customHeight="1">
      <c r="A48" s="353"/>
      <c r="B48" s="47" t="s">
        <v>288</v>
      </c>
      <c r="C48" s="98" t="s">
        <v>289</v>
      </c>
      <c r="D48" s="104">
        <v>2014</v>
      </c>
      <c r="E48" s="104" t="s">
        <v>290</v>
      </c>
      <c r="F48" s="47" t="s">
        <v>291</v>
      </c>
      <c r="G48" s="35"/>
      <c r="H48" s="93" t="s">
        <v>282</v>
      </c>
      <c r="I48" s="122" t="s">
        <v>292</v>
      </c>
      <c r="J48" s="35"/>
      <c r="K48" s="35"/>
    </row>
    <row r="49" spans="1:11" ht="93" customHeight="1">
      <c r="A49" s="353"/>
      <c r="B49" s="55" t="s">
        <v>280</v>
      </c>
      <c r="C49" s="43" t="s">
        <v>281</v>
      </c>
      <c r="D49" s="77">
        <v>2024</v>
      </c>
      <c r="E49" s="77" t="s">
        <v>143</v>
      </c>
      <c r="F49" s="78" t="s">
        <v>293</v>
      </c>
      <c r="G49" s="118"/>
      <c r="H49" s="75" t="s">
        <v>221</v>
      </c>
      <c r="I49" s="117" t="s">
        <v>294</v>
      </c>
      <c r="J49" s="52" t="s">
        <v>295</v>
      </c>
      <c r="K49" s="52" t="s">
        <v>296</v>
      </c>
    </row>
    <row r="50" spans="1:11" ht="168.75" customHeight="1">
      <c r="A50" s="357" t="s">
        <v>297</v>
      </c>
      <c r="B50" s="59" t="s">
        <v>284</v>
      </c>
      <c r="C50" s="46" t="s">
        <v>285</v>
      </c>
      <c r="D50" s="72">
        <v>2019</v>
      </c>
      <c r="E50" s="84" t="s">
        <v>18</v>
      </c>
      <c r="F50" s="61" t="s">
        <v>286</v>
      </c>
      <c r="G50" s="119" t="s">
        <v>96</v>
      </c>
      <c r="H50" s="72" t="s">
        <v>55</v>
      </c>
      <c r="I50" s="247" t="s">
        <v>298</v>
      </c>
      <c r="J50" s="119" t="s">
        <v>96</v>
      </c>
      <c r="K50" s="119" t="s">
        <v>96</v>
      </c>
    </row>
    <row r="51" spans="1:11" ht="66" customHeight="1">
      <c r="A51" s="357"/>
      <c r="B51" s="57" t="s">
        <v>299</v>
      </c>
      <c r="C51" s="51" t="s">
        <v>300</v>
      </c>
      <c r="D51" s="73">
        <v>2014</v>
      </c>
      <c r="E51" s="85" t="s">
        <v>301</v>
      </c>
      <c r="F51" s="58" t="s">
        <v>291</v>
      </c>
      <c r="G51" s="118" t="s">
        <v>96</v>
      </c>
      <c r="H51" s="72" t="s">
        <v>55</v>
      </c>
      <c r="I51" s="49" t="s">
        <v>302</v>
      </c>
      <c r="J51" s="118" t="s">
        <v>96</v>
      </c>
      <c r="K51" s="118" t="s">
        <v>96</v>
      </c>
    </row>
    <row r="52" spans="1:11" ht="30.75">
      <c r="A52" s="357"/>
      <c r="B52" s="59" t="s">
        <v>303</v>
      </c>
      <c r="C52" s="362" t="s">
        <v>304</v>
      </c>
      <c r="D52" s="60">
        <v>2023</v>
      </c>
      <c r="E52" s="84" t="s">
        <v>198</v>
      </c>
      <c r="F52" s="59" t="s">
        <v>305</v>
      </c>
      <c r="G52" s="119" t="s">
        <v>96</v>
      </c>
      <c r="H52" s="72" t="s">
        <v>55</v>
      </c>
      <c r="I52" s="120" t="s">
        <v>633</v>
      </c>
      <c r="J52" s="119" t="s">
        <v>96</v>
      </c>
      <c r="K52" s="119" t="s">
        <v>96</v>
      </c>
    </row>
    <row r="53" spans="1:11" ht="73.5" customHeight="1">
      <c r="A53" s="357"/>
      <c r="B53" s="63" t="s">
        <v>310</v>
      </c>
      <c r="C53" s="53" t="s">
        <v>311</v>
      </c>
      <c r="D53" s="62">
        <v>2022</v>
      </c>
      <c r="E53" s="86" t="s">
        <v>64</v>
      </c>
      <c r="F53" s="57" t="s">
        <v>312</v>
      </c>
      <c r="G53" s="118" t="s">
        <v>96</v>
      </c>
      <c r="H53" s="72" t="s">
        <v>55</v>
      </c>
      <c r="I53" s="43" t="s">
        <v>634</v>
      </c>
      <c r="J53" s="118" t="s">
        <v>96</v>
      </c>
      <c r="K53" s="118" t="s">
        <v>96</v>
      </c>
    </row>
    <row r="54" spans="1:11" ht="91.5">
      <c r="A54" s="357"/>
      <c r="B54" s="59" t="s">
        <v>314</v>
      </c>
      <c r="C54" s="54" t="s">
        <v>315</v>
      </c>
      <c r="D54" s="71" t="s">
        <v>316</v>
      </c>
      <c r="E54" s="84" t="s">
        <v>64</v>
      </c>
      <c r="F54" s="59" t="s">
        <v>317</v>
      </c>
      <c r="G54" s="48"/>
      <c r="H54" s="75" t="s">
        <v>221</v>
      </c>
      <c r="I54" s="121" t="s">
        <v>635</v>
      </c>
      <c r="J54" s="121" t="s">
        <v>320</v>
      </c>
      <c r="K54" s="121" t="s">
        <v>321</v>
      </c>
    </row>
    <row r="55" spans="1:11" ht="57.75" customHeight="1">
      <c r="A55" s="357"/>
      <c r="B55" s="57" t="s">
        <v>322</v>
      </c>
      <c r="C55" s="363" t="s">
        <v>323</v>
      </c>
      <c r="D55" s="62">
        <v>2025</v>
      </c>
      <c r="E55" s="86" t="s">
        <v>324</v>
      </c>
      <c r="F55" s="57" t="s">
        <v>325</v>
      </c>
      <c r="G55" s="34"/>
      <c r="H55" s="34"/>
      <c r="I55" s="34"/>
      <c r="J55" s="34"/>
      <c r="K55" s="34"/>
    </row>
    <row r="56" spans="1:11" ht="69.75" customHeight="1">
      <c r="A56" s="357"/>
      <c r="B56" s="61" t="s">
        <v>327</v>
      </c>
      <c r="C56" s="46" t="s">
        <v>328</v>
      </c>
      <c r="D56" s="70">
        <v>2008</v>
      </c>
      <c r="E56" s="87" t="s">
        <v>18</v>
      </c>
      <c r="F56" s="59" t="s">
        <v>329</v>
      </c>
      <c r="G56" s="48"/>
      <c r="H56" s="35"/>
      <c r="I56" s="35"/>
      <c r="J56" s="35"/>
      <c r="K56" s="35"/>
    </row>
    <row r="57" spans="1:11" ht="59.25" customHeight="1">
      <c r="A57" s="357"/>
      <c r="B57" s="57" t="s">
        <v>331</v>
      </c>
      <c r="C57" s="364" t="s">
        <v>332</v>
      </c>
      <c r="D57" s="64">
        <v>2020</v>
      </c>
      <c r="E57" s="88" t="s">
        <v>198</v>
      </c>
      <c r="F57" s="57" t="s">
        <v>333</v>
      </c>
      <c r="G57" s="34"/>
      <c r="H57" s="34"/>
      <c r="I57" s="34"/>
      <c r="J57" s="34"/>
      <c r="K57" s="34"/>
    </row>
    <row r="58" spans="1:11" ht="45.75" customHeight="1">
      <c r="A58" s="357"/>
      <c r="B58" s="65" t="s">
        <v>335</v>
      </c>
      <c r="C58" s="66" t="s">
        <v>336</v>
      </c>
      <c r="D58" s="67">
        <v>2022</v>
      </c>
      <c r="E58" s="87" t="s">
        <v>143</v>
      </c>
      <c r="F58" s="61" t="s">
        <v>337</v>
      </c>
      <c r="G58" s="35"/>
      <c r="H58" s="35"/>
      <c r="I58" s="35"/>
      <c r="J58" s="35"/>
      <c r="K58" s="35"/>
    </row>
    <row r="59" spans="1:11" ht="66.75" customHeight="1">
      <c r="A59" s="357"/>
      <c r="B59" s="57" t="s">
        <v>342</v>
      </c>
      <c r="C59" s="364" t="s">
        <v>343</v>
      </c>
      <c r="D59" s="365">
        <v>2025</v>
      </c>
      <c r="E59" s="89" t="s">
        <v>94</v>
      </c>
      <c r="F59" s="57" t="s">
        <v>344</v>
      </c>
      <c r="G59" s="118" t="s">
        <v>96</v>
      </c>
      <c r="H59" s="72" t="s">
        <v>55</v>
      </c>
      <c r="I59" s="49" t="s">
        <v>302</v>
      </c>
      <c r="J59" s="118" t="s">
        <v>96</v>
      </c>
      <c r="K59" s="118" t="s">
        <v>96</v>
      </c>
    </row>
    <row r="60" spans="1:11" ht="84.75" customHeight="1">
      <c r="A60" s="357"/>
      <c r="B60" s="68" t="s">
        <v>345</v>
      </c>
      <c r="C60" s="69" t="s">
        <v>346</v>
      </c>
      <c r="D60" s="69">
        <v>2024</v>
      </c>
      <c r="E60" s="90" t="s">
        <v>64</v>
      </c>
      <c r="F60" s="68" t="s">
        <v>347</v>
      </c>
      <c r="G60" s="35"/>
      <c r="H60" s="35"/>
      <c r="I60" s="35"/>
      <c r="J60" s="35"/>
      <c r="K60" s="35"/>
    </row>
    <row r="61" spans="1:11" ht="124.5" customHeight="1">
      <c r="A61" s="357"/>
      <c r="B61" s="57" t="s">
        <v>636</v>
      </c>
      <c r="C61" s="364" t="s">
        <v>637</v>
      </c>
      <c r="D61" s="365">
        <v>2023</v>
      </c>
      <c r="E61" s="33" t="s">
        <v>324</v>
      </c>
      <c r="F61" s="57" t="s">
        <v>638</v>
      </c>
      <c r="G61" s="80" t="s">
        <v>639</v>
      </c>
      <c r="H61" s="75" t="s">
        <v>21</v>
      </c>
      <c r="I61" s="176" t="s">
        <v>640</v>
      </c>
      <c r="J61" s="74" t="s">
        <v>641</v>
      </c>
      <c r="K61" s="74" t="s">
        <v>642</v>
      </c>
    </row>
    <row r="62" spans="1:11" ht="28.5">
      <c r="A62" s="353" t="s">
        <v>352</v>
      </c>
      <c r="B62" s="35" t="s">
        <v>353</v>
      </c>
      <c r="C62" s="98" t="s">
        <v>354</v>
      </c>
      <c r="D62" s="104">
        <v>2007</v>
      </c>
      <c r="E62" s="172" t="s">
        <v>18</v>
      </c>
      <c r="F62" s="47" t="s">
        <v>355</v>
      </c>
      <c r="G62" s="35"/>
      <c r="H62" s="72" t="s">
        <v>55</v>
      </c>
      <c r="I62" s="177"/>
      <c r="J62" s="35"/>
      <c r="K62" s="35"/>
    </row>
    <row r="63" spans="1:11" ht="45.75">
      <c r="A63" s="353"/>
      <c r="B63" s="57" t="s">
        <v>356</v>
      </c>
      <c r="C63" s="173" t="s">
        <v>357</v>
      </c>
      <c r="D63" s="365">
        <v>2024</v>
      </c>
      <c r="E63" s="33" t="s">
        <v>64</v>
      </c>
      <c r="F63" s="45" t="s">
        <v>358</v>
      </c>
      <c r="G63" s="80" t="s">
        <v>359</v>
      </c>
      <c r="H63" s="75" t="s">
        <v>21</v>
      </c>
      <c r="I63" s="176" t="s">
        <v>360</v>
      </c>
      <c r="J63" s="34" t="s">
        <v>361</v>
      </c>
      <c r="K63" s="34" t="s">
        <v>362</v>
      </c>
    </row>
    <row r="64" spans="1:11" ht="57.75">
      <c r="A64" s="353"/>
      <c r="B64" s="35" t="s">
        <v>363</v>
      </c>
      <c r="C64" s="175" t="s">
        <v>364</v>
      </c>
      <c r="D64" s="98" t="s">
        <v>365</v>
      </c>
      <c r="E64" s="172" t="s">
        <v>143</v>
      </c>
      <c r="F64" s="47" t="s">
        <v>366</v>
      </c>
      <c r="G64" s="179" t="s">
        <v>367</v>
      </c>
      <c r="H64" s="75" t="s">
        <v>368</v>
      </c>
      <c r="I64" s="177"/>
      <c r="J64" s="35"/>
      <c r="K64" s="35"/>
    </row>
    <row r="65" spans="1:14" ht="30.75">
      <c r="A65" s="353"/>
      <c r="C65" s="174" t="s">
        <v>369</v>
      </c>
      <c r="D65" s="79">
        <v>45413</v>
      </c>
      <c r="F65" s="34"/>
      <c r="G65" s="34"/>
      <c r="H65" s="72" t="s">
        <v>55</v>
      </c>
      <c r="I65" s="176" t="s">
        <v>370</v>
      </c>
      <c r="J65" s="34"/>
      <c r="K65" s="34"/>
    </row>
    <row r="66" spans="1:14" ht="28.5">
      <c r="A66" s="353"/>
      <c r="B66" s="35"/>
      <c r="C66" s="98" t="s">
        <v>371</v>
      </c>
      <c r="D66" s="178">
        <v>45778</v>
      </c>
      <c r="E66" s="83"/>
      <c r="F66" s="35"/>
      <c r="G66" s="35"/>
      <c r="H66" s="72" t="s">
        <v>55</v>
      </c>
      <c r="I66" s="177" t="s">
        <v>370</v>
      </c>
      <c r="J66" s="35"/>
      <c r="K66" s="35"/>
    </row>
    <row r="67" spans="1:14" ht="30.75">
      <c r="A67" s="353"/>
      <c r="B67" s="41" t="s">
        <v>372</v>
      </c>
      <c r="C67" s="174" t="s">
        <v>373</v>
      </c>
      <c r="D67" s="44">
        <v>45458</v>
      </c>
      <c r="E67" s="33" t="s">
        <v>374</v>
      </c>
      <c r="F67" s="45" t="s">
        <v>375</v>
      </c>
      <c r="G67" s="34"/>
      <c r="H67" s="72" t="s">
        <v>55</v>
      </c>
      <c r="I67" s="176" t="s">
        <v>370</v>
      </c>
      <c r="J67" s="34"/>
      <c r="K67" s="34"/>
    </row>
    <row r="68" spans="1:14" ht="43.5">
      <c r="A68" s="353"/>
      <c r="B68" s="35"/>
      <c r="C68" s="98" t="s">
        <v>376</v>
      </c>
      <c r="D68" s="108">
        <v>40765</v>
      </c>
      <c r="E68" s="172" t="s">
        <v>377</v>
      </c>
      <c r="F68" s="35"/>
      <c r="G68" s="35"/>
      <c r="H68" s="72" t="s">
        <v>55</v>
      </c>
      <c r="I68" s="177" t="s">
        <v>370</v>
      </c>
      <c r="J68" s="35"/>
      <c r="K68" s="35"/>
    </row>
    <row r="69" spans="1:14" ht="16.5">
      <c r="A69" s="353"/>
      <c r="E69" s="33" t="s">
        <v>378</v>
      </c>
      <c r="F69" s="34"/>
      <c r="G69" s="34"/>
      <c r="H69" s="72" t="s">
        <v>55</v>
      </c>
      <c r="I69" s="176" t="s">
        <v>370</v>
      </c>
      <c r="J69" s="34"/>
      <c r="K69" s="34"/>
    </row>
    <row r="70" spans="1:14" ht="16.5">
      <c r="A70" s="353"/>
      <c r="B70" s="35"/>
      <c r="C70" s="35"/>
      <c r="D70" s="35"/>
      <c r="E70" s="83"/>
      <c r="F70" s="35"/>
      <c r="G70" s="35"/>
      <c r="H70" s="72" t="s">
        <v>55</v>
      </c>
      <c r="I70" s="177" t="s">
        <v>370</v>
      </c>
      <c r="J70" s="35"/>
      <c r="K70" s="35"/>
    </row>
    <row r="71" spans="1:14" ht="16.5">
      <c r="A71" s="353"/>
      <c r="F71" s="34"/>
      <c r="G71" s="34"/>
      <c r="H71" s="72" t="s">
        <v>55</v>
      </c>
      <c r="I71" s="176" t="s">
        <v>370</v>
      </c>
      <c r="J71" s="34"/>
      <c r="K71" s="34"/>
    </row>
    <row r="72" spans="1:14" ht="16.5">
      <c r="A72" s="353"/>
      <c r="B72" s="35"/>
      <c r="C72" s="35"/>
      <c r="D72" s="35"/>
      <c r="E72" s="83"/>
      <c r="F72" s="35"/>
      <c r="G72" s="35"/>
      <c r="H72" s="72" t="s">
        <v>55</v>
      </c>
      <c r="I72" s="177" t="s">
        <v>370</v>
      </c>
      <c r="J72" s="35"/>
      <c r="K72" s="35"/>
    </row>
    <row r="73" spans="1:14" ht="43.5">
      <c r="A73" s="353"/>
      <c r="B73" s="55" t="s">
        <v>379</v>
      </c>
      <c r="C73" s="43" t="s">
        <v>380</v>
      </c>
      <c r="D73" s="77">
        <v>2026</v>
      </c>
      <c r="E73" s="77" t="s">
        <v>239</v>
      </c>
      <c r="F73" s="78" t="s">
        <v>381</v>
      </c>
      <c r="G73" s="49" t="s">
        <v>382</v>
      </c>
      <c r="H73" s="75" t="s">
        <v>221</v>
      </c>
      <c r="I73" s="49" t="s">
        <v>383</v>
      </c>
      <c r="J73" s="42" t="s">
        <v>384</v>
      </c>
      <c r="K73" s="35" t="s">
        <v>385</v>
      </c>
    </row>
    <row r="74" spans="1:14" ht="86.25">
      <c r="A74" s="353" t="s">
        <v>386</v>
      </c>
      <c r="B74" s="131" t="s">
        <v>387</v>
      </c>
      <c r="C74" s="158" t="s">
        <v>388</v>
      </c>
      <c r="D74" s="97">
        <v>2025</v>
      </c>
      <c r="E74" s="97" t="s">
        <v>135</v>
      </c>
      <c r="F74" s="127" t="s">
        <v>389</v>
      </c>
      <c r="G74" s="106" t="s">
        <v>390</v>
      </c>
      <c r="H74" s="105" t="s">
        <v>221</v>
      </c>
      <c r="I74" s="106" t="s">
        <v>391</v>
      </c>
      <c r="J74" s="130" t="s">
        <v>392</v>
      </c>
      <c r="K74" s="130" t="s">
        <v>393</v>
      </c>
    </row>
    <row r="75" spans="1:14" ht="72">
      <c r="A75" s="353"/>
      <c r="B75" s="128" t="s">
        <v>394</v>
      </c>
      <c r="C75" s="139" t="s">
        <v>395</v>
      </c>
      <c r="D75" s="77">
        <v>2024</v>
      </c>
      <c r="E75" s="77" t="s">
        <v>135</v>
      </c>
      <c r="F75" s="112" t="s">
        <v>396</v>
      </c>
      <c r="G75" s="95" t="s">
        <v>397</v>
      </c>
      <c r="H75" s="105" t="s">
        <v>221</v>
      </c>
      <c r="I75" s="95" t="s">
        <v>398</v>
      </c>
      <c r="J75" s="123" t="s">
        <v>399</v>
      </c>
      <c r="K75" s="123" t="s">
        <v>400</v>
      </c>
    </row>
    <row r="76" spans="1:14" ht="86.25">
      <c r="A76" s="353"/>
      <c r="B76" s="131" t="s">
        <v>401</v>
      </c>
      <c r="C76" s="158" t="s">
        <v>402</v>
      </c>
      <c r="D76" s="97">
        <v>2023</v>
      </c>
      <c r="E76" s="97" t="s">
        <v>135</v>
      </c>
      <c r="F76" s="127" t="s">
        <v>403</v>
      </c>
      <c r="G76" s="106" t="s">
        <v>404</v>
      </c>
      <c r="H76" s="105" t="s">
        <v>183</v>
      </c>
      <c r="I76" s="106" t="s">
        <v>405</v>
      </c>
      <c r="J76" s="130" t="s">
        <v>406</v>
      </c>
      <c r="K76" s="130" t="s">
        <v>407</v>
      </c>
    </row>
    <row r="77" spans="1:14" ht="57.75">
      <c r="A77" s="353"/>
      <c r="B77" s="128" t="s">
        <v>408</v>
      </c>
      <c r="C77" s="139" t="s">
        <v>409</v>
      </c>
      <c r="D77" s="77">
        <v>2021</v>
      </c>
      <c r="E77" s="77" t="s">
        <v>239</v>
      </c>
      <c r="F77" s="112" t="s">
        <v>410</v>
      </c>
      <c r="G77" s="95" t="s">
        <v>411</v>
      </c>
      <c r="H77" s="105" t="s">
        <v>221</v>
      </c>
      <c r="I77" s="95" t="s">
        <v>412</v>
      </c>
      <c r="J77" s="123" t="s">
        <v>413</v>
      </c>
      <c r="K77" s="123" t="s">
        <v>414</v>
      </c>
      <c r="N77" s="25"/>
    </row>
    <row r="78" spans="1:14" ht="57.75">
      <c r="A78" s="353"/>
      <c r="B78" s="131" t="s">
        <v>415</v>
      </c>
      <c r="C78" s="158" t="s">
        <v>416</v>
      </c>
      <c r="D78" s="97">
        <v>2026</v>
      </c>
      <c r="E78" s="97" t="s">
        <v>135</v>
      </c>
      <c r="F78" s="127" t="s">
        <v>417</v>
      </c>
      <c r="G78" s="106" t="s">
        <v>418</v>
      </c>
      <c r="H78" s="105" t="s">
        <v>221</v>
      </c>
      <c r="I78" s="106" t="s">
        <v>419</v>
      </c>
      <c r="J78" s="130"/>
      <c r="K78" s="130"/>
    </row>
    <row r="79" spans="1:14" ht="60.75" customHeight="1">
      <c r="A79" s="353"/>
      <c r="B79" s="128" t="s">
        <v>420</v>
      </c>
      <c r="C79" s="139" t="s">
        <v>421</v>
      </c>
      <c r="D79" s="77">
        <v>2026</v>
      </c>
      <c r="E79" s="77" t="s">
        <v>135</v>
      </c>
      <c r="F79" s="112" t="s">
        <v>422</v>
      </c>
      <c r="G79" s="95" t="s">
        <v>423</v>
      </c>
      <c r="H79" s="104" t="s">
        <v>424</v>
      </c>
      <c r="I79" s="95"/>
      <c r="J79" s="123"/>
      <c r="K79" s="123"/>
    </row>
    <row r="80" spans="1:14" ht="60.75" customHeight="1">
      <c r="A80" s="353"/>
      <c r="B80" s="131" t="s">
        <v>425</v>
      </c>
      <c r="C80" s="158" t="s">
        <v>426</v>
      </c>
      <c r="D80" s="97">
        <v>2026</v>
      </c>
      <c r="E80" s="97" t="s">
        <v>135</v>
      </c>
      <c r="F80" s="127" t="s">
        <v>427</v>
      </c>
      <c r="G80" s="106" t="s">
        <v>428</v>
      </c>
      <c r="H80" s="105" t="s">
        <v>221</v>
      </c>
      <c r="I80" s="106" t="s">
        <v>429</v>
      </c>
      <c r="J80" s="130"/>
      <c r="K80" s="130"/>
    </row>
    <row r="81" spans="1:11" ht="43.5">
      <c r="A81" s="353"/>
      <c r="B81" s="128" t="s">
        <v>430</v>
      </c>
      <c r="C81" s="139" t="s">
        <v>431</v>
      </c>
      <c r="D81" s="77">
        <v>2026</v>
      </c>
      <c r="E81" s="77" t="s">
        <v>135</v>
      </c>
      <c r="F81" s="112" t="s">
        <v>432</v>
      </c>
      <c r="G81" s="95" t="s">
        <v>433</v>
      </c>
      <c r="H81" s="105" t="s">
        <v>21</v>
      </c>
      <c r="I81" s="95" t="s">
        <v>434</v>
      </c>
      <c r="J81" s="123"/>
      <c r="K81" s="123"/>
    </row>
    <row r="82" spans="1:11" ht="57.75">
      <c r="A82" s="353"/>
      <c r="B82" s="139" t="s">
        <v>435</v>
      </c>
      <c r="C82" s="77" t="s">
        <v>436</v>
      </c>
      <c r="D82" s="77">
        <v>2021</v>
      </c>
      <c r="E82" s="77" t="s">
        <v>135</v>
      </c>
      <c r="F82" s="112" t="s">
        <v>437</v>
      </c>
      <c r="G82" s="159" t="s">
        <v>438</v>
      </c>
      <c r="H82" s="104" t="s">
        <v>424</v>
      </c>
      <c r="I82" s="248" t="s">
        <v>439</v>
      </c>
      <c r="J82" s="130"/>
      <c r="K82" s="130"/>
    </row>
    <row r="83" spans="1:11" ht="43.5">
      <c r="A83" s="353"/>
      <c r="B83" s="123" t="s">
        <v>440</v>
      </c>
      <c r="C83" s="131" t="s">
        <v>441</v>
      </c>
      <c r="D83" s="123">
        <v>2015</v>
      </c>
      <c r="E83" s="123" t="s">
        <v>18</v>
      </c>
      <c r="F83" s="127" t="s">
        <v>442</v>
      </c>
      <c r="G83" s="123" t="s">
        <v>443</v>
      </c>
      <c r="H83" s="105" t="s">
        <v>221</v>
      </c>
      <c r="I83" s="131" t="s">
        <v>444</v>
      </c>
      <c r="J83" s="123" t="s">
        <v>445</v>
      </c>
      <c r="K83" s="123" t="s">
        <v>446</v>
      </c>
    </row>
    <row r="84" spans="1:11" ht="15" customHeight="1">
      <c r="A84" s="353"/>
      <c r="B84" s="249"/>
      <c r="C84" s="249"/>
      <c r="D84" s="249"/>
      <c r="E84" s="249"/>
      <c r="F84" s="124"/>
      <c r="G84" s="124"/>
      <c r="H84" s="105"/>
      <c r="I84" s="124"/>
      <c r="J84" s="124"/>
      <c r="K84" s="124"/>
    </row>
    <row r="85" spans="1:11" ht="45.75">
      <c r="A85" s="250"/>
      <c r="B85" s="162" t="s">
        <v>447</v>
      </c>
      <c r="C85" s="139" t="s">
        <v>448</v>
      </c>
      <c r="D85" s="155">
        <v>2021</v>
      </c>
      <c r="E85" s="77" t="s">
        <v>135</v>
      </c>
      <c r="F85" s="163" t="s">
        <v>449</v>
      </c>
      <c r="G85" s="77" t="s">
        <v>450</v>
      </c>
      <c r="H85" s="105" t="s">
        <v>21</v>
      </c>
      <c r="I85" s="106" t="s">
        <v>451</v>
      </c>
      <c r="J85" s="167" t="s">
        <v>452</v>
      </c>
      <c r="K85" s="168" t="s">
        <v>453</v>
      </c>
    </row>
    <row r="86" spans="1:11" ht="15.75">
      <c r="A86" s="353" t="s">
        <v>454</v>
      </c>
      <c r="B86" s="127" t="s">
        <v>455</v>
      </c>
      <c r="C86" s="123" t="s">
        <v>456</v>
      </c>
      <c r="D86" s="123">
        <v>2024</v>
      </c>
      <c r="E86" s="123" t="s">
        <v>135</v>
      </c>
      <c r="F86" s="166" t="s">
        <v>457</v>
      </c>
      <c r="G86" s="123" t="s">
        <v>458</v>
      </c>
      <c r="H86" s="75" t="s">
        <v>153</v>
      </c>
      <c r="I86" s="97" t="s">
        <v>459</v>
      </c>
      <c r="J86" s="97" t="s">
        <v>460</v>
      </c>
      <c r="K86" s="136" t="s">
        <v>461</v>
      </c>
    </row>
    <row r="87" spans="1:11" ht="43.5">
      <c r="A87" s="353"/>
      <c r="B87" s="77" t="s">
        <v>462</v>
      </c>
      <c r="C87" s="139" t="s">
        <v>463</v>
      </c>
      <c r="D87" s="77">
        <v>2026</v>
      </c>
      <c r="E87" s="77" t="s">
        <v>135</v>
      </c>
      <c r="F87" s="112" t="s">
        <v>464</v>
      </c>
      <c r="G87" s="130" t="s">
        <v>465</v>
      </c>
      <c r="H87" s="105" t="s">
        <v>153</v>
      </c>
      <c r="I87" s="164" t="s">
        <v>466</v>
      </c>
      <c r="J87" s="165" t="s">
        <v>467</v>
      </c>
      <c r="K87" s="165" t="s">
        <v>468</v>
      </c>
    </row>
    <row r="88" spans="1:11" ht="43.5">
      <c r="A88" s="353"/>
      <c r="B88" s="123" t="s">
        <v>469</v>
      </c>
      <c r="C88" s="158" t="s">
        <v>470</v>
      </c>
      <c r="D88" s="97">
        <v>2023</v>
      </c>
      <c r="E88" s="97" t="s">
        <v>135</v>
      </c>
      <c r="F88" s="127" t="s">
        <v>471</v>
      </c>
      <c r="G88" s="97" t="s">
        <v>472</v>
      </c>
      <c r="H88" s="105" t="s">
        <v>153</v>
      </c>
      <c r="I88" s="97" t="s">
        <v>473</v>
      </c>
      <c r="J88" s="97" t="s">
        <v>474</v>
      </c>
      <c r="K88" s="97" t="s">
        <v>475</v>
      </c>
    </row>
    <row r="89" spans="1:11" ht="45.75">
      <c r="A89" s="353"/>
      <c r="B89" s="77" t="s">
        <v>476</v>
      </c>
      <c r="C89" s="139" t="s">
        <v>477</v>
      </c>
      <c r="D89" s="77">
        <v>2026</v>
      </c>
      <c r="E89" s="77" t="s">
        <v>150</v>
      </c>
      <c r="F89" s="112" t="s">
        <v>478</v>
      </c>
      <c r="G89" s="130" t="s">
        <v>479</v>
      </c>
      <c r="H89" s="105" t="s">
        <v>153</v>
      </c>
      <c r="I89" s="164" t="s">
        <v>480</v>
      </c>
      <c r="J89" s="165" t="s">
        <v>481</v>
      </c>
      <c r="K89" s="165" t="s">
        <v>482</v>
      </c>
    </row>
    <row r="90" spans="1:11" ht="16.5">
      <c r="A90" s="353"/>
      <c r="B90" s="35" t="s">
        <v>483</v>
      </c>
      <c r="C90" s="35"/>
      <c r="D90" s="35"/>
      <c r="E90" s="83"/>
      <c r="F90" s="35"/>
      <c r="G90" s="35"/>
      <c r="H90" s="72" t="s">
        <v>55</v>
      </c>
      <c r="I90" s="35"/>
      <c r="J90" s="35"/>
      <c r="K90" s="35"/>
    </row>
    <row r="91" spans="1:11" ht="16.5">
      <c r="A91" s="353"/>
      <c r="B91" t="s">
        <v>483</v>
      </c>
      <c r="F91" s="34"/>
      <c r="G91" s="34"/>
      <c r="H91" s="72" t="s">
        <v>55</v>
      </c>
      <c r="I91" s="34"/>
      <c r="J91" s="34"/>
      <c r="K91" s="34"/>
    </row>
    <row r="92" spans="1:11" ht="16.5">
      <c r="A92" s="353"/>
      <c r="B92" s="35" t="s">
        <v>483</v>
      </c>
      <c r="C92" s="35"/>
      <c r="D92" s="35"/>
      <c r="E92" s="83"/>
      <c r="F92" s="35"/>
      <c r="G92" s="35"/>
      <c r="H92" s="72" t="s">
        <v>55</v>
      </c>
      <c r="I92" s="35"/>
      <c r="J92" s="35"/>
      <c r="K92" s="35"/>
    </row>
    <row r="93" spans="1:11" ht="16.5">
      <c r="A93" s="353"/>
      <c r="B93" t="s">
        <v>483</v>
      </c>
      <c r="F93" s="34"/>
      <c r="G93" s="34"/>
      <c r="H93" s="72" t="s">
        <v>55</v>
      </c>
      <c r="I93" s="34"/>
      <c r="J93" s="34"/>
      <c r="K93" s="34"/>
    </row>
    <row r="94" spans="1:11" ht="16.5">
      <c r="A94" s="353"/>
      <c r="B94" s="35" t="s">
        <v>483</v>
      </c>
      <c r="C94" s="35"/>
      <c r="D94" s="35"/>
      <c r="E94" s="83"/>
      <c r="F94" s="35"/>
      <c r="G94" s="35"/>
      <c r="H94" s="72" t="s">
        <v>55</v>
      </c>
      <c r="I94" s="35"/>
      <c r="J94" s="35"/>
      <c r="K94" s="35"/>
    </row>
    <row r="95" spans="1:11" ht="16.5">
      <c r="A95" s="353"/>
      <c r="B95" t="s">
        <v>483</v>
      </c>
      <c r="F95" s="34"/>
      <c r="G95" s="34"/>
      <c r="H95" s="72" t="s">
        <v>55</v>
      </c>
      <c r="I95" s="34"/>
      <c r="J95" s="34"/>
      <c r="K95" s="34"/>
    </row>
    <row r="96" spans="1:11" ht="16.5">
      <c r="A96" s="353"/>
      <c r="B96" s="35" t="s">
        <v>483</v>
      </c>
      <c r="C96" s="35"/>
      <c r="D96" s="35"/>
      <c r="E96" s="83"/>
      <c r="F96" s="35"/>
      <c r="G96" s="35"/>
      <c r="H96" s="72" t="s">
        <v>55</v>
      </c>
      <c r="I96" s="35"/>
      <c r="J96" s="35"/>
      <c r="K96" s="35"/>
    </row>
    <row r="97" spans="1:11" ht="16.5">
      <c r="A97" s="358"/>
      <c r="B97" t="s">
        <v>483</v>
      </c>
      <c r="F97" s="34"/>
      <c r="G97" s="34"/>
      <c r="H97" s="72" t="s">
        <v>282</v>
      </c>
      <c r="I97" s="34"/>
      <c r="J97" s="34"/>
      <c r="K97" s="34"/>
    </row>
    <row r="98" spans="1:11" ht="115.5">
      <c r="A98" s="359" t="s">
        <v>484</v>
      </c>
      <c r="B98" s="151" t="s">
        <v>485</v>
      </c>
      <c r="C98" s="152" t="s">
        <v>486</v>
      </c>
      <c r="D98" s="136">
        <v>2026</v>
      </c>
      <c r="E98" s="136" t="s">
        <v>150</v>
      </c>
      <c r="F98" s="127" t="s">
        <v>487</v>
      </c>
      <c r="G98" s="135" t="s">
        <v>488</v>
      </c>
      <c r="H98" s="153" t="s">
        <v>153</v>
      </c>
      <c r="I98" s="251" t="s">
        <v>489</v>
      </c>
      <c r="J98" s="152" t="s">
        <v>490</v>
      </c>
      <c r="K98" s="106" t="s">
        <v>491</v>
      </c>
    </row>
    <row r="99" spans="1:11" ht="57.75">
      <c r="A99" s="353"/>
      <c r="B99" s="128" t="s">
        <v>485</v>
      </c>
      <c r="C99" s="139" t="s">
        <v>492</v>
      </c>
      <c r="D99" s="77">
        <v>2025</v>
      </c>
      <c r="E99" s="77" t="s">
        <v>150</v>
      </c>
      <c r="F99" s="112" t="s">
        <v>487</v>
      </c>
      <c r="G99" s="252" t="s">
        <v>493</v>
      </c>
      <c r="H99" s="105" t="s">
        <v>153</v>
      </c>
      <c r="I99" s="110" t="s">
        <v>494</v>
      </c>
      <c r="J99" s="110" t="s">
        <v>495</v>
      </c>
      <c r="K99" s="110" t="s">
        <v>496</v>
      </c>
    </row>
    <row r="100" spans="1:11" ht="76.5">
      <c r="A100" s="353"/>
      <c r="B100" s="151" t="s">
        <v>497</v>
      </c>
      <c r="C100" s="152" t="s">
        <v>498</v>
      </c>
      <c r="D100" s="104">
        <v>2008</v>
      </c>
      <c r="E100" s="136" t="s">
        <v>18</v>
      </c>
      <c r="F100" s="127" t="s">
        <v>499</v>
      </c>
      <c r="G100" s="121" t="s">
        <v>500</v>
      </c>
      <c r="H100" s="105" t="s">
        <v>153</v>
      </c>
      <c r="I100" s="251" t="s">
        <v>501</v>
      </c>
      <c r="J100" s="152" t="s">
        <v>502</v>
      </c>
      <c r="K100" s="106" t="s">
        <v>503</v>
      </c>
    </row>
    <row r="101" spans="1:11" ht="91.5">
      <c r="A101" s="353"/>
      <c r="B101" s="128" t="s">
        <v>504</v>
      </c>
      <c r="C101" s="77" t="s">
        <v>505</v>
      </c>
      <c r="D101" s="77">
        <v>2020</v>
      </c>
      <c r="E101" s="77" t="s">
        <v>150</v>
      </c>
      <c r="F101" s="112" t="s">
        <v>506</v>
      </c>
      <c r="G101" s="156" t="s">
        <v>507</v>
      </c>
      <c r="H101" s="105" t="s">
        <v>153</v>
      </c>
      <c r="I101" s="110" t="s">
        <v>508</v>
      </c>
      <c r="J101" s="34"/>
      <c r="K101" s="34"/>
    </row>
    <row r="102" spans="1:11" ht="16.5">
      <c r="A102" s="353"/>
      <c r="B102" s="35" t="s">
        <v>483</v>
      </c>
      <c r="C102" s="35"/>
      <c r="D102" s="35"/>
      <c r="E102" s="83"/>
      <c r="F102" s="35"/>
      <c r="G102" s="35"/>
      <c r="H102" s="72" t="s">
        <v>282</v>
      </c>
      <c r="I102" s="35"/>
      <c r="J102" s="35"/>
      <c r="K102" s="35"/>
    </row>
    <row r="103" spans="1:11" ht="16.5">
      <c r="A103" s="353"/>
      <c r="B103" t="s">
        <v>483</v>
      </c>
      <c r="F103" s="34"/>
      <c r="G103" s="34"/>
      <c r="H103" s="72" t="s">
        <v>282</v>
      </c>
      <c r="I103" s="34"/>
      <c r="J103" s="34"/>
      <c r="K103" s="34"/>
    </row>
    <row r="104" spans="1:11" ht="16.5">
      <c r="A104" s="353"/>
      <c r="B104" s="35" t="s">
        <v>483</v>
      </c>
      <c r="C104" s="35"/>
      <c r="D104" s="35"/>
      <c r="E104" s="83"/>
      <c r="F104" s="35"/>
      <c r="G104" s="35"/>
      <c r="H104" s="72" t="s">
        <v>282</v>
      </c>
      <c r="I104" s="35"/>
      <c r="J104" s="35"/>
      <c r="K104" s="35"/>
    </row>
    <row r="105" spans="1:11" ht="16.5">
      <c r="A105" s="353"/>
      <c r="B105" t="s">
        <v>483</v>
      </c>
      <c r="F105" s="34"/>
      <c r="G105" s="34"/>
      <c r="H105" s="72" t="s">
        <v>282</v>
      </c>
      <c r="I105" s="34"/>
      <c r="J105" s="34"/>
      <c r="K105" s="34"/>
    </row>
    <row r="106" spans="1:11" ht="16.5">
      <c r="A106" s="353"/>
      <c r="B106" s="35" t="s">
        <v>483</v>
      </c>
      <c r="C106" s="35"/>
      <c r="D106" s="35"/>
      <c r="E106" s="83"/>
      <c r="F106" s="35"/>
      <c r="G106" s="35"/>
      <c r="H106" s="72" t="s">
        <v>282</v>
      </c>
      <c r="I106" s="35"/>
      <c r="J106" s="35"/>
      <c r="K106" s="35"/>
    </row>
    <row r="107" spans="1:11" ht="16.5">
      <c r="A107" s="353"/>
      <c r="B107" t="s">
        <v>483</v>
      </c>
      <c r="F107" s="34"/>
      <c r="G107" s="34"/>
      <c r="H107" s="72" t="s">
        <v>282</v>
      </c>
      <c r="I107" s="34"/>
      <c r="J107" s="34"/>
      <c r="K107" s="34"/>
    </row>
    <row r="108" spans="1:11" ht="16.5">
      <c r="A108" s="353"/>
      <c r="B108" s="35" t="s">
        <v>483</v>
      </c>
      <c r="C108" s="35"/>
      <c r="D108" s="35"/>
      <c r="E108" s="83"/>
      <c r="F108" s="35"/>
      <c r="G108" s="35"/>
      <c r="H108" s="72" t="s">
        <v>282</v>
      </c>
      <c r="I108" s="35"/>
      <c r="J108" s="35"/>
      <c r="K108" s="35"/>
    </row>
    <row r="109" spans="1:11" ht="16.5">
      <c r="A109" s="353"/>
      <c r="B109" s="41" t="s">
        <v>483</v>
      </c>
      <c r="C109" s="40"/>
      <c r="D109" s="44"/>
      <c r="F109" s="45"/>
      <c r="G109" s="34"/>
      <c r="H109" s="72" t="s">
        <v>282</v>
      </c>
      <c r="I109" s="74"/>
      <c r="J109" s="34"/>
      <c r="K109" s="34"/>
    </row>
    <row r="110" spans="1:11" ht="115.5">
      <c r="A110" s="353" t="s">
        <v>509</v>
      </c>
      <c r="B110" s="47" t="s">
        <v>510</v>
      </c>
      <c r="C110" s="227" t="s">
        <v>511</v>
      </c>
      <c r="D110" s="76" t="s">
        <v>512</v>
      </c>
      <c r="E110" s="83" t="s">
        <v>150</v>
      </c>
      <c r="F110" s="230" t="s">
        <v>513</v>
      </c>
      <c r="G110" s="98" t="s">
        <v>514</v>
      </c>
      <c r="H110" s="72" t="s">
        <v>21</v>
      </c>
      <c r="I110" s="227" t="s">
        <v>515</v>
      </c>
      <c r="J110" s="229" t="s">
        <v>516</v>
      </c>
      <c r="K110" s="217" t="s">
        <v>517</v>
      </c>
    </row>
    <row r="111" spans="1:11" ht="16.5">
      <c r="A111" s="353"/>
      <c r="B111" s="41" t="s">
        <v>518</v>
      </c>
      <c r="C111" t="s">
        <v>519</v>
      </c>
      <c r="D111" s="44">
        <v>45886</v>
      </c>
      <c r="E111" s="33" t="s">
        <v>150</v>
      </c>
      <c r="F111" s="223" t="s">
        <v>520</v>
      </c>
      <c r="G111" s="228" t="s">
        <v>521</v>
      </c>
      <c r="H111" s="72" t="s">
        <v>21</v>
      </c>
      <c r="I111" s="228" t="s">
        <v>522</v>
      </c>
      <c r="J111" s="218"/>
      <c r="K111" s="218" t="s">
        <v>523</v>
      </c>
    </row>
    <row r="112" spans="1:11" ht="57.75">
      <c r="A112" s="353"/>
      <c r="B112" s="47" t="s">
        <v>524</v>
      </c>
      <c r="C112" s="35" t="s">
        <v>525</v>
      </c>
      <c r="D112" s="35" t="s">
        <v>526</v>
      </c>
      <c r="E112" s="83" t="s">
        <v>150</v>
      </c>
      <c r="F112" s="222" t="s">
        <v>527</v>
      </c>
      <c r="G112" s="227" t="s">
        <v>528</v>
      </c>
      <c r="H112" s="72" t="s">
        <v>370</v>
      </c>
      <c r="I112" s="217"/>
      <c r="J112" s="98" t="s">
        <v>529</v>
      </c>
      <c r="K112" s="219" t="s">
        <v>530</v>
      </c>
    </row>
    <row r="113" spans="1:11" ht="101.25">
      <c r="A113" s="353"/>
      <c r="B113" s="41" t="s">
        <v>531</v>
      </c>
      <c r="C113" t="s">
        <v>532</v>
      </c>
      <c r="D113" t="s">
        <v>533</v>
      </c>
      <c r="E113" s="33" t="s">
        <v>150</v>
      </c>
      <c r="F113" s="223" t="s">
        <v>534</v>
      </c>
      <c r="G113" s="226" t="s">
        <v>535</v>
      </c>
      <c r="H113" s="72" t="s">
        <v>21</v>
      </c>
      <c r="I113" s="226" t="s">
        <v>536</v>
      </c>
      <c r="J113" s="228" t="s">
        <v>537</v>
      </c>
      <c r="K113" s="220" t="s">
        <v>538</v>
      </c>
    </row>
    <row r="114" spans="1:11" ht="16.5">
      <c r="A114" s="353"/>
      <c r="B114" s="41" t="s">
        <v>539</v>
      </c>
      <c r="C114" s="35" t="s">
        <v>540</v>
      </c>
      <c r="D114" s="76">
        <v>45988</v>
      </c>
      <c r="E114" s="83" t="s">
        <v>150</v>
      </c>
      <c r="F114" s="222" t="s">
        <v>541</v>
      </c>
      <c r="G114" t="s">
        <v>542</v>
      </c>
      <c r="H114" s="72" t="s">
        <v>21</v>
      </c>
      <c r="I114" s="227" t="s">
        <v>543</v>
      </c>
      <c r="J114" t="s">
        <v>544</v>
      </c>
      <c r="K114" s="225" t="s">
        <v>545</v>
      </c>
    </row>
    <row r="115" spans="1:11" ht="152.25">
      <c r="A115" s="353"/>
      <c r="B115" s="253" t="s">
        <v>546</v>
      </c>
      <c r="C115" t="s">
        <v>547</v>
      </c>
      <c r="D115" s="44">
        <v>46006</v>
      </c>
      <c r="E115" s="33" t="s">
        <v>150</v>
      </c>
      <c r="F115" s="45" t="s">
        <v>548</v>
      </c>
      <c r="G115" s="156" t="s">
        <v>549</v>
      </c>
      <c r="H115" s="72" t="s">
        <v>21</v>
      </c>
      <c r="I115" s="224" t="s">
        <v>550</v>
      </c>
      <c r="J115" s="224" t="s">
        <v>551</v>
      </c>
      <c r="K115" s="156" t="s">
        <v>552</v>
      </c>
    </row>
    <row r="116" spans="1:11" ht="16.5">
      <c r="A116" s="353"/>
      <c r="B116" s="47" t="s">
        <v>539</v>
      </c>
      <c r="C116" s="35" t="s">
        <v>540</v>
      </c>
      <c r="D116" s="35"/>
      <c r="E116" s="83"/>
      <c r="F116" s="35"/>
      <c r="G116" s="35"/>
      <c r="H116" s="72" t="s">
        <v>282</v>
      </c>
      <c r="I116" s="35" t="s">
        <v>553</v>
      </c>
      <c r="J116" s="35"/>
      <c r="K116" s="35"/>
    </row>
    <row r="117" spans="1:11" ht="16.5">
      <c r="A117" s="353"/>
      <c r="B117" s="41" t="s">
        <v>554</v>
      </c>
      <c r="C117" t="s">
        <v>555</v>
      </c>
      <c r="D117" t="s">
        <v>556</v>
      </c>
      <c r="E117" s="33" t="s">
        <v>150</v>
      </c>
      <c r="F117" s="45" t="s">
        <v>557</v>
      </c>
      <c r="G117" s="254" t="s">
        <v>558</v>
      </c>
      <c r="H117" s="72" t="s">
        <v>21</v>
      </c>
      <c r="I117" s="224" t="s">
        <v>559</v>
      </c>
      <c r="J117" t="s">
        <v>560</v>
      </c>
      <c r="K117" s="224" t="s">
        <v>561</v>
      </c>
    </row>
    <row r="118" spans="1:11" ht="15.75">
      <c r="A118" s="353"/>
      <c r="B118" s="47" t="s">
        <v>562</v>
      </c>
      <c r="C118" s="225" t="s">
        <v>563</v>
      </c>
      <c r="D118" s="35" t="s">
        <v>564</v>
      </c>
      <c r="E118" s="83" t="s">
        <v>150</v>
      </c>
      <c r="F118" s="41" t="s">
        <v>565</v>
      </c>
      <c r="G118" s="35"/>
      <c r="H118" s="72"/>
      <c r="I118" s="35"/>
      <c r="J118" s="35"/>
      <c r="K118" s="35"/>
    </row>
    <row r="119" spans="1:11" ht="16.5">
      <c r="A119" s="353"/>
      <c r="B119" t="s">
        <v>483</v>
      </c>
      <c r="F119" s="35"/>
      <c r="G119" s="34"/>
      <c r="H119" s="72" t="s">
        <v>282</v>
      </c>
      <c r="I119" s="34"/>
      <c r="J119" s="34"/>
      <c r="K119" s="34"/>
    </row>
    <row r="120" spans="1:11" ht="28.5">
      <c r="A120" s="353"/>
      <c r="B120" s="47" t="s">
        <v>566</v>
      </c>
      <c r="C120" s="42" t="s">
        <v>567</v>
      </c>
      <c r="D120" s="76">
        <v>45924</v>
      </c>
      <c r="E120" s="83" t="s">
        <v>135</v>
      </c>
      <c r="F120" s="47" t="s">
        <v>568</v>
      </c>
      <c r="G120" s="35"/>
      <c r="H120" s="75" t="s">
        <v>282</v>
      </c>
      <c r="I120" s="35" t="s">
        <v>569</v>
      </c>
      <c r="J120" s="35"/>
      <c r="K120" s="35"/>
    </row>
    <row r="121" spans="1:11" ht="45.75">
      <c r="A121" s="353"/>
      <c r="B121" t="s">
        <v>570</v>
      </c>
      <c r="C121" s="40" t="s">
        <v>571</v>
      </c>
      <c r="F121" s="34"/>
      <c r="G121" s="34"/>
      <c r="H121" s="75" t="s">
        <v>21</v>
      </c>
      <c r="I121" s="34"/>
      <c r="J121" s="34"/>
      <c r="K121" s="34"/>
    </row>
    <row r="122" spans="1:11" ht="16.5">
      <c r="A122" s="353" t="s">
        <v>572</v>
      </c>
      <c r="B122" s="35" t="s">
        <v>483</v>
      </c>
      <c r="C122" s="35"/>
      <c r="D122" s="35"/>
      <c r="E122" s="83"/>
      <c r="F122" s="35"/>
      <c r="G122" s="35"/>
      <c r="H122" s="72" t="s">
        <v>282</v>
      </c>
      <c r="I122" s="35" t="s">
        <v>370</v>
      </c>
      <c r="J122" s="35"/>
      <c r="K122" s="35"/>
    </row>
    <row r="123" spans="1:11" ht="16.5">
      <c r="A123" s="353"/>
      <c r="B123" t="s">
        <v>483</v>
      </c>
      <c r="F123" s="34"/>
      <c r="G123" s="34"/>
      <c r="H123" s="72" t="s">
        <v>282</v>
      </c>
      <c r="I123" s="34" t="s">
        <v>370</v>
      </c>
      <c r="J123" s="34"/>
      <c r="K123" s="34"/>
    </row>
    <row r="124" spans="1:11" ht="16.5">
      <c r="A124" s="353"/>
      <c r="B124" s="35" t="s">
        <v>483</v>
      </c>
      <c r="C124" s="35"/>
      <c r="D124" s="35"/>
      <c r="E124" s="83"/>
      <c r="F124" s="35"/>
      <c r="G124" s="35"/>
      <c r="H124" s="72" t="s">
        <v>282</v>
      </c>
      <c r="I124" s="35" t="s">
        <v>370</v>
      </c>
      <c r="J124" s="35"/>
      <c r="K124" s="35"/>
    </row>
    <row r="125" spans="1:11" ht="16.5">
      <c r="A125" s="353"/>
      <c r="B125" t="s">
        <v>483</v>
      </c>
      <c r="F125" s="34"/>
      <c r="G125" s="34"/>
      <c r="H125" s="72" t="s">
        <v>282</v>
      </c>
      <c r="I125" s="34" t="s">
        <v>370</v>
      </c>
      <c r="J125" s="34"/>
      <c r="K125" s="34"/>
    </row>
    <row r="126" spans="1:11" ht="16.5">
      <c r="A126" s="353"/>
      <c r="B126" s="35" t="s">
        <v>483</v>
      </c>
      <c r="C126" s="35"/>
      <c r="D126" s="35"/>
      <c r="E126" s="83"/>
      <c r="F126" s="35"/>
      <c r="G126" s="35"/>
      <c r="H126" s="72" t="s">
        <v>282</v>
      </c>
      <c r="I126" s="35" t="s">
        <v>370</v>
      </c>
      <c r="J126" s="35"/>
      <c r="K126" s="35"/>
    </row>
    <row r="127" spans="1:11" ht="16.5">
      <c r="A127" s="353"/>
      <c r="B127" t="s">
        <v>483</v>
      </c>
      <c r="F127" s="34"/>
      <c r="G127" s="34"/>
      <c r="H127" s="72" t="s">
        <v>282</v>
      </c>
      <c r="I127" s="34" t="s">
        <v>370</v>
      </c>
      <c r="J127" s="34"/>
      <c r="K127" s="34"/>
    </row>
    <row r="128" spans="1:11" ht="57.75">
      <c r="A128" s="353"/>
      <c r="B128" s="35" t="s">
        <v>573</v>
      </c>
      <c r="C128" s="42" t="s">
        <v>650</v>
      </c>
      <c r="D128" s="35"/>
      <c r="E128" s="83"/>
      <c r="F128" s="35"/>
      <c r="G128" s="35"/>
      <c r="H128" s="75" t="s">
        <v>21</v>
      </c>
      <c r="I128" s="35"/>
      <c r="J128" s="35"/>
      <c r="K128" s="35"/>
    </row>
    <row r="129" spans="1:11" ht="30.75">
      <c r="A129" s="353"/>
      <c r="B129" t="s">
        <v>585</v>
      </c>
      <c r="C129" s="40" t="s">
        <v>586</v>
      </c>
      <c r="D129" s="107">
        <v>37967</v>
      </c>
      <c r="F129" s="34"/>
      <c r="G129" s="34"/>
      <c r="H129" s="72" t="s">
        <v>282</v>
      </c>
      <c r="I129" s="34" t="s">
        <v>587</v>
      </c>
      <c r="J129" s="34"/>
      <c r="K129" s="34"/>
    </row>
    <row r="130" spans="1:11" ht="43.5">
      <c r="A130" s="353"/>
      <c r="B130" s="35" t="s">
        <v>483</v>
      </c>
      <c r="C130" s="42" t="s">
        <v>588</v>
      </c>
      <c r="D130" s="35"/>
      <c r="E130" s="83"/>
      <c r="F130" s="35"/>
      <c r="G130" s="35"/>
      <c r="H130" s="72" t="s">
        <v>282</v>
      </c>
      <c r="I130" s="35" t="s">
        <v>587</v>
      </c>
      <c r="J130" s="35"/>
      <c r="K130" s="35"/>
    </row>
    <row r="131" spans="1:11" ht="30.75">
      <c r="A131" s="353"/>
      <c r="B131" s="41" t="s">
        <v>589</v>
      </c>
      <c r="C131" s="40" t="s">
        <v>590</v>
      </c>
      <c r="D131" s="44">
        <v>45088</v>
      </c>
      <c r="E131" s="33" t="s">
        <v>135</v>
      </c>
      <c r="F131" s="45" t="s">
        <v>591</v>
      </c>
      <c r="G131" s="34"/>
      <c r="H131" s="75" t="s">
        <v>153</v>
      </c>
      <c r="I131" s="34"/>
      <c r="J131" s="34"/>
      <c r="K131" s="34"/>
    </row>
    <row r="132" spans="1:11" ht="32.25">
      <c r="A132" s="353"/>
      <c r="B132" s="35" t="s">
        <v>594</v>
      </c>
      <c r="C132" s="72" t="s">
        <v>595</v>
      </c>
      <c r="D132" s="35" t="s">
        <v>596</v>
      </c>
      <c r="E132" s="83" t="s">
        <v>64</v>
      </c>
      <c r="F132" s="35"/>
      <c r="G132" s="35"/>
      <c r="H132" s="72" t="s">
        <v>282</v>
      </c>
      <c r="I132" s="35" t="s">
        <v>597</v>
      </c>
      <c r="J132" s="35"/>
      <c r="K132" s="35"/>
    </row>
    <row r="133" spans="1:11" ht="45.75">
      <c r="A133" s="353"/>
      <c r="B133" t="s">
        <v>598</v>
      </c>
      <c r="C133" s="40" t="s">
        <v>651</v>
      </c>
      <c r="D133" s="40" t="s">
        <v>652</v>
      </c>
      <c r="E133" s="33" t="s">
        <v>653</v>
      </c>
      <c r="F133" s="45" t="s">
        <v>601</v>
      </c>
      <c r="G133" s="34"/>
      <c r="H133" s="75" t="s">
        <v>153</v>
      </c>
      <c r="I133" s="34"/>
      <c r="J133" s="34"/>
      <c r="K133" s="34"/>
    </row>
    <row r="134" spans="1:11" ht="43.5">
      <c r="A134" s="353" t="s">
        <v>572</v>
      </c>
      <c r="B134" s="35" t="s">
        <v>654</v>
      </c>
      <c r="C134" s="42" t="s">
        <v>611</v>
      </c>
      <c r="D134" s="92">
        <v>44287</v>
      </c>
      <c r="E134" s="83" t="s">
        <v>64</v>
      </c>
      <c r="F134" s="47" t="s">
        <v>612</v>
      </c>
      <c r="G134" s="35"/>
      <c r="H134" s="75" t="s">
        <v>153</v>
      </c>
      <c r="I134" s="35"/>
      <c r="J134" s="35"/>
      <c r="K134" s="35"/>
    </row>
    <row r="135" spans="1:11" ht="30.75">
      <c r="A135" s="353"/>
      <c r="B135" s="41" t="s">
        <v>615</v>
      </c>
      <c r="C135" s="40" t="s">
        <v>616</v>
      </c>
      <c r="D135" s="44">
        <v>45800</v>
      </c>
      <c r="E135" s="33" t="s">
        <v>135</v>
      </c>
      <c r="F135" s="45" t="s">
        <v>617</v>
      </c>
      <c r="G135" s="34"/>
      <c r="H135" s="75" t="s">
        <v>153</v>
      </c>
      <c r="I135" s="34"/>
      <c r="J135" s="34"/>
      <c r="K135" s="34"/>
    </row>
    <row r="136" spans="1:11" ht="16.5">
      <c r="A136" s="353"/>
      <c r="B136" s="35" t="s">
        <v>619</v>
      </c>
      <c r="C136" s="35" t="s">
        <v>620</v>
      </c>
      <c r="D136" s="107">
        <v>40148</v>
      </c>
      <c r="E136" s="83" t="s">
        <v>621</v>
      </c>
      <c r="F136" s="47" t="s">
        <v>622</v>
      </c>
      <c r="G136" s="35"/>
      <c r="H136" s="72" t="s">
        <v>282</v>
      </c>
      <c r="I136" s="35" t="s">
        <v>587</v>
      </c>
      <c r="J136" s="35"/>
      <c r="K136" s="35"/>
    </row>
    <row r="137" spans="1:11" ht="16.5">
      <c r="A137" s="353"/>
      <c r="B137" t="s">
        <v>483</v>
      </c>
      <c r="F137" s="34"/>
      <c r="G137" s="34"/>
      <c r="H137" s="72" t="s">
        <v>282</v>
      </c>
      <c r="I137" s="34"/>
      <c r="J137" s="34"/>
      <c r="K137" s="34"/>
    </row>
    <row r="138" spans="1:11">
      <c r="A138" s="353"/>
      <c r="B138" s="35"/>
      <c r="C138" s="35"/>
      <c r="D138" s="35"/>
      <c r="E138" s="83"/>
      <c r="F138" s="35"/>
      <c r="G138" s="35"/>
      <c r="H138" s="35"/>
      <c r="I138" s="35"/>
      <c r="J138" s="35"/>
      <c r="K138" s="35"/>
    </row>
    <row r="139" spans="1:11">
      <c r="A139" s="353"/>
      <c r="F139" s="34"/>
      <c r="G139" s="34"/>
      <c r="H139" s="34"/>
      <c r="I139" s="34"/>
      <c r="J139" s="34"/>
      <c r="K139" s="34"/>
    </row>
    <row r="140" spans="1:11">
      <c r="A140" s="353"/>
      <c r="B140" s="35"/>
      <c r="C140" s="35"/>
      <c r="D140" s="35"/>
      <c r="E140" s="83"/>
      <c r="F140" s="35"/>
      <c r="G140" s="35"/>
      <c r="H140" s="35"/>
      <c r="I140" s="35"/>
      <c r="J140" s="35"/>
      <c r="K140" s="35"/>
    </row>
    <row r="141" spans="1:11">
      <c r="A141" s="353"/>
      <c r="D141" s="34"/>
      <c r="E141" s="91"/>
      <c r="F141" s="34"/>
      <c r="G141" s="28"/>
    </row>
    <row r="142" spans="1:11">
      <c r="A142" s="353"/>
    </row>
    <row r="143" spans="1:11">
      <c r="A143" s="353"/>
    </row>
    <row r="144" spans="1:11">
      <c r="A144" s="353"/>
    </row>
    <row r="145" spans="1:7">
      <c r="A145" s="353"/>
    </row>
    <row r="152" spans="1:7">
      <c r="B152" s="25" t="str">
        <f>IF(C152="","","PID-"&amp;TEXT(ROW()-2,"0000"))</f>
        <v/>
      </c>
      <c r="D152" s="25"/>
      <c r="F152" s="25"/>
      <c r="G152" s="25"/>
    </row>
    <row r="153" spans="1:7">
      <c r="B153" s="25" t="str">
        <f>IF(C153="","","PID-"&amp;TEXT(ROW()-2,"0000"))</f>
        <v/>
      </c>
      <c r="D153" s="25"/>
      <c r="F153" s="25"/>
      <c r="G153" s="25"/>
    </row>
    <row r="154" spans="1:7">
      <c r="B154" s="25" t="str">
        <f>IF(C154="","","PID-"&amp;TEXT(ROW()-2,"0000"))</f>
        <v/>
      </c>
      <c r="D154" s="25"/>
      <c r="F154" s="25"/>
      <c r="G154" s="25"/>
    </row>
    <row r="155" spans="1:7">
      <c r="B155" s="25" t="str">
        <f>IF(C155="","","PID-"&amp;TEXT(ROW()-2,"0000"))</f>
        <v/>
      </c>
      <c r="D155" s="25"/>
      <c r="F155" s="25"/>
      <c r="G155" s="25"/>
    </row>
    <row r="156" spans="1:7">
      <c r="B156" s="25" t="str">
        <f>IF(C156="","","PID-"&amp;TEXT(ROW()-2,"0000"))</f>
        <v/>
      </c>
      <c r="D156" s="25"/>
      <c r="F156" s="25"/>
      <c r="G156" s="25"/>
    </row>
    <row r="157" spans="1:7">
      <c r="B157" s="25" t="str">
        <f>IF(C157="","","PID-"&amp;TEXT(ROW()-2,"0000"))</f>
        <v/>
      </c>
      <c r="D157" s="25"/>
      <c r="F157" s="25"/>
      <c r="G157" s="25"/>
    </row>
    <row r="158" spans="1:7">
      <c r="B158" s="25" t="str">
        <f>IF(C158="","","PID-"&amp;TEXT(ROW()-2,"0000"))</f>
        <v/>
      </c>
      <c r="C158" s="25"/>
      <c r="D158" s="25"/>
      <c r="F158" s="25"/>
      <c r="G158" s="25"/>
    </row>
    <row r="159" spans="1:7">
      <c r="B159" s="25" t="str">
        <f>IF(C159="","","PID-"&amp;TEXT(ROW()-2,"0000"))</f>
        <v/>
      </c>
      <c r="C159" s="25"/>
      <c r="D159" s="25"/>
      <c r="E159" s="255"/>
      <c r="F159" s="25"/>
      <c r="G159" s="25"/>
    </row>
    <row r="160" spans="1:7">
      <c r="B160" s="25" t="str">
        <f>IF(C160="","","PID-"&amp;TEXT(ROW()-2,"0000"))</f>
        <v/>
      </c>
      <c r="C160" s="25"/>
      <c r="D160" s="25"/>
      <c r="E160" s="255"/>
      <c r="F160" s="25"/>
      <c r="G160" s="25"/>
    </row>
    <row r="161" spans="2:7">
      <c r="B161" s="25" t="str">
        <f>IF(C161="","","PID-"&amp;TEXT(ROW()-2,"0000"))</f>
        <v/>
      </c>
      <c r="C161" s="25"/>
      <c r="D161" s="25"/>
      <c r="E161" s="255"/>
      <c r="F161" s="25"/>
      <c r="G161" s="25"/>
    </row>
    <row r="162" spans="2:7">
      <c r="B162" s="25" t="str">
        <f>IF(C162="","","PID-"&amp;TEXT(ROW()-2,"0000"))</f>
        <v/>
      </c>
      <c r="C162" s="25"/>
      <c r="D162" s="25"/>
      <c r="E162" s="255"/>
      <c r="F162" s="25"/>
      <c r="G162" s="25"/>
    </row>
    <row r="163" spans="2:7">
      <c r="B163" s="25" t="str">
        <f>IF(C163="","","PID-"&amp;TEXT(ROW()-2,"0000"))</f>
        <v/>
      </c>
      <c r="C163" s="25"/>
      <c r="D163" s="25"/>
      <c r="E163" s="255"/>
      <c r="F163" s="25"/>
      <c r="G163" s="25"/>
    </row>
    <row r="164" spans="2:7">
      <c r="B164" s="25" t="str">
        <f>IF(C164="","","PID-"&amp;TEXT(ROW()-2,"0000"))</f>
        <v/>
      </c>
      <c r="C164" s="25"/>
      <c r="D164" s="25"/>
      <c r="E164" s="255"/>
      <c r="F164" s="25"/>
      <c r="G164" s="25"/>
    </row>
    <row r="165" spans="2:7">
      <c r="B165" s="25" t="str">
        <f>IF(C165="","","PID-"&amp;TEXT(ROW()-2,"0000"))</f>
        <v/>
      </c>
      <c r="C165" s="25"/>
      <c r="D165" s="25"/>
      <c r="E165" s="255"/>
      <c r="F165" s="25"/>
      <c r="G165" s="25"/>
    </row>
    <row r="166" spans="2:7">
      <c r="B166" s="25" t="str">
        <f>IF(C166="","","PID-"&amp;TEXT(ROW()-2,"0000"))</f>
        <v/>
      </c>
      <c r="C166" s="25"/>
      <c r="D166" s="25"/>
      <c r="E166" s="255"/>
      <c r="F166" s="25"/>
      <c r="G166" s="25"/>
    </row>
    <row r="167" spans="2:7">
      <c r="B167" s="25" t="str">
        <f>IF(C167="","","PID-"&amp;TEXT(ROW()-2,"0000"))</f>
        <v/>
      </c>
      <c r="C167" s="25"/>
      <c r="D167" s="25"/>
      <c r="E167" s="255"/>
      <c r="F167" s="25"/>
      <c r="G167" s="25"/>
    </row>
    <row r="168" spans="2:7">
      <c r="B168" s="25" t="str">
        <f>IF(C168="","","PID-"&amp;TEXT(ROW()-2,"0000"))</f>
        <v/>
      </c>
      <c r="C168" s="25"/>
      <c r="D168" s="25"/>
      <c r="E168" s="255"/>
      <c r="F168" s="25"/>
      <c r="G168" s="25"/>
    </row>
    <row r="169" spans="2:7">
      <c r="B169" s="25" t="str">
        <f>IF(C169="","","PID-"&amp;TEXT(ROW()-2,"0000"))</f>
        <v/>
      </c>
      <c r="C169" s="25"/>
      <c r="D169" s="25"/>
      <c r="E169" s="255"/>
      <c r="F169" s="25"/>
      <c r="G169" s="25"/>
    </row>
    <row r="170" spans="2:7">
      <c r="B170" s="25" t="str">
        <f>IF(C170="","","PID-"&amp;TEXT(ROW()-2,"0000"))</f>
        <v/>
      </c>
      <c r="C170" s="25"/>
      <c r="D170" s="25"/>
      <c r="E170" s="255"/>
      <c r="F170" s="25"/>
      <c r="G170" s="25"/>
    </row>
    <row r="171" spans="2:7">
      <c r="B171" s="25" t="str">
        <f>IF(C171="","","PID-"&amp;TEXT(ROW()-2,"0000"))</f>
        <v/>
      </c>
      <c r="C171" s="25"/>
      <c r="D171" s="25"/>
      <c r="E171" s="255"/>
      <c r="F171" s="25"/>
      <c r="G171" s="25"/>
    </row>
    <row r="172" spans="2:7">
      <c r="B172" s="25" t="str">
        <f>IF(C172="","","PID-"&amp;TEXT(ROW()-2,"0000"))</f>
        <v/>
      </c>
      <c r="C172" s="25"/>
      <c r="D172" s="25"/>
      <c r="E172" s="255"/>
      <c r="F172" s="25"/>
      <c r="G172" s="25"/>
    </row>
    <row r="173" spans="2:7">
      <c r="B173" s="25" t="str">
        <f>IF(C173="","","PID-"&amp;TEXT(ROW()-2,"0000"))</f>
        <v/>
      </c>
      <c r="C173" s="25"/>
      <c r="D173" s="25"/>
      <c r="E173" s="255"/>
      <c r="F173" s="25"/>
      <c r="G173" s="25"/>
    </row>
    <row r="174" spans="2:7">
      <c r="B174" s="25" t="str">
        <f>IF(C174="","","PID-"&amp;TEXT(ROW()-2,"0000"))</f>
        <v/>
      </c>
      <c r="C174" s="25"/>
      <c r="D174" s="25"/>
      <c r="E174" s="255"/>
      <c r="F174" s="25"/>
      <c r="G174" s="25"/>
    </row>
    <row r="175" spans="2:7">
      <c r="B175" s="25" t="str">
        <f>IF(C175="","","PID-"&amp;TEXT(ROW()-2,"0000"))</f>
        <v/>
      </c>
      <c r="C175" s="25"/>
      <c r="D175" s="25"/>
      <c r="E175" s="255"/>
      <c r="F175" s="25"/>
      <c r="G175" s="25"/>
    </row>
    <row r="176" spans="2:7">
      <c r="B176" s="25" t="str">
        <f>IF(C176="","","PID-"&amp;TEXT(ROW()-2,"0000"))</f>
        <v/>
      </c>
      <c r="C176" s="25"/>
      <c r="D176" s="25"/>
      <c r="E176" s="255"/>
      <c r="F176" s="25"/>
      <c r="G176" s="25"/>
    </row>
    <row r="177" spans="2:7">
      <c r="B177" s="25" t="str">
        <f>IF(C177="","","PID-"&amp;TEXT(ROW()-2,"0000"))</f>
        <v/>
      </c>
      <c r="C177" s="25"/>
      <c r="D177" s="25"/>
      <c r="E177" s="255"/>
      <c r="F177" s="25"/>
      <c r="G177" s="25"/>
    </row>
    <row r="178" spans="2:7">
      <c r="B178" s="25" t="str">
        <f>IF(C178="","","PID-"&amp;TEXT(ROW()-2,"0000"))</f>
        <v/>
      </c>
      <c r="C178" s="25"/>
      <c r="D178" s="25"/>
      <c r="E178" s="255"/>
      <c r="F178" s="25"/>
      <c r="G178" s="25"/>
    </row>
    <row r="179" spans="2:7">
      <c r="B179" s="25" t="str">
        <f>IF(C179="","","PID-"&amp;TEXT(ROW()-2,"0000"))</f>
        <v/>
      </c>
      <c r="C179" s="25"/>
      <c r="D179" s="25"/>
      <c r="E179" s="255"/>
      <c r="F179" s="25"/>
      <c r="G179" s="25"/>
    </row>
    <row r="180" spans="2:7">
      <c r="B180" s="25" t="str">
        <f>IF(C180="","","PID-"&amp;TEXT(ROW()-2,"0000"))</f>
        <v/>
      </c>
      <c r="C180" s="25"/>
      <c r="D180" s="25"/>
      <c r="E180" s="255"/>
      <c r="F180" s="25"/>
      <c r="G180" s="25"/>
    </row>
    <row r="181" spans="2:7">
      <c r="B181" s="25" t="str">
        <f>IF(C181="","","PID-"&amp;TEXT(ROW()-2,"0000"))</f>
        <v/>
      </c>
      <c r="C181" s="25"/>
      <c r="D181" s="25"/>
      <c r="E181" s="255"/>
      <c r="F181" s="25"/>
      <c r="G181" s="25"/>
    </row>
    <row r="182" spans="2:7">
      <c r="B182" s="25" t="str">
        <f>IF(C182="","","PID-"&amp;TEXT(ROW()-2,"0000"))</f>
        <v/>
      </c>
      <c r="C182" s="25"/>
      <c r="D182" s="25"/>
      <c r="E182" s="255"/>
      <c r="F182" s="25"/>
      <c r="G182" s="25"/>
    </row>
    <row r="183" spans="2:7">
      <c r="B183" s="25" t="str">
        <f>IF(C183="","","PID-"&amp;TEXT(ROW()-2,"0000"))</f>
        <v/>
      </c>
      <c r="C183" s="25"/>
      <c r="D183" s="25"/>
      <c r="E183" s="255"/>
      <c r="F183" s="25"/>
      <c r="G183" s="25"/>
    </row>
    <row r="184" spans="2:7">
      <c r="B184" s="25" t="str">
        <f>IF(C184="","","PID-"&amp;TEXT(ROW()-2,"0000"))</f>
        <v/>
      </c>
      <c r="C184" s="25"/>
      <c r="D184" s="25"/>
      <c r="E184" s="255"/>
      <c r="F184" s="25"/>
      <c r="G184" s="25"/>
    </row>
    <row r="185" spans="2:7">
      <c r="B185" s="25" t="str">
        <f>IF(C185="","","PID-"&amp;TEXT(ROW()-2,"0000"))</f>
        <v/>
      </c>
      <c r="C185" s="25"/>
      <c r="D185" s="25"/>
      <c r="E185" s="255"/>
      <c r="F185" s="25"/>
      <c r="G185" s="25"/>
    </row>
    <row r="186" spans="2:7">
      <c r="B186" s="25" t="str">
        <f>IF(C186="","","PID-"&amp;TEXT(ROW()-2,"0000"))</f>
        <v/>
      </c>
      <c r="C186" s="25"/>
      <c r="D186" s="25"/>
      <c r="E186" s="255"/>
      <c r="F186" s="25"/>
      <c r="G186" s="25"/>
    </row>
    <row r="187" spans="2:7">
      <c r="B187" s="25" t="str">
        <f>IF(C187="","","PID-"&amp;TEXT(ROW()-2,"0000"))</f>
        <v/>
      </c>
      <c r="C187" s="25"/>
      <c r="D187" s="25"/>
      <c r="E187" s="255"/>
      <c r="F187" s="25"/>
      <c r="G187" s="25"/>
    </row>
    <row r="188" spans="2:7">
      <c r="B188" s="25" t="str">
        <f>IF(C188="","","PID-"&amp;TEXT(ROW()-2,"0000"))</f>
        <v/>
      </c>
      <c r="C188" s="25"/>
      <c r="D188" s="25"/>
      <c r="E188" s="255"/>
      <c r="F188" s="25"/>
      <c r="G188" s="25"/>
    </row>
    <row r="189" spans="2:7">
      <c r="B189" s="25" t="str">
        <f>IF(C189="","","PID-"&amp;TEXT(ROW()-2,"0000"))</f>
        <v/>
      </c>
      <c r="C189" s="25"/>
      <c r="D189" s="25"/>
      <c r="E189" s="255"/>
      <c r="F189" s="25"/>
      <c r="G189" s="25"/>
    </row>
    <row r="190" spans="2:7">
      <c r="B190" s="25" t="str">
        <f>IF(C190="","","PID-"&amp;TEXT(ROW()-2,"0000"))</f>
        <v/>
      </c>
      <c r="C190" s="25"/>
      <c r="D190" s="25"/>
      <c r="E190" s="255"/>
      <c r="F190" s="25"/>
      <c r="G190" s="25"/>
    </row>
    <row r="191" spans="2:7">
      <c r="B191" s="25" t="str">
        <f>IF(C191="","","PID-"&amp;TEXT(ROW()-2,"0000"))</f>
        <v/>
      </c>
      <c r="C191" s="25"/>
      <c r="D191" s="25"/>
      <c r="E191" s="255"/>
      <c r="F191" s="25"/>
      <c r="G191" s="25"/>
    </row>
    <row r="192" spans="2:7">
      <c r="B192" s="25" t="str">
        <f>IF(C192="","","PID-"&amp;TEXT(ROW()-2,"0000"))</f>
        <v/>
      </c>
      <c r="C192" s="25"/>
      <c r="D192" s="25"/>
      <c r="E192" s="255"/>
      <c r="F192" s="25"/>
      <c r="G192" s="25"/>
    </row>
    <row r="193" spans="2:7">
      <c r="B193" s="25" t="str">
        <f>IF(C193="","","PID-"&amp;TEXT(ROW()-2,"0000"))</f>
        <v/>
      </c>
      <c r="C193" s="25"/>
      <c r="D193" s="25"/>
      <c r="E193" s="255"/>
      <c r="F193" s="25"/>
      <c r="G193" s="25"/>
    </row>
    <row r="194" spans="2:7">
      <c r="B194" s="25" t="str">
        <f>IF(C194="","","PID-"&amp;TEXT(ROW()-2,"0000"))</f>
        <v/>
      </c>
      <c r="C194" s="25"/>
      <c r="D194" s="25"/>
      <c r="E194" s="255"/>
      <c r="F194" s="25"/>
      <c r="G194" s="25"/>
    </row>
    <row r="195" spans="2:7">
      <c r="B195" s="25" t="str">
        <f>IF(C195="","","PID-"&amp;TEXT(ROW()-2,"0000"))</f>
        <v/>
      </c>
      <c r="C195" s="25"/>
      <c r="D195" s="25"/>
      <c r="E195" s="255"/>
      <c r="F195" s="25"/>
      <c r="G195" s="25"/>
    </row>
    <row r="196" spans="2:7">
      <c r="B196" s="25" t="str">
        <f>IF(C196="","","PID-"&amp;TEXT(ROW()-2,"0000"))</f>
        <v/>
      </c>
      <c r="C196" s="25"/>
      <c r="D196" s="25"/>
      <c r="E196" s="255"/>
      <c r="F196" s="25"/>
      <c r="G196" s="25"/>
    </row>
    <row r="197" spans="2:7">
      <c r="B197" s="25" t="str">
        <f>IF(C197="","","PID-"&amp;TEXT(ROW()-2,"0000"))</f>
        <v/>
      </c>
      <c r="C197" s="25"/>
      <c r="D197" s="25"/>
      <c r="E197" s="255"/>
      <c r="F197" s="25"/>
      <c r="G197" s="25"/>
    </row>
    <row r="198" spans="2:7">
      <c r="B198" s="25" t="str">
        <f>IF(C198="","","PID-"&amp;TEXT(ROW()-2,"0000"))</f>
        <v/>
      </c>
      <c r="C198" s="25"/>
      <c r="D198" s="25"/>
      <c r="E198" s="255"/>
      <c r="F198" s="25"/>
      <c r="G198" s="25"/>
    </row>
    <row r="199" spans="2:7">
      <c r="B199" s="25" t="str">
        <f>IF(C199="","","PID-"&amp;TEXT(ROW()-2,"0000"))</f>
        <v/>
      </c>
      <c r="C199" s="25"/>
      <c r="D199" s="25"/>
      <c r="E199" s="255"/>
      <c r="F199" s="25"/>
      <c r="G199" s="25"/>
    </row>
    <row r="200" spans="2:7">
      <c r="B200" s="25" t="str">
        <f>IF(C200="","","PID-"&amp;TEXT(ROW()-2,"0000"))</f>
        <v/>
      </c>
      <c r="C200" s="25"/>
      <c r="D200" s="25"/>
      <c r="E200" s="255"/>
      <c r="F200" s="25"/>
      <c r="G200" s="25"/>
    </row>
    <row r="201" spans="2:7">
      <c r="B201" s="25" t="str">
        <f>IF(C201="","","PID-"&amp;TEXT(ROW()-2,"0000"))</f>
        <v/>
      </c>
      <c r="C201" s="25"/>
      <c r="D201" s="25"/>
      <c r="E201" s="255"/>
      <c r="F201" s="25"/>
      <c r="G201" s="25"/>
    </row>
    <row r="202" spans="2:7">
      <c r="B202" s="25" t="str">
        <f>IF(C202="","","PID-"&amp;TEXT(ROW()-2,"0000"))</f>
        <v/>
      </c>
      <c r="C202" s="25"/>
      <c r="D202" s="25"/>
      <c r="E202" s="255"/>
      <c r="F202" s="25"/>
      <c r="G202" s="25"/>
    </row>
    <row r="203" spans="2:7">
      <c r="B203" s="25" t="str">
        <f>IF(C203="","","PID-"&amp;TEXT(ROW()-2,"0000"))</f>
        <v/>
      </c>
      <c r="C203" s="25"/>
      <c r="D203" s="25"/>
      <c r="E203" s="255"/>
      <c r="F203" s="25"/>
      <c r="G203" s="25"/>
    </row>
    <row r="204" spans="2:7">
      <c r="B204" s="25" t="str">
        <f>IF(C204="","","PID-"&amp;TEXT(ROW()-2,"0000"))</f>
        <v/>
      </c>
      <c r="C204" s="25"/>
      <c r="D204" s="25"/>
      <c r="E204" s="255"/>
      <c r="F204" s="25"/>
      <c r="G204" s="25"/>
    </row>
    <row r="205" spans="2:7">
      <c r="B205" s="25" t="str">
        <f>IF(C205="","","PID-"&amp;TEXT(ROW()-2,"0000"))</f>
        <v/>
      </c>
      <c r="C205" s="25"/>
      <c r="D205" s="25"/>
      <c r="E205" s="255"/>
      <c r="F205" s="25"/>
      <c r="G205" s="25"/>
    </row>
    <row r="206" spans="2:7">
      <c r="B206" s="25" t="str">
        <f>IF(C206="","","PID-"&amp;TEXT(ROW()-2,"0000"))</f>
        <v/>
      </c>
      <c r="C206" s="25"/>
      <c r="D206" s="25"/>
      <c r="E206" s="255"/>
      <c r="F206" s="25"/>
      <c r="G206" s="25"/>
    </row>
    <row r="207" spans="2:7">
      <c r="B207" s="25" t="str">
        <f>IF(C207="","","PID-"&amp;TEXT(ROW()-2,"0000"))</f>
        <v/>
      </c>
      <c r="C207" s="25"/>
      <c r="D207" s="25"/>
      <c r="E207" s="255"/>
      <c r="F207" s="25"/>
      <c r="G207" s="25"/>
    </row>
    <row r="208" spans="2:7">
      <c r="B208" s="25" t="str">
        <f>IF(C208="","","PID-"&amp;TEXT(ROW()-2,"0000"))</f>
        <v/>
      </c>
      <c r="C208" s="25"/>
      <c r="D208" s="25"/>
      <c r="E208" s="255"/>
      <c r="F208" s="25"/>
      <c r="G208" s="25"/>
    </row>
    <row r="209" spans="2:7">
      <c r="B209" s="25" t="str">
        <f>IF(C209="","","PID-"&amp;TEXT(ROW()-2,"0000"))</f>
        <v/>
      </c>
      <c r="C209" s="25"/>
      <c r="D209" s="25"/>
      <c r="E209" s="255"/>
      <c r="F209" s="25"/>
      <c r="G209" s="25"/>
    </row>
    <row r="210" spans="2:7">
      <c r="B210" s="25" t="str">
        <f>IF(C210="","","PID-"&amp;TEXT(ROW()-2,"0000"))</f>
        <v/>
      </c>
      <c r="C210" s="25"/>
      <c r="D210" s="25"/>
      <c r="E210" s="255"/>
      <c r="F210" s="25"/>
      <c r="G210" s="25"/>
    </row>
    <row r="211" spans="2:7">
      <c r="B211" s="25" t="str">
        <f>IF(C211="","","PID-"&amp;TEXT(ROW()-2,"0000"))</f>
        <v/>
      </c>
      <c r="C211" s="25"/>
      <c r="D211" s="25"/>
      <c r="E211" s="255"/>
      <c r="F211" s="25"/>
      <c r="G211" s="25"/>
    </row>
    <row r="212" spans="2:7">
      <c r="B212" s="25" t="str">
        <f>IF(C212="","","PID-"&amp;TEXT(ROW()-2,"0000"))</f>
        <v/>
      </c>
      <c r="C212" s="25"/>
      <c r="D212" s="25"/>
      <c r="E212" s="255"/>
      <c r="F212" s="25"/>
      <c r="G212" s="25"/>
    </row>
    <row r="213" spans="2:7">
      <c r="B213" s="25" t="str">
        <f>IF(C213="","","PID-"&amp;TEXT(ROW()-2,"0000"))</f>
        <v/>
      </c>
      <c r="C213" s="25"/>
      <c r="D213" s="25"/>
      <c r="E213" s="255"/>
      <c r="F213" s="25"/>
      <c r="G213" s="25"/>
    </row>
    <row r="214" spans="2:7">
      <c r="B214" s="25" t="str">
        <f>IF(C214="","","PID-"&amp;TEXT(ROW()-2,"0000"))</f>
        <v/>
      </c>
      <c r="C214" s="25"/>
      <c r="D214" s="25"/>
      <c r="E214" s="255"/>
      <c r="F214" s="25"/>
      <c r="G214" s="25"/>
    </row>
    <row r="215" spans="2:7">
      <c r="B215" s="25" t="str">
        <f>IF(C215="","","PID-"&amp;TEXT(ROW()-2,"0000"))</f>
        <v/>
      </c>
      <c r="C215" s="25"/>
      <c r="D215" s="25"/>
      <c r="E215" s="255"/>
      <c r="F215" s="25"/>
      <c r="G215" s="25"/>
    </row>
    <row r="216" spans="2:7">
      <c r="B216" s="25" t="str">
        <f>IF(C216="","","PID-"&amp;TEXT(ROW()-2,"0000"))</f>
        <v/>
      </c>
      <c r="C216" s="25"/>
      <c r="D216" s="25"/>
      <c r="E216" s="255"/>
      <c r="F216" s="25"/>
      <c r="G216" s="25"/>
    </row>
    <row r="217" spans="2:7">
      <c r="B217" s="25" t="str">
        <f>IF(C217="","","PID-"&amp;TEXT(ROW()-2,"0000"))</f>
        <v/>
      </c>
      <c r="C217" s="25"/>
      <c r="D217" s="25"/>
      <c r="E217" s="255"/>
      <c r="F217" s="25"/>
      <c r="G217" s="25"/>
    </row>
    <row r="218" spans="2:7">
      <c r="B218" s="25" t="str">
        <f>IF(C218="","","PID-"&amp;TEXT(ROW()-2,"0000"))</f>
        <v/>
      </c>
      <c r="C218" s="25"/>
      <c r="D218" s="25"/>
      <c r="E218" s="255"/>
      <c r="F218" s="25"/>
      <c r="G218" s="25"/>
    </row>
    <row r="219" spans="2:7">
      <c r="B219" s="25" t="str">
        <f>IF(C219="","","PID-"&amp;TEXT(ROW()-2,"0000"))</f>
        <v/>
      </c>
      <c r="C219" s="25"/>
      <c r="D219" s="25"/>
      <c r="E219" s="255"/>
      <c r="F219" s="25"/>
      <c r="G219" s="25"/>
    </row>
    <row r="220" spans="2:7">
      <c r="B220" s="25" t="str">
        <f>IF(C220="","","PID-"&amp;TEXT(ROW()-2,"0000"))</f>
        <v/>
      </c>
      <c r="C220" s="25"/>
      <c r="D220" s="25"/>
      <c r="E220" s="255"/>
      <c r="F220" s="25"/>
      <c r="G220" s="25"/>
    </row>
    <row r="221" spans="2:7">
      <c r="B221" s="25" t="str">
        <f>IF(C221="","","PID-"&amp;TEXT(ROW()-2,"0000"))</f>
        <v/>
      </c>
      <c r="C221" s="25"/>
      <c r="D221" s="25"/>
      <c r="E221" s="255"/>
      <c r="F221" s="25"/>
      <c r="G221" s="25"/>
    </row>
    <row r="222" spans="2:7">
      <c r="B222" s="25" t="str">
        <f>IF(C222="","","PID-"&amp;TEXT(ROW()-2,"0000"))</f>
        <v/>
      </c>
      <c r="C222" s="25"/>
      <c r="D222" s="25"/>
      <c r="E222" s="255"/>
      <c r="F222" s="25"/>
      <c r="G222" s="25"/>
    </row>
    <row r="223" spans="2:7">
      <c r="B223" s="25" t="str">
        <f>IF(C223="","","PID-"&amp;TEXT(ROW()-2,"0000"))</f>
        <v/>
      </c>
      <c r="C223" s="25"/>
      <c r="D223" s="25"/>
      <c r="E223" s="255"/>
      <c r="F223" s="25"/>
      <c r="G223" s="25"/>
    </row>
    <row r="224" spans="2:7">
      <c r="B224" s="25" t="str">
        <f>IF(C224="","","PID-"&amp;TEXT(ROW()-2,"0000"))</f>
        <v/>
      </c>
      <c r="C224" s="25"/>
      <c r="D224" s="25"/>
      <c r="E224" s="255"/>
      <c r="F224" s="25"/>
      <c r="G224" s="25"/>
    </row>
    <row r="225" spans="2:7">
      <c r="B225" s="25" t="str">
        <f>IF(C225="","","PID-"&amp;TEXT(ROW()-2,"0000"))</f>
        <v/>
      </c>
      <c r="C225" s="25"/>
      <c r="D225" s="25"/>
      <c r="E225" s="255"/>
      <c r="F225" s="25"/>
      <c r="G225" s="25"/>
    </row>
    <row r="226" spans="2:7">
      <c r="B226" s="25" t="str">
        <f>IF(C226="","","PID-"&amp;TEXT(ROW()-2,"0000"))</f>
        <v/>
      </c>
      <c r="C226" s="25"/>
      <c r="D226" s="25"/>
      <c r="E226" s="255"/>
      <c r="F226" s="25"/>
      <c r="G226" s="25"/>
    </row>
    <row r="227" spans="2:7">
      <c r="B227" s="25" t="str">
        <f>IF(C227="","","PID-"&amp;TEXT(ROW()-2,"0000"))</f>
        <v/>
      </c>
      <c r="C227" s="25"/>
      <c r="D227" s="25"/>
      <c r="E227" s="255"/>
      <c r="F227" s="25"/>
      <c r="G227" s="25"/>
    </row>
    <row r="228" spans="2:7">
      <c r="B228" s="25" t="str">
        <f>IF(C228="","","PID-"&amp;TEXT(ROW()-2,"0000"))</f>
        <v/>
      </c>
      <c r="C228" s="25"/>
      <c r="D228" s="25"/>
      <c r="E228" s="255"/>
      <c r="F228" s="25"/>
      <c r="G228" s="25"/>
    </row>
    <row r="229" spans="2:7">
      <c r="B229" s="25" t="str">
        <f>IF(C229="","","PID-"&amp;TEXT(ROW()-2,"0000"))</f>
        <v/>
      </c>
      <c r="C229" s="25"/>
      <c r="D229" s="25"/>
      <c r="E229" s="255"/>
      <c r="F229" s="25"/>
      <c r="G229" s="25"/>
    </row>
    <row r="230" spans="2:7">
      <c r="B230" s="25" t="str">
        <f>IF(C230="","","PID-"&amp;TEXT(ROW()-2,"0000"))</f>
        <v/>
      </c>
      <c r="C230" s="25"/>
      <c r="D230" s="25"/>
      <c r="E230" s="255"/>
      <c r="F230" s="25"/>
      <c r="G230" s="25"/>
    </row>
    <row r="231" spans="2:7">
      <c r="B231" s="25" t="str">
        <f>IF(C231="","","PID-"&amp;TEXT(ROW()-2,"0000"))</f>
        <v/>
      </c>
      <c r="C231" s="25"/>
      <c r="D231" s="25"/>
      <c r="E231" s="255"/>
      <c r="F231" s="25"/>
      <c r="G231" s="25"/>
    </row>
    <row r="232" spans="2:7">
      <c r="B232" s="25" t="str">
        <f>IF(C232="","","PID-"&amp;TEXT(ROW()-2,"0000"))</f>
        <v/>
      </c>
      <c r="C232" s="25"/>
      <c r="D232" s="25"/>
      <c r="E232" s="255"/>
      <c r="F232" s="25"/>
      <c r="G232" s="25"/>
    </row>
    <row r="233" spans="2:7">
      <c r="B233" s="25" t="str">
        <f>IF(C233="","","PID-"&amp;TEXT(ROW()-2,"0000"))</f>
        <v/>
      </c>
      <c r="C233" s="25"/>
      <c r="D233" s="25"/>
      <c r="E233" s="255"/>
      <c r="F233" s="25"/>
      <c r="G233" s="25"/>
    </row>
    <row r="234" spans="2:7">
      <c r="B234" s="25" t="str">
        <f>IF(C234="","","PID-"&amp;TEXT(ROW()-2,"0000"))</f>
        <v/>
      </c>
      <c r="C234" s="25"/>
      <c r="D234" s="25"/>
      <c r="E234" s="255"/>
      <c r="F234" s="25"/>
      <c r="G234" s="25"/>
    </row>
    <row r="235" spans="2:7">
      <c r="B235" s="25" t="str">
        <f>IF(C235="","","PID-"&amp;TEXT(ROW()-2,"0000"))</f>
        <v/>
      </c>
      <c r="C235" s="25"/>
      <c r="D235" s="25"/>
      <c r="E235" s="255"/>
      <c r="F235" s="25"/>
      <c r="G235" s="25"/>
    </row>
    <row r="236" spans="2:7">
      <c r="B236" s="25" t="str">
        <f>IF(C236="","","PID-"&amp;TEXT(ROW()-2,"0000"))</f>
        <v/>
      </c>
      <c r="C236" s="25"/>
      <c r="D236" s="25"/>
      <c r="E236" s="255"/>
      <c r="F236" s="25"/>
      <c r="G236" s="25"/>
    </row>
    <row r="237" spans="2:7">
      <c r="B237" s="25" t="str">
        <f>IF(C237="","","PID-"&amp;TEXT(ROW()-2,"0000"))</f>
        <v/>
      </c>
      <c r="C237" s="25"/>
      <c r="D237" s="25"/>
      <c r="E237" s="255"/>
      <c r="F237" s="25"/>
      <c r="G237" s="25"/>
    </row>
    <row r="238" spans="2:7">
      <c r="B238" s="25" t="str">
        <f>IF(C238="","","PID-"&amp;TEXT(ROW()-2,"0000"))</f>
        <v/>
      </c>
      <c r="C238" s="25"/>
      <c r="D238" s="25"/>
      <c r="E238" s="255"/>
      <c r="F238" s="25"/>
      <c r="G238" s="25"/>
    </row>
    <row r="239" spans="2:7">
      <c r="B239" s="25" t="str">
        <f>IF(C239="","","PID-"&amp;TEXT(ROW()-2,"0000"))</f>
        <v/>
      </c>
      <c r="C239" s="25"/>
      <c r="D239" s="25"/>
      <c r="E239" s="255"/>
      <c r="F239" s="25"/>
      <c r="G239" s="25"/>
    </row>
    <row r="240" spans="2:7">
      <c r="B240" s="25" t="str">
        <f>IF(C240="","","PID-"&amp;TEXT(ROW()-2,"0000"))</f>
        <v/>
      </c>
      <c r="C240" s="25"/>
      <c r="D240" s="25"/>
      <c r="E240" s="255"/>
      <c r="F240" s="25"/>
      <c r="G240" s="25"/>
    </row>
    <row r="241" spans="2:7">
      <c r="B241" s="25" t="str">
        <f>IF(C241="","","PID-"&amp;TEXT(ROW()-2,"0000"))</f>
        <v/>
      </c>
      <c r="C241" s="25"/>
      <c r="D241" s="25"/>
      <c r="E241" s="255"/>
      <c r="F241" s="25"/>
      <c r="G241" s="25"/>
    </row>
    <row r="242" spans="2:7">
      <c r="B242" s="25" t="str">
        <f>IF(C242="","","PID-"&amp;TEXT(ROW()-2,"0000"))</f>
        <v/>
      </c>
      <c r="C242" s="25"/>
      <c r="D242" s="25"/>
      <c r="E242" s="255"/>
      <c r="F242" s="25"/>
      <c r="G242" s="25"/>
    </row>
    <row r="243" spans="2:7">
      <c r="B243" s="25" t="str">
        <f>IF(C243="","","PID-"&amp;TEXT(ROW()-2,"0000"))</f>
        <v/>
      </c>
      <c r="C243" s="25"/>
      <c r="D243" s="25"/>
      <c r="E243" s="255"/>
      <c r="F243" s="25"/>
      <c r="G243" s="25"/>
    </row>
    <row r="244" spans="2:7">
      <c r="B244" s="25" t="str">
        <f>IF(C244="","","PID-"&amp;TEXT(ROW()-2,"0000"))</f>
        <v/>
      </c>
      <c r="C244" s="25"/>
      <c r="D244" s="25"/>
      <c r="E244" s="255"/>
      <c r="F244" s="25"/>
      <c r="G244" s="25"/>
    </row>
    <row r="245" spans="2:7">
      <c r="B245" s="25" t="str">
        <f>IF(C245="","","PID-"&amp;TEXT(ROW()-2,"0000"))</f>
        <v/>
      </c>
      <c r="C245" s="25"/>
      <c r="D245" s="25"/>
      <c r="E245" s="255"/>
      <c r="F245" s="25"/>
      <c r="G245" s="25"/>
    </row>
    <row r="246" spans="2:7">
      <c r="B246" s="25" t="str">
        <f>IF(C246="","","PID-"&amp;TEXT(ROW()-2,"0000"))</f>
        <v/>
      </c>
      <c r="C246" s="25"/>
      <c r="D246" s="25"/>
      <c r="E246" s="255"/>
      <c r="F246" s="25"/>
      <c r="G246" s="25"/>
    </row>
    <row r="247" spans="2:7">
      <c r="B247" s="25" t="str">
        <f>IF(C247="","","PID-"&amp;TEXT(ROW()-2,"0000"))</f>
        <v/>
      </c>
      <c r="C247" s="25"/>
      <c r="D247" s="25"/>
      <c r="E247" s="255"/>
      <c r="F247" s="25"/>
      <c r="G247" s="25"/>
    </row>
    <row r="248" spans="2:7">
      <c r="B248" s="25" t="str">
        <f>IF(C248="","","PID-"&amp;TEXT(ROW()-2,"0000"))</f>
        <v/>
      </c>
      <c r="C248" s="25"/>
      <c r="D248" s="25"/>
      <c r="E248" s="255"/>
      <c r="F248" s="25"/>
      <c r="G248" s="25"/>
    </row>
    <row r="249" spans="2:7">
      <c r="B249" s="25" t="str">
        <f>IF(C249="","","PID-"&amp;TEXT(ROW()-2,"0000"))</f>
        <v/>
      </c>
      <c r="C249" s="25"/>
      <c r="D249" s="25"/>
      <c r="E249" s="255"/>
      <c r="F249" s="25"/>
      <c r="G249" s="25"/>
    </row>
    <row r="250" spans="2:7">
      <c r="B250" s="25" t="str">
        <f>IF(C250="","","PID-"&amp;TEXT(ROW()-2,"0000"))</f>
        <v/>
      </c>
      <c r="C250" s="25"/>
      <c r="D250" s="25"/>
      <c r="E250" s="255"/>
      <c r="F250" s="25"/>
      <c r="G250" s="25"/>
    </row>
    <row r="251" spans="2:7">
      <c r="B251" s="25" t="str">
        <f>IF(C251="","","PID-"&amp;TEXT(ROW()-2,"0000"))</f>
        <v/>
      </c>
      <c r="C251" s="25"/>
      <c r="D251" s="25"/>
      <c r="E251" s="255"/>
      <c r="F251" s="25"/>
      <c r="G251" s="25"/>
    </row>
    <row r="252" spans="2:7">
      <c r="B252" s="25" t="str">
        <f>IF(C252="","","PID-"&amp;TEXT(ROW()-2,"0000"))</f>
        <v/>
      </c>
      <c r="C252" s="25"/>
      <c r="D252" s="25"/>
      <c r="E252" s="255"/>
      <c r="F252" s="25"/>
      <c r="G252" s="25"/>
    </row>
    <row r="253" spans="2:7">
      <c r="B253" s="25" t="str">
        <f>IF(C253="","","PID-"&amp;TEXT(ROW()-2,"0000"))</f>
        <v/>
      </c>
      <c r="C253" s="25"/>
      <c r="D253" s="25"/>
      <c r="E253" s="255"/>
      <c r="F253" s="25"/>
      <c r="G253" s="25"/>
    </row>
    <row r="254" spans="2:7">
      <c r="B254" s="25" t="str">
        <f>IF(C254="","","PID-"&amp;TEXT(ROW()-2,"0000"))</f>
        <v/>
      </c>
      <c r="C254" s="25"/>
      <c r="D254" s="25"/>
      <c r="E254" s="255"/>
      <c r="F254" s="25"/>
      <c r="G254" s="25"/>
    </row>
    <row r="255" spans="2:7">
      <c r="B255" s="25" t="str">
        <f>IF(C255="","","PID-"&amp;TEXT(ROW()-2,"0000"))</f>
        <v/>
      </c>
      <c r="C255" s="25"/>
      <c r="D255" s="25"/>
      <c r="E255" s="255"/>
      <c r="F255" s="25"/>
      <c r="G255" s="25"/>
    </row>
    <row r="256" spans="2:7">
      <c r="B256" s="25" t="str">
        <f>IF(C256="","","PID-"&amp;TEXT(ROW()-2,"0000"))</f>
        <v/>
      </c>
      <c r="C256" s="25"/>
      <c r="D256" s="25"/>
      <c r="E256" s="255"/>
      <c r="F256" s="25"/>
      <c r="G256" s="25"/>
    </row>
    <row r="257" spans="2:7">
      <c r="B257" s="25" t="str">
        <f>IF(C257="","","PID-"&amp;TEXT(ROW()-2,"0000"))</f>
        <v/>
      </c>
      <c r="C257" s="25"/>
      <c r="D257" s="25"/>
      <c r="E257" s="255"/>
      <c r="F257" s="25"/>
      <c r="G257" s="25"/>
    </row>
    <row r="258" spans="2:7">
      <c r="B258" s="25" t="str">
        <f>IF(C258="","","PID-"&amp;TEXT(ROW()-2,"0000"))</f>
        <v/>
      </c>
      <c r="C258" s="25"/>
      <c r="D258" s="25"/>
      <c r="E258" s="255"/>
      <c r="F258" s="25"/>
      <c r="G258" s="25"/>
    </row>
    <row r="259" spans="2:7">
      <c r="B259" s="25" t="str">
        <f>IF(C259="","","PID-"&amp;TEXT(ROW()-2,"0000"))</f>
        <v/>
      </c>
      <c r="C259" s="25"/>
      <c r="D259" s="25"/>
      <c r="E259" s="255"/>
      <c r="F259" s="25"/>
      <c r="G259" s="25"/>
    </row>
    <row r="260" spans="2:7">
      <c r="B260" s="25" t="str">
        <f>IF(C260="","","PID-"&amp;TEXT(ROW()-2,"0000"))</f>
        <v/>
      </c>
      <c r="C260" s="25"/>
      <c r="D260" s="25"/>
      <c r="E260" s="255"/>
      <c r="F260" s="25"/>
      <c r="G260" s="25"/>
    </row>
    <row r="261" spans="2:7">
      <c r="B261" s="25" t="str">
        <f>IF(C261="","","PID-"&amp;TEXT(ROW()-2,"0000"))</f>
        <v/>
      </c>
      <c r="C261" s="25"/>
      <c r="D261" s="25"/>
      <c r="E261" s="255"/>
      <c r="F261" s="25"/>
      <c r="G261" s="25"/>
    </row>
    <row r="262" spans="2:7">
      <c r="B262" s="25" t="str">
        <f>IF(C262="","","PID-"&amp;TEXT(ROW()-2,"0000"))</f>
        <v/>
      </c>
      <c r="C262" s="25"/>
      <c r="D262" s="25"/>
      <c r="E262" s="255"/>
      <c r="F262" s="25"/>
      <c r="G262" s="25"/>
    </row>
    <row r="263" spans="2:7">
      <c r="B263" s="25" t="str">
        <f>IF(C263="","","PID-"&amp;TEXT(ROW()-2,"0000"))</f>
        <v/>
      </c>
      <c r="C263" s="25"/>
      <c r="D263" s="25"/>
      <c r="E263" s="255"/>
      <c r="F263" s="25"/>
      <c r="G263" s="25"/>
    </row>
    <row r="264" spans="2:7">
      <c r="B264" s="25" t="str">
        <f>IF(C264="","","PID-"&amp;TEXT(ROW()-2,"0000"))</f>
        <v/>
      </c>
      <c r="C264" s="25"/>
      <c r="D264" s="25"/>
      <c r="E264" s="255"/>
      <c r="F264" s="25"/>
      <c r="G264" s="25"/>
    </row>
    <row r="265" spans="2:7">
      <c r="B265" s="25" t="str">
        <f>IF(C265="","","PID-"&amp;TEXT(ROW()-2,"0000"))</f>
        <v/>
      </c>
      <c r="C265" s="25"/>
      <c r="D265" s="25"/>
      <c r="E265" s="255"/>
      <c r="F265" s="25"/>
      <c r="G265" s="25"/>
    </row>
    <row r="266" spans="2:7">
      <c r="B266" s="25" t="str">
        <f>IF(C266="","","PID-"&amp;TEXT(ROW()-2,"0000"))</f>
        <v/>
      </c>
      <c r="C266" s="25"/>
      <c r="D266" s="25"/>
      <c r="E266" s="255"/>
      <c r="F266" s="25"/>
      <c r="G266" s="25"/>
    </row>
    <row r="267" spans="2:7">
      <c r="B267" s="25" t="str">
        <f>IF(C267="","","PID-"&amp;TEXT(ROW()-2,"0000"))</f>
        <v/>
      </c>
      <c r="C267" s="25"/>
      <c r="D267" s="25"/>
      <c r="E267" s="255"/>
      <c r="F267" s="25"/>
      <c r="G267" s="25"/>
    </row>
    <row r="268" spans="2:7">
      <c r="B268" s="25" t="str">
        <f>IF(C268="","","PID-"&amp;TEXT(ROW()-2,"0000"))</f>
        <v/>
      </c>
      <c r="C268" s="25"/>
      <c r="D268" s="25"/>
      <c r="E268" s="255"/>
      <c r="F268" s="25"/>
      <c r="G268" s="25"/>
    </row>
    <row r="269" spans="2:7">
      <c r="B269" s="25" t="str">
        <f>IF(C269="","","PID-"&amp;TEXT(ROW()-2,"0000"))</f>
        <v/>
      </c>
      <c r="C269" s="25"/>
      <c r="D269" s="25"/>
      <c r="E269" s="255"/>
      <c r="F269" s="25"/>
      <c r="G269" s="25"/>
    </row>
    <row r="270" spans="2:7">
      <c r="B270" s="25" t="str">
        <f>IF(C270="","","PID-"&amp;TEXT(ROW()-2,"0000"))</f>
        <v/>
      </c>
      <c r="C270" s="25"/>
      <c r="D270" s="25"/>
      <c r="E270" s="255"/>
      <c r="F270" s="25"/>
      <c r="G270" s="25"/>
    </row>
    <row r="271" spans="2:7">
      <c r="B271" s="25" t="str">
        <f>IF(C271="","","PID-"&amp;TEXT(ROW()-2,"0000"))</f>
        <v/>
      </c>
      <c r="C271" s="25"/>
      <c r="D271" s="25"/>
      <c r="E271" s="255"/>
      <c r="F271" s="25"/>
      <c r="G271" s="25"/>
    </row>
    <row r="272" spans="2:7">
      <c r="B272" s="25" t="str">
        <f>IF(C272="","","PID-"&amp;TEXT(ROW()-2,"0000"))</f>
        <v/>
      </c>
      <c r="C272" s="25"/>
      <c r="D272" s="25"/>
      <c r="E272" s="255"/>
      <c r="F272" s="25"/>
      <c r="G272" s="25"/>
    </row>
    <row r="273" spans="2:7">
      <c r="B273" s="25" t="str">
        <f>IF(C273="","","PID-"&amp;TEXT(ROW()-2,"0000"))</f>
        <v/>
      </c>
      <c r="C273" s="25"/>
      <c r="D273" s="25"/>
      <c r="E273" s="255"/>
      <c r="F273" s="25"/>
      <c r="G273" s="25"/>
    </row>
    <row r="274" spans="2:7">
      <c r="B274" s="25" t="str">
        <f>IF(C274="","","PID-"&amp;TEXT(ROW()-2,"0000"))</f>
        <v/>
      </c>
      <c r="C274" s="25"/>
      <c r="D274" s="25"/>
      <c r="E274" s="255"/>
      <c r="F274" s="25"/>
      <c r="G274" s="25"/>
    </row>
    <row r="275" spans="2:7">
      <c r="B275" s="25" t="str">
        <f>IF(C275="","","PID-"&amp;TEXT(ROW()-2,"0000"))</f>
        <v/>
      </c>
      <c r="C275" s="25"/>
      <c r="D275" s="25"/>
      <c r="E275" s="255"/>
      <c r="F275" s="25"/>
      <c r="G275" s="25"/>
    </row>
    <row r="276" spans="2:7">
      <c r="B276" s="25" t="str">
        <f>IF(C276="","","PID-"&amp;TEXT(ROW()-2,"0000"))</f>
        <v/>
      </c>
      <c r="C276" s="25"/>
      <c r="D276" s="25"/>
      <c r="E276" s="255"/>
      <c r="F276" s="25"/>
      <c r="G276" s="25"/>
    </row>
    <row r="277" spans="2:7">
      <c r="B277" s="25" t="str">
        <f>IF(C277="","","PID-"&amp;TEXT(ROW()-2,"0000"))</f>
        <v/>
      </c>
      <c r="C277" s="25"/>
      <c r="D277" s="25"/>
      <c r="E277" s="255"/>
      <c r="F277" s="25"/>
      <c r="G277" s="25"/>
    </row>
    <row r="278" spans="2:7">
      <c r="B278" s="25" t="str">
        <f>IF(C278="","","PID-"&amp;TEXT(ROW()-2,"0000"))</f>
        <v/>
      </c>
      <c r="C278" s="25"/>
      <c r="D278" s="25"/>
      <c r="E278" s="255"/>
      <c r="F278" s="25"/>
      <c r="G278" s="25"/>
    </row>
    <row r="279" spans="2:7">
      <c r="B279" s="25" t="str">
        <f>IF(C279="","","PID-"&amp;TEXT(ROW()-2,"0000"))</f>
        <v/>
      </c>
      <c r="C279" s="25"/>
      <c r="D279" s="25"/>
      <c r="E279" s="255"/>
      <c r="F279" s="25"/>
      <c r="G279" s="25"/>
    </row>
    <row r="280" spans="2:7">
      <c r="B280" s="25" t="str">
        <f>IF(C280="","","PID-"&amp;TEXT(ROW()-2,"0000"))</f>
        <v/>
      </c>
      <c r="C280" s="25"/>
      <c r="D280" s="25"/>
      <c r="E280" s="255"/>
      <c r="F280" s="25"/>
      <c r="G280" s="25"/>
    </row>
    <row r="281" spans="2:7">
      <c r="B281" s="25" t="str">
        <f>IF(C281="","","PID-"&amp;TEXT(ROW()-2,"0000"))</f>
        <v/>
      </c>
      <c r="C281" s="25"/>
      <c r="D281" s="25"/>
      <c r="E281" s="255"/>
      <c r="F281" s="25"/>
      <c r="G281" s="25"/>
    </row>
    <row r="282" spans="2:7">
      <c r="B282" s="25" t="str">
        <f>IF(C282="","","PID-"&amp;TEXT(ROW()-2,"0000"))</f>
        <v/>
      </c>
      <c r="C282" s="25"/>
      <c r="D282" s="25"/>
      <c r="E282" s="255"/>
      <c r="F282" s="25"/>
      <c r="G282" s="25"/>
    </row>
    <row r="283" spans="2:7">
      <c r="B283" s="25" t="str">
        <f>IF(C283="","","PID-"&amp;TEXT(ROW()-2,"0000"))</f>
        <v/>
      </c>
      <c r="C283" s="25"/>
      <c r="D283" s="25"/>
      <c r="E283" s="255"/>
      <c r="F283" s="25"/>
      <c r="G283" s="25"/>
    </row>
    <row r="284" spans="2:7">
      <c r="B284" s="25" t="str">
        <f>IF(C284="","","PID-"&amp;TEXT(ROW()-2,"0000"))</f>
        <v/>
      </c>
      <c r="C284" s="25"/>
      <c r="D284" s="25"/>
      <c r="E284" s="255"/>
      <c r="F284" s="25"/>
      <c r="G284" s="25"/>
    </row>
    <row r="285" spans="2:7">
      <c r="B285" s="25" t="str">
        <f>IF(C285="","","PID-"&amp;TEXT(ROW()-2,"0000"))</f>
        <v/>
      </c>
      <c r="C285" s="25"/>
      <c r="D285" s="25"/>
      <c r="E285" s="255"/>
      <c r="F285" s="25"/>
      <c r="G285" s="25"/>
    </row>
    <row r="286" spans="2:7">
      <c r="B286" s="25" t="str">
        <f>IF(C286="","","PID-"&amp;TEXT(ROW()-2,"0000"))</f>
        <v/>
      </c>
      <c r="C286" s="25"/>
      <c r="D286" s="25"/>
      <c r="E286" s="255"/>
      <c r="F286" s="25"/>
      <c r="G286" s="25"/>
    </row>
    <row r="287" spans="2:7">
      <c r="B287" s="25" t="str">
        <f>IF(C287="","","PID-"&amp;TEXT(ROW()-2,"0000"))</f>
        <v/>
      </c>
      <c r="C287" s="25"/>
      <c r="D287" s="25"/>
      <c r="E287" s="255"/>
      <c r="F287" s="25"/>
      <c r="G287" s="25"/>
    </row>
    <row r="288" spans="2:7">
      <c r="B288" s="25" t="str">
        <f>IF(C288="","","PID-"&amp;TEXT(ROW()-2,"0000"))</f>
        <v/>
      </c>
      <c r="C288" s="25"/>
      <c r="D288" s="25"/>
      <c r="E288" s="255"/>
      <c r="F288" s="25"/>
      <c r="G288" s="25"/>
    </row>
    <row r="289" spans="2:7">
      <c r="B289" s="25" t="str">
        <f>IF(C289="","","PID-"&amp;TEXT(ROW()-2,"0000"))</f>
        <v/>
      </c>
      <c r="C289" s="25"/>
      <c r="D289" s="25"/>
      <c r="E289" s="255"/>
      <c r="F289" s="25"/>
      <c r="G289" s="25"/>
    </row>
    <row r="290" spans="2:7">
      <c r="B290" s="25" t="str">
        <f>IF(C290="","","PID-"&amp;TEXT(ROW()-2,"0000"))</f>
        <v/>
      </c>
      <c r="C290" s="25"/>
      <c r="D290" s="25"/>
      <c r="E290" s="255"/>
      <c r="F290" s="25"/>
      <c r="G290" s="25"/>
    </row>
    <row r="291" spans="2:7">
      <c r="B291" s="25" t="str">
        <f>IF(C291="","","PID-"&amp;TEXT(ROW()-2,"0000"))</f>
        <v/>
      </c>
      <c r="C291" s="25"/>
      <c r="D291" s="25"/>
      <c r="E291" s="255"/>
      <c r="F291" s="25"/>
      <c r="G291" s="25"/>
    </row>
    <row r="292" spans="2:7">
      <c r="B292" s="25" t="str">
        <f>IF(C292="","","PID-"&amp;TEXT(ROW()-2,"0000"))</f>
        <v/>
      </c>
      <c r="C292" s="25"/>
      <c r="D292" s="25"/>
      <c r="E292" s="255"/>
      <c r="F292" s="25"/>
      <c r="G292" s="25"/>
    </row>
    <row r="293" spans="2:7">
      <c r="B293" s="25" t="str">
        <f>IF(C293="","","PID-"&amp;TEXT(ROW()-2,"0000"))</f>
        <v/>
      </c>
      <c r="C293" s="25"/>
      <c r="D293" s="25"/>
      <c r="E293" s="255"/>
      <c r="F293" s="25"/>
      <c r="G293" s="25"/>
    </row>
    <row r="294" spans="2:7">
      <c r="B294" s="25" t="str">
        <f>IF(C294="","","PID-"&amp;TEXT(ROW()-2,"0000"))</f>
        <v/>
      </c>
      <c r="C294" s="25"/>
      <c r="D294" s="25"/>
      <c r="E294" s="255"/>
      <c r="F294" s="25"/>
      <c r="G294" s="25"/>
    </row>
    <row r="295" spans="2:7">
      <c r="B295" s="25" t="str">
        <f>IF(C295="","","PID-"&amp;TEXT(ROW()-2,"0000"))</f>
        <v/>
      </c>
      <c r="C295" s="25"/>
      <c r="D295" s="25"/>
      <c r="E295" s="255"/>
      <c r="F295" s="25"/>
      <c r="G295" s="25"/>
    </row>
    <row r="296" spans="2:7">
      <c r="B296" s="25" t="str">
        <f>IF(C296="","","PID-"&amp;TEXT(ROW()-2,"0000"))</f>
        <v/>
      </c>
      <c r="C296" s="25"/>
      <c r="D296" s="25"/>
      <c r="E296" s="255"/>
      <c r="F296" s="25"/>
      <c r="G296" s="25"/>
    </row>
    <row r="297" spans="2:7">
      <c r="B297" s="25" t="str">
        <f>IF(C297="","","PID-"&amp;TEXT(ROW()-2,"0000"))</f>
        <v/>
      </c>
      <c r="C297" s="25"/>
      <c r="D297" s="25"/>
      <c r="E297" s="255"/>
      <c r="F297" s="25"/>
      <c r="G297" s="25"/>
    </row>
    <row r="298" spans="2:7">
      <c r="B298" s="25" t="str">
        <f>IF(C298="","","PID-"&amp;TEXT(ROW()-2,"0000"))</f>
        <v/>
      </c>
      <c r="C298" s="25"/>
      <c r="D298" s="25"/>
      <c r="E298" s="255"/>
      <c r="F298" s="25"/>
      <c r="G298" s="25"/>
    </row>
    <row r="299" spans="2:7">
      <c r="B299" s="25" t="str">
        <f>IF(C299="","","PID-"&amp;TEXT(ROW()-2,"0000"))</f>
        <v/>
      </c>
      <c r="C299" s="25"/>
      <c r="D299" s="25"/>
      <c r="E299" s="255"/>
      <c r="F299" s="25"/>
      <c r="G299" s="25"/>
    </row>
    <row r="300" spans="2:7">
      <c r="B300" s="25" t="str">
        <f>IF(C300="","","PID-"&amp;TEXT(ROW()-2,"0000"))</f>
        <v/>
      </c>
      <c r="C300" s="25"/>
      <c r="D300" s="25"/>
      <c r="E300" s="255"/>
      <c r="F300" s="25"/>
      <c r="G300" s="25"/>
    </row>
    <row r="301" spans="2:7">
      <c r="B301" s="25" t="str">
        <f>IF(C301="","","PID-"&amp;TEXT(ROW()-2,"0000"))</f>
        <v/>
      </c>
      <c r="C301" s="25"/>
      <c r="D301" s="25"/>
      <c r="E301" s="255"/>
      <c r="F301" s="25"/>
      <c r="G301" s="25"/>
    </row>
    <row r="302" spans="2:7">
      <c r="B302" s="25" t="str">
        <f>IF(C302="","","PID-"&amp;TEXT(ROW()-2,"0000"))</f>
        <v/>
      </c>
      <c r="C302" s="25"/>
      <c r="D302" s="25"/>
      <c r="E302" s="255"/>
      <c r="F302" s="25"/>
      <c r="G302" s="25"/>
    </row>
    <row r="303" spans="2:7">
      <c r="B303" s="25" t="str">
        <f>IF(C303="","","PID-"&amp;TEXT(ROW()-2,"0000"))</f>
        <v/>
      </c>
      <c r="C303" s="25"/>
      <c r="D303" s="25"/>
      <c r="E303" s="255"/>
      <c r="F303" s="25"/>
      <c r="G303" s="25"/>
    </row>
    <row r="304" spans="2:7">
      <c r="B304" s="25" t="str">
        <f>IF(C304="","","PID-"&amp;TEXT(ROW()-2,"0000"))</f>
        <v/>
      </c>
      <c r="C304" s="25"/>
      <c r="D304" s="25"/>
      <c r="E304" s="255"/>
      <c r="F304" s="25"/>
      <c r="G304" s="25"/>
    </row>
    <row r="305" spans="2:7">
      <c r="B305" s="25" t="str">
        <f>IF(C305="","","PID-"&amp;TEXT(ROW()-2,"0000"))</f>
        <v/>
      </c>
      <c r="C305" s="25"/>
      <c r="D305" s="25"/>
      <c r="E305" s="255"/>
      <c r="F305" s="25"/>
      <c r="G305" s="25"/>
    </row>
    <row r="306" spans="2:7">
      <c r="B306" s="25" t="str">
        <f>IF(C306="","","PID-"&amp;TEXT(ROW()-2,"0000"))</f>
        <v/>
      </c>
      <c r="C306" s="25"/>
      <c r="D306" s="25"/>
      <c r="E306" s="255"/>
      <c r="F306" s="25"/>
      <c r="G306" s="25"/>
    </row>
    <row r="307" spans="2:7">
      <c r="B307" s="25" t="str">
        <f>IF(C307="","","PID-"&amp;TEXT(ROW()-2,"0000"))</f>
        <v/>
      </c>
      <c r="C307" s="25"/>
      <c r="D307" s="25"/>
      <c r="E307" s="255"/>
      <c r="F307" s="25"/>
      <c r="G307" s="25"/>
    </row>
    <row r="308" spans="2:7">
      <c r="B308" s="25" t="str">
        <f>IF(C308="","","PID-"&amp;TEXT(ROW()-2,"0000"))</f>
        <v/>
      </c>
      <c r="C308" s="25"/>
      <c r="D308" s="25"/>
      <c r="E308" s="255"/>
      <c r="F308" s="25"/>
      <c r="G308" s="25"/>
    </row>
    <row r="309" spans="2:7">
      <c r="B309" s="25" t="str">
        <f>IF(C309="","","PID-"&amp;TEXT(ROW()-2,"0000"))</f>
        <v/>
      </c>
      <c r="C309" s="25"/>
      <c r="D309" s="25"/>
      <c r="E309" s="255"/>
      <c r="F309" s="25"/>
      <c r="G309" s="25"/>
    </row>
    <row r="310" spans="2:7">
      <c r="B310" s="25" t="str">
        <f>IF(C310="","","PID-"&amp;TEXT(ROW()-2,"0000"))</f>
        <v/>
      </c>
      <c r="C310" s="25"/>
      <c r="D310" s="25"/>
      <c r="E310" s="255"/>
      <c r="F310" s="25"/>
      <c r="G310" s="25"/>
    </row>
    <row r="311" spans="2:7">
      <c r="B311" s="25" t="str">
        <f>IF(C311="","","PID-"&amp;TEXT(ROW()-2,"0000"))</f>
        <v/>
      </c>
      <c r="C311" s="25"/>
      <c r="D311" s="25"/>
      <c r="E311" s="255"/>
      <c r="F311" s="25"/>
      <c r="G311" s="25"/>
    </row>
    <row r="312" spans="2:7">
      <c r="B312" s="25" t="str">
        <f>IF(C312="","","PID-"&amp;TEXT(ROW()-2,"0000"))</f>
        <v/>
      </c>
      <c r="C312" s="25"/>
      <c r="D312" s="25"/>
      <c r="E312" s="255"/>
      <c r="F312" s="25"/>
      <c r="G312" s="25"/>
    </row>
    <row r="313" spans="2:7">
      <c r="B313" s="25" t="str">
        <f>IF(C313="","","PID-"&amp;TEXT(ROW()-2,"0000"))</f>
        <v/>
      </c>
      <c r="C313" s="25"/>
      <c r="D313" s="25"/>
      <c r="E313" s="255"/>
      <c r="F313" s="25"/>
      <c r="G313" s="25"/>
    </row>
    <row r="314" spans="2:7">
      <c r="B314" s="25" t="str">
        <f>IF(C314="","","PID-"&amp;TEXT(ROW()-2,"0000"))</f>
        <v/>
      </c>
      <c r="C314" s="25"/>
      <c r="D314" s="25"/>
      <c r="E314" s="255"/>
      <c r="F314" s="25"/>
      <c r="G314" s="25"/>
    </row>
    <row r="315" spans="2:7">
      <c r="B315" s="25" t="str">
        <f>IF(C315="","","PID-"&amp;TEXT(ROW()-2,"0000"))</f>
        <v/>
      </c>
      <c r="C315" s="25"/>
      <c r="D315" s="25"/>
      <c r="E315" s="255"/>
      <c r="F315" s="25"/>
      <c r="G315" s="25"/>
    </row>
    <row r="316" spans="2:7">
      <c r="B316" s="25" t="str">
        <f>IF(C316="","","PID-"&amp;TEXT(ROW()-2,"0000"))</f>
        <v/>
      </c>
      <c r="C316" s="25"/>
      <c r="D316" s="25"/>
      <c r="E316" s="255"/>
      <c r="F316" s="25"/>
      <c r="G316" s="25"/>
    </row>
    <row r="317" spans="2:7">
      <c r="B317" s="25" t="str">
        <f>IF(C317="","","PID-"&amp;TEXT(ROW()-2,"0000"))</f>
        <v/>
      </c>
      <c r="C317" s="25"/>
      <c r="D317" s="25"/>
      <c r="E317" s="255"/>
      <c r="F317" s="25"/>
      <c r="G317" s="25"/>
    </row>
    <row r="318" spans="2:7">
      <c r="B318" s="25" t="str">
        <f>IF(C318="","","PID-"&amp;TEXT(ROW()-2,"0000"))</f>
        <v/>
      </c>
      <c r="C318" s="25"/>
      <c r="D318" s="25"/>
      <c r="E318" s="255"/>
      <c r="F318" s="25"/>
      <c r="G318" s="25"/>
    </row>
    <row r="319" spans="2:7">
      <c r="B319" s="25" t="str">
        <f>IF(C319="","","PID-"&amp;TEXT(ROW()-2,"0000"))</f>
        <v/>
      </c>
      <c r="C319" s="25"/>
      <c r="D319" s="25"/>
      <c r="E319" s="255"/>
      <c r="F319" s="25"/>
      <c r="G319" s="25"/>
    </row>
  </sheetData>
  <mergeCells count="12">
    <mergeCell ref="A134:A145"/>
    <mergeCell ref="A2:A13"/>
    <mergeCell ref="A14:A25"/>
    <mergeCell ref="A26:A37"/>
    <mergeCell ref="A38:A49"/>
    <mergeCell ref="A50:A61"/>
    <mergeCell ref="A62:A73"/>
    <mergeCell ref="A74:A84"/>
    <mergeCell ref="A86:A97"/>
    <mergeCell ref="A98:A109"/>
    <mergeCell ref="A110:A121"/>
    <mergeCell ref="A122:A133"/>
  </mergeCells>
  <conditionalFormatting sqref="D152:E319 E2 E4 E18 E20 E22 E29 E37 E39 E47 E61 E63 E65 E67 E69 E71 E87 E89 E91 E93 E95 E97 E99 E101 E103 E105 E107 E109 E111 E113 E115 E117 E119 E121 E123 E125 E127 E129 E131 E133 E135 E137 E139 D26 E49 E75 E77 E79 E81:E82 E41 E85 E73 BC33 E33">
    <cfRule type="expression" dxfId="45" priority="8">
      <formula>AND($C2&lt;&gt;"",D2="")</formula>
    </cfRule>
  </conditionalFormatting>
  <conditionalFormatting sqref="I26">
    <cfRule type="expression" dxfId="44" priority="7">
      <formula>AND($C26&lt;&gt;"",I26="")</formula>
    </cfRule>
  </conditionalFormatting>
  <conditionalFormatting sqref="E43">
    <cfRule type="expression" dxfId="43" priority="6">
      <formula>AND($C43&lt;&gt;"",E43="")</formula>
    </cfRule>
  </conditionalFormatting>
  <conditionalFormatting sqref="E45">
    <cfRule type="expression" dxfId="42" priority="5">
      <formula>AND($C45&lt;&gt;"",E45="")</formula>
    </cfRule>
  </conditionalFormatting>
  <conditionalFormatting sqref="I31">
    <cfRule type="expression" dxfId="41" priority="4">
      <formula>AND($C31&lt;&gt;"",I31="")</formula>
    </cfRule>
  </conditionalFormatting>
  <conditionalFormatting sqref="BD33">
    <cfRule type="expression" dxfId="40" priority="3">
      <formula>AND($C35&lt;&gt;"",BD33="")</formula>
    </cfRule>
  </conditionalFormatting>
  <conditionalFormatting sqref="I14">
    <cfRule type="expression" dxfId="39" priority="2">
      <formula>AND($C14&lt;&gt;"",I14="")</formula>
    </cfRule>
  </conditionalFormatting>
  <conditionalFormatting sqref="I21">
    <cfRule type="expression" dxfId="38" priority="1">
      <formula>AND($C21&lt;&gt;"",I21="")</formula>
    </cfRule>
  </conditionalFormatting>
  <conditionalFormatting sqref="C152:C319">
    <cfRule type="expression" dxfId="37" priority="577">
      <formula>AND(C152&lt;&gt;"",COUNTIF($C$2:$C$319,C152)&gt;1)</formula>
    </cfRule>
    <cfRule type="expression" dxfId="36" priority="578">
      <formula>AND($C152&lt;&gt;"",C152="")</formula>
    </cfRule>
  </conditionalFormatting>
  <conditionalFormatting sqref="F141 F152:F319">
    <cfRule type="expression" dxfId="35" priority="579">
      <formula>AND(F141&lt;&gt;"",COUNTIF($F$2:$F$319,F141)&gt;1)</formula>
    </cfRule>
    <cfRule type="expression" dxfId="34" priority="580">
      <formula>AND(C141&lt;&gt;"",F141="")</formula>
    </cfRule>
  </conditionalFormatting>
  <dataValidations count="1">
    <dataValidation type="whole" allowBlank="1" errorTitle="Invalid year" error="Enter a year between 2014 and 2030." promptTitle="Publication Year" prompt="Enter the publication year (numeric)." sqref="D152:D319" xr:uid="{89F5FBE7-80D3-4763-A958-782BF878D40D}">
      <formula1>2014</formula1>
      <formula2>2030</formula2>
    </dataValidation>
  </dataValidations>
  <hyperlinks>
    <hyperlink ref="B49" r:id="rId1" xr:uid="{AC55D485-7063-4BBD-8212-3B37D030BF8C}"/>
    <hyperlink ref="F61" r:id="rId2" xr:uid="{4B76C15D-11D1-4B74-B128-A7AD5FE0C710}"/>
    <hyperlink ref="B50" r:id="rId3" xr:uid="{46E23DFC-A911-4A45-998A-78A9B7E25D95}"/>
    <hyperlink ref="B51" r:id="rId4" xr:uid="{80E84A7A-4FB5-4A7B-BFF3-58CAA6E199BB}"/>
    <hyperlink ref="F49" r:id="rId5" xr:uid="{98EBCF4F-7785-4A7E-AA89-F21EB5239E62}"/>
    <hyperlink ref="F50" r:id="rId6" xr:uid="{979AE50B-E96A-41AD-B5B0-5C5A8FDB6028}"/>
    <hyperlink ref="F51" r:id="rId7" xr:uid="{A0DF7719-907E-4F84-97C2-80B0A2A5A8AA}"/>
    <hyperlink ref="F52" r:id="rId8" xr:uid="{0D65A736-956C-4676-A43E-1835249AC77A}"/>
    <hyperlink ref="B52" r:id="rId9" xr:uid="{FDAE973B-E3F2-477B-8116-B1726BD25F06}"/>
    <hyperlink ref="F73" r:id="rId10" xr:uid="{9413FFE3-9FA7-40CC-919E-805B598760B9}"/>
    <hyperlink ref="F53" r:id="rId11" xr:uid="{1635B0AD-93A0-4328-8255-37653084F40A}"/>
    <hyperlink ref="B53" r:id="rId12" xr:uid="{38CD579A-6370-49F6-ABEA-62610226EBA6}"/>
    <hyperlink ref="F54" r:id="rId13" xr:uid="{053DCECE-3F1B-43A8-9606-B2AE7ED7E0B2}"/>
    <hyperlink ref="B54" r:id="rId14" xr:uid="{285CB2ED-4E33-49DF-BA09-6F6E4F149482}"/>
    <hyperlink ref="F26" r:id="rId15" xr:uid="{ACC64B38-1B22-42DF-B1EF-88F271B44F92}"/>
    <hyperlink ref="F55" r:id="rId16" xr:uid="{D9656632-10B0-4F1F-AD9F-393BC937248B}"/>
    <hyperlink ref="B55" r:id="rId17" display="10.1177/10711813251360704" xr:uid="{941D77F8-226D-4D3A-AA40-57655C326101}"/>
    <hyperlink ref="F74" r:id="rId18" xr:uid="{3D12E74D-CACC-4EB9-B5A7-179F3658A3D1}"/>
    <hyperlink ref="F56" r:id="rId19" xr:uid="{78CADC08-B25F-4D10-8587-D44866EF9E9D}"/>
    <hyperlink ref="F57" r:id="rId20" xr:uid="{87671A7D-DA42-4543-9011-3DF4F761FCF7}"/>
    <hyperlink ref="B57" r:id="rId21" xr:uid="{1678B3C7-466E-4384-B110-AF068C25567B}"/>
    <hyperlink ref="B37" r:id="rId22" xr:uid="{53CC9FF0-A790-42F7-9FB5-9DA5A8EF105D}"/>
    <hyperlink ref="B58" r:id="rId23" xr:uid="{9ACF4354-BBF8-4C39-88D3-92A6FF750512}"/>
    <hyperlink ref="F58" r:id="rId24" xr:uid="{794CA7BA-24D3-497A-81A6-A4780130D86D}"/>
    <hyperlink ref="F59" r:id="rId25" xr:uid="{DC8E68BC-98C7-4821-A09E-CB40FCD7A951}"/>
    <hyperlink ref="F37" r:id="rId26" xr:uid="{52805663-6426-4BFD-BC1E-B074A08D4714}"/>
    <hyperlink ref="B59" r:id="rId27" xr:uid="{9691B4B9-B770-4458-B989-BDECDA5495AA}"/>
    <hyperlink ref="B60" r:id="rId28" xr:uid="{91064013-ACAE-42C1-9483-01C5BCD0867A}"/>
    <hyperlink ref="F60" r:id="rId29" xr:uid="{52B59485-0BE3-4E53-ACD6-E4BD3B552BFC}"/>
    <hyperlink ref="F75" r:id="rId30" xr:uid="{A0E51C80-E764-4B6F-8702-3FD9FA7B5D2B}"/>
    <hyperlink ref="F76" r:id="rId31" xr:uid="{2EDF1BCD-4A28-403F-B340-9FC87723D0EA}"/>
    <hyperlink ref="F77" r:id="rId32" xr:uid="{6EE5BA1B-7130-4C21-8B65-A127EC1CAF8C}"/>
    <hyperlink ref="F78" r:id="rId33" xr:uid="{A0D64A5D-499A-4174-842C-2AC694EA0561}"/>
    <hyperlink ref="D62" r:id="rId34" display="10.1016/j.neubiorev.2007.05.010" xr:uid="{1E0F6639-F337-47FF-B340-EB738F865DD7}"/>
    <hyperlink ref="F62" r:id="rId35" xr:uid="{A0141492-5ADB-48E1-8C3E-56FF5202747C}"/>
    <hyperlink ref="F63" r:id="rId36" xr:uid="{B2320032-5DB2-49F9-843D-0467A53EDAE8}"/>
    <hyperlink ref="F79" r:id="rId37" xr:uid="{93A0F7F8-0EFC-4BDC-9211-E4CEB28A0B5C}"/>
    <hyperlink ref="B38" r:id="rId38" xr:uid="{6C0821B7-C017-47A3-A7A1-DA72FFB101F3}"/>
    <hyperlink ref="F38" r:id="rId39" xr:uid="{BB92B363-0ACD-4D95-AE41-A235BF8B43E4}"/>
    <hyperlink ref="F64" r:id="rId40" xr:uid="{FA89E20C-DB1D-4293-AA7A-4E9BC2F6BAE7}"/>
    <hyperlink ref="F80" r:id="rId41" xr:uid="{E4AF2E48-7099-4CFC-BA44-300ED2AC2188}"/>
    <hyperlink ref="F81" r:id="rId42" xr:uid="{D7500DBF-BFC3-4388-BFB4-3CF997486309}"/>
    <hyperlink ref="B67" r:id="rId43" xr:uid="{6730571B-AA6B-4E06-998E-2DCD3C3B3F37}"/>
    <hyperlink ref="F67" r:id="rId44" xr:uid="{F38E37A6-B916-4DE0-B426-12596615EE09}"/>
    <hyperlink ref="B39" r:id="rId45" xr:uid="{E1EFF8E5-EB51-4C44-9EF4-5E54ABBE8C40}"/>
    <hyperlink ref="F39" r:id="rId46" xr:uid="{009E3F70-3A64-490C-B2FC-2EFCD29DB9AF}"/>
    <hyperlink ref="B131" r:id="rId47" xr:uid="{12A4E644-4074-402E-9A59-7350D62A63E9}"/>
    <hyperlink ref="F40" r:id="rId48" xr:uid="{A433EE3A-D31C-4005-9A6B-1C92355EE220}"/>
    <hyperlink ref="F131" r:id="rId49" xr:uid="{8C568A6C-6B61-4413-8CA4-67B64C22CB32}"/>
    <hyperlink ref="F133" r:id="rId50" xr:uid="{278CEBAB-897F-4F1D-AF6B-81A3802B69CA}"/>
    <hyperlink ref="F134" r:id="rId51" xr:uid="{1078FF9C-2037-416B-B0AF-D5676DB97A46}"/>
    <hyperlink ref="B135" r:id="rId52" xr:uid="{303766B3-6FF1-4C60-BEB3-FBDD8345B3F6}"/>
    <hyperlink ref="F135" r:id="rId53" xr:uid="{9D445BC2-DBFD-4421-A7D3-80CFF5D9309B}"/>
    <hyperlink ref="F136" r:id="rId54" xr:uid="{C933847B-9E7F-4F72-A616-0639794E6EFB}"/>
    <hyperlink ref="F82" r:id="rId55" xr:uid="{AB9D4D23-613E-4F9E-8182-C2F249585C08}"/>
    <hyperlink ref="F41" r:id="rId56" xr:uid="{A28F8F00-82B0-4DCD-9CCE-010983D19CA8}"/>
    <hyperlink ref="F2" r:id="rId57" xr:uid="{82B7130B-940D-4214-8044-44820F414073}"/>
    <hyperlink ref="B3" r:id="rId58" xr:uid="{9FA3D058-9B58-46AB-A2C4-FD85E5220775}"/>
    <hyperlink ref="F3" r:id="rId59" xr:uid="{590E57DA-C1B7-46C5-99DF-EB7797FBEDA4}"/>
    <hyperlink ref="B4" r:id="rId60" xr:uid="{786BBDEA-86CC-4A81-9532-1C89C8E0ABBD}"/>
    <hyperlink ref="F4" r:id="rId61" xr:uid="{492C8178-F7F1-419C-9DC7-EF041E4E5734}"/>
    <hyperlink ref="B5" r:id="rId62" xr:uid="{533E9848-24CD-40E0-B005-08D7227B981C}"/>
    <hyperlink ref="F5" r:id="rId63" xr:uid="{F9E4BA11-9B9A-40E8-BB7B-68854FAEFDC0}"/>
    <hyperlink ref="F29" r:id="rId64" xr:uid="{B810AFF2-AE0C-4F35-AB50-BC8F1B30F360}"/>
    <hyperlink ref="F31" r:id="rId65" xr:uid="{DED79617-EB97-4B7A-AD6B-39CEC0FCC9E8}"/>
    <hyperlink ref="F19" r:id="rId66" xr:uid="{E1E24050-97D7-47B8-9998-74632E6CA1C8}"/>
    <hyperlink ref="B20" r:id="rId67" xr:uid="{A8F0E513-21ED-4B20-B896-5726B84A4AC1}"/>
    <hyperlink ref="F20" r:id="rId68" xr:uid="{AD1962A9-2B29-44B6-9BFB-A802E36870C9}"/>
    <hyperlink ref="B22" r:id="rId69" xr:uid="{8E02F7CA-A2A8-4FD5-8113-F3BD73AD1B78}"/>
    <hyperlink ref="F22" r:id="rId70" xr:uid="{EDA21B98-EDAA-4A6D-ABC5-162308AE0B69}"/>
    <hyperlink ref="F28" r:id="rId71" xr:uid="{68D4850A-373A-43DD-B64D-9261742708CB}"/>
    <hyperlink ref="F23" r:id="rId72" xr:uid="{2571BE9C-9F58-47D4-9CC8-F350CDFD09F6}"/>
    <hyperlink ref="B42" r:id="rId73" xr:uid="{9A80A9C1-AFC9-47D5-AC78-0FE2EF15B335}"/>
    <hyperlink ref="F42" r:id="rId74" xr:uid="{E591035E-7184-4175-AD22-30CAFD33D34C}"/>
    <hyperlink ref="F43" r:id="rId75" xr:uid="{EFC46CB6-6541-404B-9A9E-C490812AF9A2}"/>
    <hyperlink ref="B44" r:id="rId76" xr:uid="{B696B857-4A92-41D9-91F3-59C4150093AE}"/>
    <hyperlink ref="F44" r:id="rId77" xr:uid="{5F21ABC1-A547-4AA7-8117-02AAC28F2A03}"/>
    <hyperlink ref="B45" r:id="rId78" xr:uid="{87D47EE4-CE5C-4772-912E-0DA1AFF3017A}"/>
    <hyperlink ref="F45" r:id="rId79" xr:uid="{84F23674-B9F8-4CB2-94C2-46797B75593D}"/>
    <hyperlink ref="F83" r:id="rId80" xr:uid="{D95684E8-166E-43EC-ACE0-14662F623982}"/>
    <hyperlink ref="B109" r:id="rId81" xr:uid="{70D1C70F-F031-4CE6-9F1F-60356540202C}"/>
    <hyperlink ref="B120" r:id="rId82" xr:uid="{B15EE4A1-322F-4C3C-AA93-0E18379AE844}"/>
    <hyperlink ref="F120" r:id="rId83" xr:uid="{9E65790A-C1C3-4EBC-95EF-E70ABFCC0C68}"/>
    <hyperlink ref="B85" r:id="rId84" xr:uid="{3073AA88-0372-4A17-A368-7E835849DC26}"/>
    <hyperlink ref="F85" r:id="rId85" xr:uid="{C93122FE-D88E-4928-9F79-48479DFA59C6}"/>
    <hyperlink ref="B86" r:id="rId86" xr:uid="{875AD054-A78B-4ADD-B386-A024AB68FFAF}"/>
    <hyperlink ref="F86" r:id="rId87" xr:uid="{D1B03B71-7A6C-4E93-9E91-B08E328AF987}"/>
    <hyperlink ref="F87" r:id="rId88" xr:uid="{3CFB049F-C29F-47AB-A371-FF23DF25CFC3}"/>
    <hyperlink ref="F88" r:id="rId89" xr:uid="{A9A9A612-ED27-4950-A7E7-FDC1B40BF65C}"/>
    <hyperlink ref="F89" r:id="rId90" xr:uid="{AFF45D7E-5BAC-4BC4-B1AE-80FE4DE2DCB0}"/>
    <hyperlink ref="B46" r:id="rId91" xr:uid="{084B1F08-B106-487F-B29E-C4808CF15F07}"/>
    <hyperlink ref="B47" r:id="rId92" xr:uid="{3B10C522-C8A6-4EA7-9C18-4756BFB27707}"/>
    <hyperlink ref="F47" r:id="rId93" xr:uid="{FEE5D1BB-1DB7-48F5-AEFC-600168ABB91A}"/>
    <hyperlink ref="B48" r:id="rId94" xr:uid="{CFCC364F-C31E-4DA7-9085-A339317919FA}"/>
    <hyperlink ref="F48" r:id="rId95" xr:uid="{13843896-8F04-4036-A677-55909A058481}"/>
    <hyperlink ref="F14" r:id="rId96" xr:uid="{52F3ED0C-5ACC-4197-BB88-E30B8721C14E}"/>
    <hyperlink ref="B32" r:id="rId97" display="https://doi.org/10.1007/s11042-022-12577-w" xr:uid="{66856C7B-86DA-4842-9225-93B301CE0C71}"/>
    <hyperlink ref="F32" r:id="rId98" xr:uid="{83B7A88E-9879-4E27-9C58-2318889BE8DE}"/>
    <hyperlink ref="F33" r:id="rId99" xr:uid="{5C3E14A9-79FA-4EE2-8D3B-1F4CE450BCA7}"/>
    <hyperlink ref="F34" r:id="rId100" xr:uid="{82E956EB-086D-4BEF-BED0-C3C525288870}"/>
    <hyperlink ref="F36" r:id="rId101" xr:uid="{5A2A049F-33BE-4F28-AB1C-AAD1B849DE57}"/>
    <hyperlink ref="F21" r:id="rId102" xr:uid="{0E65B7C0-7994-4C13-9FAA-DFF84DB96FA6}"/>
    <hyperlink ref="B18" r:id="rId103" xr:uid="{C9DBE4A5-E89E-45F7-9D51-B591335B42FB}"/>
    <hyperlink ref="F18" r:id="rId104" xr:uid="{9552472F-7819-44F1-A52D-D7CA2D55CA03}"/>
    <hyperlink ref="F98" r:id="rId105" xr:uid="{52C7AE81-8ED3-4C8A-9EEC-F6346F0C0510}"/>
    <hyperlink ref="B98" r:id="rId106" xr:uid="{BCEC2AD4-E0D8-4252-91A7-31CA4B5BE7CA}"/>
    <hyperlink ref="B99" r:id="rId107" xr:uid="{4566A9CB-04AD-419B-A521-2EBE19422B44}"/>
    <hyperlink ref="F99" r:id="rId108" xr:uid="{E6262602-1B09-418B-942C-F731459C8877}"/>
    <hyperlink ref="F100" r:id="rId109" xr:uid="{A163524C-DC9D-4617-AD79-87D527794600}"/>
    <hyperlink ref="F101" r:id="rId110" xr:uid="{708D5A9C-7E94-4750-85A9-B83B6A0F068B}"/>
    <hyperlink ref="F15" r:id="rId111" xr:uid="{D978CDF8-BC73-44D9-AC2B-9A6090133A22}"/>
    <hyperlink ref="B110" r:id="rId112" xr:uid="{4DCDA8B7-5F8D-4B70-99B6-DCFDD96DB8D0}"/>
    <hyperlink ref="F110" r:id="rId113" xr:uid="{B6DD6D63-1D72-49DD-BA55-35E9BA61C1A0}"/>
    <hyperlink ref="B111" r:id="rId114" xr:uid="{D49D0F0A-6C2A-4C8B-9B0C-75CA974F44A2}"/>
    <hyperlink ref="F111" r:id="rId115" location="Sec12" xr:uid="{E8255970-465D-49EB-886C-F4ACE09FDB83}"/>
    <hyperlink ref="B112" r:id="rId116" xr:uid="{F4C2C8E5-EC67-4AAB-939F-1349D6D08BF4}"/>
    <hyperlink ref="F112" r:id="rId117" location="Abs1" xr:uid="{05F37A14-0C8E-4881-864D-2B522BBEF0AC}"/>
    <hyperlink ref="B6" r:id="rId118" display="https://journals.sagepub.com/doi/10.1177/0145482X19842491" xr:uid="{D75396B2-A97B-43D5-85AF-2BCBAB340229}"/>
    <hyperlink ref="B7" r:id="rId119" display="https://pdfs.semanticscholar.org/9dc6/62fe1c66d32fd96ad040285a9ec3af56c912.pdf/1000" xr:uid="{098C7D93-5E02-44BA-B7EE-CCEC1EC660D8}"/>
    <hyperlink ref="B8" r:id="rId120" display="https://ojs.aaai.org/index.php/AAAI/article/view/25233?utm_source=chatgpt.com" xr:uid="{460E88B3-9F9B-401E-A58E-37E5C4EA88F3}"/>
    <hyperlink ref="B9" r:id="rId121" display="https://ieeexplore.ieee.org/document/6611022" xr:uid="{117FDC79-CF96-480B-9360-FBAE8F18383B}"/>
    <hyperlink ref="B10" r:id="rId122" display="https://ecasp.ece.iit.edu/publications/2012-present/2021-10.pdf" xr:uid="{7A16EFB5-10E9-4CDF-8625-67E845978B6D}"/>
    <hyperlink ref="B11" r:id="rId123" display="https://arxiv.org/abs/2108.09174" xr:uid="{98437E93-9A1F-4CA7-9BEE-3D89AA785A1C}"/>
    <hyperlink ref="B12" r:id="rId124" display="https://arxiv.org/abs/2201.03036" xr:uid="{9DA6F263-A3E5-40F5-8E34-11D4A6FE282A}"/>
    <hyperlink ref="B13" r:id="rId125" display="https://arxiv.org/abs/2201.04453like " xr:uid="{249C19AE-DBC7-4D8A-97DE-120F1FB3EA07}"/>
    <hyperlink ref="F6" r:id="rId126" xr:uid="{4B4C28A8-8E62-4126-9888-BE2445384BBE}"/>
    <hyperlink ref="F7" r:id="rId127" xr:uid="{5B3611FA-6D46-4D9A-86B6-4FFC32E1B3A4}"/>
    <hyperlink ref="F8" r:id="rId128" xr:uid="{E075FAF1-3C61-41B2-8EDA-FEF358279120}"/>
    <hyperlink ref="F9" r:id="rId129" xr:uid="{A7F04005-2E84-4845-A91B-694A25758FBD}"/>
    <hyperlink ref="F10" r:id="rId130" xr:uid="{90FF132D-3722-4997-A65A-999E8AF99C1F}"/>
    <hyperlink ref="F11" r:id="rId131" xr:uid="{3CB353C6-F21E-48CE-9212-0B86E5C03526}"/>
    <hyperlink ref="B113" r:id="rId132" xr:uid="{1E1538D2-5C89-4193-87FE-D56AE28E95BE}"/>
    <hyperlink ref="F13" r:id="rId133" xr:uid="{A8E7DEBF-27D1-44E1-8AA8-C6B40D8CB002}"/>
    <hyperlink ref="F113" r:id="rId134" location="Abs1" xr:uid="{FA5E195C-96D9-421D-95E8-45209F6BB0FF}"/>
    <hyperlink ref="F12" r:id="rId135" xr:uid="{719C71D3-37D1-45A9-BEEE-D9262524594D}"/>
    <hyperlink ref="F114" r:id="rId136" location="Abs1" xr:uid="{B2BB174E-EFD1-423B-8A35-4C23E78A0ED2}"/>
    <hyperlink ref="F115" r:id="rId137" location="Abs1" xr:uid="{94DCA18B-C93B-4F5D-8129-30AFD5AC3106}"/>
    <hyperlink ref="B114" r:id="rId138" xr:uid="{302FF22D-7B2D-4D9E-BAEC-908D3260F273}"/>
    <hyperlink ref="B116" r:id="rId139" xr:uid="{E86198B8-A158-4B55-940D-FA916F835147}"/>
    <hyperlink ref="B117" r:id="rId140" xr:uid="{411947D6-0015-4555-88BF-78934D0A59A0}"/>
    <hyperlink ref="F117" r:id="rId141" location="Abs1" xr:uid="{53F459EA-775C-40C0-BC47-6BC23B890791}"/>
    <hyperlink ref="B118" r:id="rId142" xr:uid="{4F4D3E65-2E3C-4408-A6D4-5A7CD0561B85}"/>
    <hyperlink ref="F118" r:id="rId143" location="Abs1" xr:uid="{2C64261E-D091-466A-AC5C-B636EB8060F2}"/>
  </hyperlinks>
  <pageMargins left="0.75" right="0.75" top="1" bottom="1" header="0.511811023622047" footer="0.511811023622047"/>
  <pageSetup paperSize="9" orientation="portrait" horizontalDpi="300" verticalDpi="300"/>
  <tableParts count="1">
    <tablePart r:id="rId144"/>
  </tableParts>
  <extLst>
    <ext xmlns:x14="http://schemas.microsoft.com/office/spreadsheetml/2009/9/main" uri="{CCE6A557-97BC-4b89-ADB6-D9C93CAAB3DF}">
      <x14:dataValidations xmlns:xm="http://schemas.microsoft.com/office/excel/2006/main" count="1">
        <x14:dataValidation type="list" allowBlank="1" errorTitle="Invalid entry" error="Please choose a value from the dropdown list." promptTitle="Publisher" prompt="Select the publisher." xr:uid="{71A5609F-9034-4571-AD03-0E969F5816AD}">
          <x14:formula1>
            <xm:f>Lists!$B$2:$B$11</xm:f>
          </x14:formula1>
          <x14:formula2>
            <xm:f>0</xm:f>
          </x14:formula2>
          <xm:sqref>E139 E2 E4 E137 E135 E133 E131 E14 E16 E18 E20 E22 E85 E26 E119 E29 E31 BC33 E35 E37 E39 E41 E43 E45 E47 E49 E121 E123 E125 E127 E129 E61 E63 E65 E67 E69 E71 E74 E76 E78 E80 E82 E152:E319 E87 E89 E91 E93 E95 E97 E99 E101 E103 E105 E107 E109 E111 E113 E115 E117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657E7-63BA-4513-8F29-BAF7B04E3E34}">
  <sheetPr>
    <tabColor rgb="FF003C71"/>
  </sheetPr>
  <dimension ref="A1:BD319"/>
  <sheetViews>
    <sheetView zoomScaleNormal="100" workbookViewId="0">
      <pane xSplit="1" topLeftCell="B21" activePane="topRight" state="frozen"/>
      <selection pane="topRight" activeCell="B24" sqref="B24:M24"/>
      <selection activeCell="A3" sqref="A3"/>
    </sheetView>
  </sheetViews>
  <sheetFormatPr defaultColWidth="13.42578125" defaultRowHeight="15"/>
  <cols>
    <col min="1" max="1" width="5" customWidth="1"/>
    <col min="2" max="2" width="33.28515625" customWidth="1"/>
    <col min="3" max="3" width="122.28515625" bestFit="1" customWidth="1"/>
    <col min="4" max="4" width="21.5703125" customWidth="1"/>
    <col min="5" max="5" width="17" style="33" bestFit="1" customWidth="1"/>
    <col min="6" max="6" width="78" bestFit="1" customWidth="1"/>
    <col min="7" max="7" width="33.140625" bestFit="1" customWidth="1"/>
    <col min="8" max="8" width="23.140625" customWidth="1"/>
    <col min="9" max="9" width="133" bestFit="1" customWidth="1"/>
    <col min="10" max="10" width="99.140625" bestFit="1" customWidth="1"/>
    <col min="11" max="11" width="221.7109375" bestFit="1" customWidth="1"/>
    <col min="12" max="12" width="99.140625" customWidth="1"/>
    <col min="13" max="13" width="15" customWidth="1"/>
    <col min="14" max="14" width="18" customWidth="1"/>
  </cols>
  <sheetData>
    <row r="1" spans="1:13">
      <c r="B1" s="38" t="s">
        <v>0</v>
      </c>
      <c r="C1" s="38" t="s">
        <v>1</v>
      </c>
      <c r="D1" s="38" t="s">
        <v>2</v>
      </c>
      <c r="E1" s="38" t="s">
        <v>3</v>
      </c>
      <c r="F1" s="38" t="s">
        <v>4</v>
      </c>
      <c r="G1" s="38" t="s">
        <v>5</v>
      </c>
      <c r="H1" s="38" t="s">
        <v>6</v>
      </c>
      <c r="I1" s="38" t="s">
        <v>7</v>
      </c>
      <c r="J1" s="38" t="s">
        <v>8</v>
      </c>
      <c r="K1" s="38" t="s">
        <v>9</v>
      </c>
      <c r="L1" s="38" t="s">
        <v>10</v>
      </c>
      <c r="M1" s="38" t="s">
        <v>11</v>
      </c>
    </row>
    <row r="2" spans="1:13" ht="144">
      <c r="A2" s="354" t="s">
        <v>15</v>
      </c>
      <c r="B2" t="s">
        <v>16</v>
      </c>
      <c r="C2" s="200" t="s">
        <v>17</v>
      </c>
      <c r="D2" s="77">
        <v>2025</v>
      </c>
      <c r="E2" s="132" t="s">
        <v>18</v>
      </c>
      <c r="F2" s="201" t="s">
        <v>19</v>
      </c>
      <c r="G2" s="215" t="s">
        <v>20</v>
      </c>
      <c r="H2" s="105" t="s">
        <v>21</v>
      </c>
      <c r="I2" s="36"/>
      <c r="J2" s="207" t="s">
        <v>22</v>
      </c>
      <c r="K2" s="207" t="s">
        <v>23</v>
      </c>
      <c r="L2" s="207"/>
      <c r="M2" s="207"/>
    </row>
    <row r="3" spans="1:13" ht="86.25">
      <c r="A3" s="354"/>
      <c r="B3" s="191" t="s">
        <v>26</v>
      </c>
      <c r="C3" s="202" t="s">
        <v>27</v>
      </c>
      <c r="D3" s="97">
        <v>2025</v>
      </c>
      <c r="E3" s="97" t="s">
        <v>18</v>
      </c>
      <c r="F3" s="127" t="s">
        <v>28</v>
      </c>
      <c r="G3" s="158" t="s">
        <v>29</v>
      </c>
      <c r="H3" s="105" t="s">
        <v>21</v>
      </c>
      <c r="I3" s="35"/>
      <c r="J3" s="208" t="s">
        <v>30</v>
      </c>
      <c r="K3" s="208" t="s">
        <v>31</v>
      </c>
      <c r="L3" s="208"/>
      <c r="M3" s="208"/>
    </row>
    <row r="4" spans="1:13" ht="86.25">
      <c r="A4" s="354"/>
      <c r="B4" s="190" t="s">
        <v>32</v>
      </c>
      <c r="C4" s="139" t="s">
        <v>33</v>
      </c>
      <c r="D4" s="77">
        <v>2021</v>
      </c>
      <c r="E4" s="77" t="s">
        <v>18</v>
      </c>
      <c r="F4" s="112" t="s">
        <v>34</v>
      </c>
      <c r="G4" s="164" t="s">
        <v>35</v>
      </c>
      <c r="H4" s="105" t="s">
        <v>21</v>
      </c>
      <c r="J4" s="209" t="s">
        <v>36</v>
      </c>
      <c r="K4" s="210" t="s">
        <v>37</v>
      </c>
      <c r="L4" s="210"/>
      <c r="M4" s="209"/>
    </row>
    <row r="5" spans="1:13" ht="86.25">
      <c r="A5" s="354"/>
      <c r="B5" s="191" t="s">
        <v>38</v>
      </c>
      <c r="C5" s="158" t="s">
        <v>39</v>
      </c>
      <c r="D5" s="97">
        <v>2024</v>
      </c>
      <c r="E5" s="97" t="s">
        <v>18</v>
      </c>
      <c r="F5" s="127" t="s">
        <v>40</v>
      </c>
      <c r="G5" s="158" t="s">
        <v>41</v>
      </c>
      <c r="H5" s="105" t="s">
        <v>21</v>
      </c>
      <c r="I5" s="35"/>
      <c r="J5" s="208" t="s">
        <v>42</v>
      </c>
      <c r="K5" s="208" t="s">
        <v>43</v>
      </c>
      <c r="L5" s="208"/>
      <c r="M5" s="208"/>
    </row>
    <row r="6" spans="1:13" ht="86.25">
      <c r="A6" s="354"/>
      <c r="B6" s="190" t="s">
        <v>44</v>
      </c>
      <c r="C6" s="33" t="s">
        <v>45</v>
      </c>
      <c r="D6" s="77">
        <v>2019</v>
      </c>
      <c r="E6" s="33" t="s">
        <v>46</v>
      </c>
      <c r="F6" s="112" t="s">
        <v>47</v>
      </c>
      <c r="G6" s="164" t="s">
        <v>48</v>
      </c>
      <c r="H6" s="198" t="s">
        <v>21</v>
      </c>
      <c r="J6" s="209" t="s">
        <v>49</v>
      </c>
      <c r="K6" s="210" t="s">
        <v>50</v>
      </c>
      <c r="L6" s="210"/>
      <c r="M6" s="209"/>
    </row>
    <row r="7" spans="1:13" ht="16.5" customHeight="1">
      <c r="A7" s="354"/>
      <c r="B7" s="191" t="s">
        <v>51</v>
      </c>
      <c r="C7" s="33" t="s">
        <v>52</v>
      </c>
      <c r="D7" s="97">
        <v>2018</v>
      </c>
      <c r="E7" s="189" t="s">
        <v>53</v>
      </c>
      <c r="F7" s="127" t="s">
        <v>54</v>
      </c>
      <c r="G7" s="97"/>
      <c r="H7" s="104" t="s">
        <v>55</v>
      </c>
      <c r="I7" s="199" t="s">
        <v>56</v>
      </c>
      <c r="J7" s="211"/>
      <c r="K7" s="211"/>
      <c r="L7" s="211"/>
      <c r="M7" s="211"/>
    </row>
    <row r="8" spans="1:13" ht="16.5" customHeight="1">
      <c r="A8" s="354"/>
      <c r="B8" s="190" t="s">
        <v>57</v>
      </c>
      <c r="C8" s="33" t="s">
        <v>58</v>
      </c>
      <c r="D8" s="77">
        <v>2023</v>
      </c>
      <c r="E8" s="189" t="s">
        <v>59</v>
      </c>
      <c r="F8" s="112" t="s">
        <v>60</v>
      </c>
      <c r="G8" s="165"/>
      <c r="H8" s="104" t="s">
        <v>55</v>
      </c>
      <c r="I8" s="33" t="s">
        <v>61</v>
      </c>
      <c r="J8" s="209"/>
      <c r="K8" s="209"/>
      <c r="L8" s="209"/>
      <c r="M8" s="209"/>
    </row>
    <row r="9" spans="1:13" ht="16.5" customHeight="1">
      <c r="A9" s="354"/>
      <c r="B9" s="194" t="s">
        <v>62</v>
      </c>
      <c r="C9" s="204" t="s">
        <v>63</v>
      </c>
      <c r="D9" s="195">
        <v>2013</v>
      </c>
      <c r="E9" s="196" t="s">
        <v>64</v>
      </c>
      <c r="F9" s="127" t="s">
        <v>65</v>
      </c>
      <c r="G9" s="158"/>
      <c r="H9" s="104" t="s">
        <v>55</v>
      </c>
      <c r="I9" s="33" t="s">
        <v>66</v>
      </c>
      <c r="J9" s="211"/>
      <c r="K9" s="211"/>
      <c r="L9" s="211"/>
      <c r="M9" s="211"/>
    </row>
    <row r="10" spans="1:13" ht="159">
      <c r="A10" s="354"/>
      <c r="B10" s="193" t="s">
        <v>67</v>
      </c>
      <c r="C10" s="33" t="s">
        <v>68</v>
      </c>
      <c r="D10" s="77">
        <v>2021</v>
      </c>
      <c r="E10" s="33" t="s">
        <v>64</v>
      </c>
      <c r="F10" s="112" t="s">
        <v>69</v>
      </c>
      <c r="G10" s="164" t="s">
        <v>70</v>
      </c>
      <c r="H10" s="198" t="s">
        <v>21</v>
      </c>
      <c r="I10" s="33"/>
      <c r="J10" s="209" t="s">
        <v>71</v>
      </c>
      <c r="K10" s="210" t="s">
        <v>72</v>
      </c>
      <c r="L10" s="210"/>
      <c r="M10" s="209"/>
    </row>
    <row r="11" spans="1:13" ht="115.5">
      <c r="A11" s="354"/>
      <c r="B11" s="191" t="s">
        <v>73</v>
      </c>
      <c r="C11" s="33" t="s">
        <v>74</v>
      </c>
      <c r="D11" s="97">
        <v>2021</v>
      </c>
      <c r="E11" s="33" t="s">
        <v>75</v>
      </c>
      <c r="F11" s="127" t="s">
        <v>76</v>
      </c>
      <c r="G11" s="158" t="s">
        <v>77</v>
      </c>
      <c r="H11" s="198" t="s">
        <v>21</v>
      </c>
      <c r="I11" s="83"/>
      <c r="J11" s="209" t="s">
        <v>78</v>
      </c>
      <c r="K11" s="208" t="s">
        <v>79</v>
      </c>
      <c r="L11" s="257"/>
      <c r="M11" s="209"/>
    </row>
    <row r="12" spans="1:13" ht="16.5" customHeight="1">
      <c r="A12" s="354"/>
      <c r="B12" s="190" t="s">
        <v>80</v>
      </c>
      <c r="C12" s="33" t="s">
        <v>81</v>
      </c>
      <c r="D12" s="77">
        <v>2022</v>
      </c>
      <c r="E12" s="33" t="s">
        <v>75</v>
      </c>
      <c r="F12" s="205" t="s">
        <v>82</v>
      </c>
      <c r="G12" s="165"/>
      <c r="H12" s="104" t="s">
        <v>55</v>
      </c>
      <c r="I12" s="33" t="s">
        <v>83</v>
      </c>
      <c r="J12" s="209"/>
      <c r="K12" s="209"/>
      <c r="L12" s="209"/>
      <c r="M12" s="209"/>
    </row>
    <row r="13" spans="1:13" ht="115.5">
      <c r="A13" s="354"/>
      <c r="B13" s="192" t="s">
        <v>84</v>
      </c>
      <c r="C13" s="33" t="s">
        <v>85</v>
      </c>
      <c r="D13" s="188">
        <v>2022</v>
      </c>
      <c r="E13" s="33" t="s">
        <v>86</v>
      </c>
      <c r="F13" s="112" t="s">
        <v>87</v>
      </c>
      <c r="G13" s="216" t="s">
        <v>88</v>
      </c>
      <c r="H13" s="198" t="s">
        <v>21</v>
      </c>
      <c r="I13" s="37"/>
      <c r="J13" s="213" t="s">
        <v>89</v>
      </c>
      <c r="K13" s="214" t="s">
        <v>90</v>
      </c>
      <c r="L13" s="261"/>
      <c r="M13" s="213"/>
    </row>
    <row r="14" spans="1:13" ht="45.75" customHeight="1">
      <c r="A14" s="354" t="s">
        <v>91</v>
      </c>
      <c r="B14" s="124" t="s">
        <v>92</v>
      </c>
      <c r="C14" s="139" t="s">
        <v>93</v>
      </c>
      <c r="D14" s="77">
        <v>2025</v>
      </c>
      <c r="E14" s="104" t="s">
        <v>94</v>
      </c>
      <c r="F14" s="125" t="s">
        <v>95</v>
      </c>
      <c r="G14" s="118" t="s">
        <v>96</v>
      </c>
      <c r="H14" s="104" t="s">
        <v>55</v>
      </c>
      <c r="I14" s="77" t="s">
        <v>97</v>
      </c>
      <c r="J14" s="118" t="s">
        <v>96</v>
      </c>
      <c r="K14" s="118" t="s">
        <v>96</v>
      </c>
    </row>
    <row r="15" spans="1:13" ht="57.75">
      <c r="A15" s="355"/>
      <c r="B15" s="126" t="s">
        <v>98</v>
      </c>
      <c r="C15" s="181" t="s">
        <v>99</v>
      </c>
      <c r="D15" s="97">
        <v>2026</v>
      </c>
      <c r="E15" s="240" t="s">
        <v>100</v>
      </c>
      <c r="F15" s="127" t="s">
        <v>101</v>
      </c>
      <c r="G15" s="106" t="s">
        <v>102</v>
      </c>
      <c r="H15" s="197" t="s">
        <v>21</v>
      </c>
      <c r="I15" s="35"/>
      <c r="J15" s="213" t="s">
        <v>103</v>
      </c>
      <c r="K15" s="274" t="s">
        <v>104</v>
      </c>
    </row>
    <row r="16" spans="1:13" ht="60.75">
      <c r="A16" s="355"/>
      <c r="B16" s="128" t="s">
        <v>105</v>
      </c>
      <c r="C16" s="139" t="s">
        <v>106</v>
      </c>
      <c r="D16" s="77"/>
      <c r="E16" s="77" t="s">
        <v>107</v>
      </c>
      <c r="F16" s="112" t="s">
        <v>108</v>
      </c>
      <c r="G16" s="129"/>
      <c r="H16" s="104" t="s">
        <v>55</v>
      </c>
      <c r="I16" s="34"/>
      <c r="J16" s="56"/>
      <c r="K16" s="56"/>
      <c r="L16" s="41"/>
      <c r="M16" s="77"/>
    </row>
    <row r="17" spans="1:16" ht="16.5" customHeight="1">
      <c r="A17" s="355"/>
      <c r="B17" s="127"/>
      <c r="C17" s="242" t="s">
        <v>109</v>
      </c>
      <c r="D17" s="97">
        <v>2025</v>
      </c>
      <c r="E17" s="149" t="s">
        <v>110</v>
      </c>
      <c r="F17" s="127"/>
      <c r="G17" s="123"/>
      <c r="H17" s="104" t="s">
        <v>55</v>
      </c>
      <c r="I17" s="35"/>
      <c r="J17" s="35"/>
      <c r="K17" s="35"/>
    </row>
    <row r="18" spans="1:16" ht="57.75">
      <c r="A18" s="355"/>
      <c r="B18" s="41" t="s">
        <v>111</v>
      </c>
      <c r="C18" s="77" t="s">
        <v>112</v>
      </c>
      <c r="D18" s="77">
        <v>2020</v>
      </c>
      <c r="E18" s="77" t="s">
        <v>64</v>
      </c>
      <c r="F18" s="112" t="s">
        <v>113</v>
      </c>
      <c r="G18" s="106" t="s">
        <v>114</v>
      </c>
      <c r="H18" s="105" t="s">
        <v>21</v>
      </c>
      <c r="I18" s="34"/>
      <c r="J18" s="56" t="s">
        <v>115</v>
      </c>
      <c r="K18" s="56" t="s">
        <v>116</v>
      </c>
    </row>
    <row r="19" spans="1:16" ht="72">
      <c r="A19" s="355"/>
      <c r="B19" s="123" t="s">
        <v>117</v>
      </c>
      <c r="C19" s="181" t="s">
        <v>118</v>
      </c>
      <c r="D19" s="103">
        <v>2023</v>
      </c>
      <c r="E19" s="103" t="s">
        <v>64</v>
      </c>
      <c r="F19" s="127" t="s">
        <v>119</v>
      </c>
      <c r="G19" s="106" t="s">
        <v>120</v>
      </c>
      <c r="H19" s="105" t="s">
        <v>21</v>
      </c>
      <c r="I19" s="35"/>
      <c r="J19" s="216" t="s">
        <v>121</v>
      </c>
      <c r="K19" s="274" t="s">
        <v>122</v>
      </c>
    </row>
    <row r="20" spans="1:16" ht="101.25">
      <c r="A20" s="355"/>
      <c r="B20" s="128" t="s">
        <v>123</v>
      </c>
      <c r="C20" s="139" t="s">
        <v>124</v>
      </c>
      <c r="D20" s="77">
        <v>2023</v>
      </c>
      <c r="E20" s="77" t="s">
        <v>18</v>
      </c>
      <c r="F20" s="112" t="s">
        <v>125</v>
      </c>
      <c r="G20" s="129" t="s">
        <v>126</v>
      </c>
      <c r="H20" s="105" t="s">
        <v>21</v>
      </c>
      <c r="I20" s="34"/>
      <c r="J20" s="139" t="s">
        <v>127</v>
      </c>
      <c r="K20" s="139" t="s">
        <v>128</v>
      </c>
    </row>
    <row r="21" spans="1:16" ht="43.5">
      <c r="A21" s="355"/>
      <c r="B21" s="131" t="s">
        <v>129</v>
      </c>
      <c r="C21" s="181" t="s">
        <v>130</v>
      </c>
      <c r="D21" s="103">
        <v>2026</v>
      </c>
      <c r="E21" s="104" t="s">
        <v>75</v>
      </c>
      <c r="F21" s="127" t="s">
        <v>131</v>
      </c>
      <c r="G21" s="106" t="s">
        <v>96</v>
      </c>
      <c r="H21" s="104" t="s">
        <v>55</v>
      </c>
      <c r="I21" s="243" t="s">
        <v>132</v>
      </c>
      <c r="J21" s="137" t="s">
        <v>96</v>
      </c>
      <c r="K21" s="137" t="s">
        <v>96</v>
      </c>
    </row>
    <row r="22" spans="1:16" ht="86.25">
      <c r="A22" s="355"/>
      <c r="B22" s="128" t="s">
        <v>133</v>
      </c>
      <c r="C22" s="277" t="s">
        <v>134</v>
      </c>
      <c r="D22" s="77">
        <v>2023</v>
      </c>
      <c r="E22" s="77" t="s">
        <v>135</v>
      </c>
      <c r="F22" s="112" t="s">
        <v>136</v>
      </c>
      <c r="G22" s="129" t="s">
        <v>137</v>
      </c>
      <c r="H22" s="278" t="s">
        <v>138</v>
      </c>
      <c r="I22" s="34"/>
      <c r="J22" s="139" t="s">
        <v>139</v>
      </c>
      <c r="K22" s="139" t="s">
        <v>140</v>
      </c>
    </row>
    <row r="23" spans="1:16" ht="72">
      <c r="A23" s="355"/>
      <c r="B23" s="127" t="s">
        <v>141</v>
      </c>
      <c r="C23" s="101" t="s">
        <v>142</v>
      </c>
      <c r="D23" s="103">
        <v>2025</v>
      </c>
      <c r="E23" s="103" t="s">
        <v>143</v>
      </c>
      <c r="F23" s="127" t="s">
        <v>144</v>
      </c>
      <c r="G23" s="106" t="s">
        <v>145</v>
      </c>
      <c r="H23" s="105" t="s">
        <v>21</v>
      </c>
      <c r="I23" s="35"/>
      <c r="J23" s="216" t="s">
        <v>146</v>
      </c>
      <c r="K23" s="216" t="s">
        <v>147</v>
      </c>
    </row>
    <row r="24" spans="1:16" ht="60.75">
      <c r="A24" s="355"/>
      <c r="B24" s="162" t="s">
        <v>148</v>
      </c>
      <c r="C24" s="139" t="s">
        <v>149</v>
      </c>
      <c r="D24" s="139">
        <v>2023</v>
      </c>
      <c r="E24" s="139" t="s">
        <v>150</v>
      </c>
      <c r="F24" s="162" t="s">
        <v>151</v>
      </c>
      <c r="G24" s="139" t="s">
        <v>152</v>
      </c>
      <c r="H24" s="105" t="s">
        <v>153</v>
      </c>
      <c r="I24" s="139"/>
      <c r="J24" s="139" t="s">
        <v>154</v>
      </c>
      <c r="K24" s="279" t="s">
        <v>155</v>
      </c>
    </row>
    <row r="25" spans="1:16" s="185" customFormat="1" ht="45.75">
      <c r="A25" s="356"/>
      <c r="B25" s="280" t="s">
        <v>156</v>
      </c>
      <c r="C25" s="245" t="s">
        <v>157</v>
      </c>
      <c r="D25" s="281">
        <v>2022</v>
      </c>
      <c r="E25" s="281" t="s">
        <v>107</v>
      </c>
      <c r="F25" s="280" t="s">
        <v>158</v>
      </c>
      <c r="G25" s="106"/>
      <c r="H25" s="183" t="s">
        <v>55</v>
      </c>
      <c r="I25" s="184"/>
      <c r="J25" s="184"/>
      <c r="K25" s="184"/>
      <c r="L25"/>
      <c r="M25"/>
    </row>
    <row r="26" spans="1:16" ht="16.5" customHeight="1">
      <c r="A26" s="354" t="s">
        <v>159</v>
      </c>
      <c r="B26" s="104" t="s">
        <v>160</v>
      </c>
      <c r="C26" s="77" t="s">
        <v>161</v>
      </c>
      <c r="D26" s="77">
        <v>2021</v>
      </c>
      <c r="E26" s="104" t="s">
        <v>162</v>
      </c>
      <c r="F26" s="186" t="s">
        <v>163</v>
      </c>
      <c r="G26" s="118" t="s">
        <v>96</v>
      </c>
      <c r="H26" s="104" t="s">
        <v>55</v>
      </c>
      <c r="I26" s="77" t="s">
        <v>164</v>
      </c>
      <c r="J26" s="118" t="s">
        <v>96</v>
      </c>
      <c r="K26" s="118" t="s">
        <v>96</v>
      </c>
      <c r="N26" s="56"/>
      <c r="O26" s="56"/>
      <c r="P26" s="56"/>
    </row>
    <row r="27" spans="1:16" ht="72">
      <c r="A27" s="355"/>
      <c r="B27" s="127" t="s">
        <v>165</v>
      </c>
      <c r="C27" s="181" t="s">
        <v>166</v>
      </c>
      <c r="D27" s="104">
        <v>2004</v>
      </c>
      <c r="E27" s="181" t="s">
        <v>100</v>
      </c>
      <c r="F27" s="81" t="s">
        <v>167</v>
      </c>
      <c r="G27" s="361" t="s">
        <v>168</v>
      </c>
      <c r="H27" s="105" t="s">
        <v>21</v>
      </c>
      <c r="I27" s="106" t="s">
        <v>169</v>
      </c>
      <c r="J27" s="103" t="s">
        <v>170</v>
      </c>
      <c r="K27" s="102" t="s">
        <v>171</v>
      </c>
      <c r="N27" s="56"/>
      <c r="O27" s="56"/>
      <c r="P27" s="56"/>
    </row>
    <row r="28" spans="1:16" ht="115.5">
      <c r="A28" s="355"/>
      <c r="B28" s="125" t="s">
        <v>172</v>
      </c>
      <c r="C28" s="140" t="s">
        <v>173</v>
      </c>
      <c r="D28" s="140">
        <v>2024</v>
      </c>
      <c r="E28" s="140" t="s">
        <v>18</v>
      </c>
      <c r="F28" s="141" t="s">
        <v>174</v>
      </c>
      <c r="G28" s="142" t="s">
        <v>175</v>
      </c>
      <c r="H28" s="105" t="s">
        <v>21</v>
      </c>
      <c r="I28" s="143" t="s">
        <v>176</v>
      </c>
      <c r="J28" s="140" t="s">
        <v>177</v>
      </c>
      <c r="K28" s="142" t="s">
        <v>178</v>
      </c>
      <c r="N28" s="56"/>
      <c r="O28" s="56"/>
      <c r="P28" s="56"/>
    </row>
    <row r="29" spans="1:16" ht="129.75">
      <c r="A29" s="355"/>
      <c r="B29" s="144" t="s">
        <v>179</v>
      </c>
      <c r="C29" s="243" t="s">
        <v>180</v>
      </c>
      <c r="D29" s="243">
        <v>2021</v>
      </c>
      <c r="E29" s="243" t="s">
        <v>64</v>
      </c>
      <c r="F29" s="145" t="s">
        <v>181</v>
      </c>
      <c r="G29" s="135" t="s">
        <v>182</v>
      </c>
      <c r="H29" s="146" t="s">
        <v>183</v>
      </c>
      <c r="I29" s="147" t="s">
        <v>184</v>
      </c>
      <c r="J29" s="135" t="s">
        <v>185</v>
      </c>
      <c r="K29" s="148" t="s">
        <v>186</v>
      </c>
      <c r="N29" s="56"/>
      <c r="O29" s="56"/>
      <c r="P29" s="56"/>
    </row>
    <row r="30" spans="1:16" ht="26.25" customHeight="1">
      <c r="A30" s="355"/>
      <c r="B30" s="113"/>
      <c r="C30" s="114" t="s">
        <v>187</v>
      </c>
      <c r="D30" s="113"/>
      <c r="E30" s="113"/>
      <c r="F30" s="113"/>
      <c r="G30" s="113"/>
      <c r="H30" s="104" t="s">
        <v>55</v>
      </c>
      <c r="I30" s="113"/>
      <c r="J30" s="104"/>
      <c r="K30" s="104"/>
      <c r="N30" s="56"/>
      <c r="O30" s="56"/>
      <c r="P30" s="56"/>
    </row>
    <row r="31" spans="1:16" ht="16.5" customHeight="1">
      <c r="A31" s="355"/>
      <c r="B31" s="118" t="s">
        <v>96</v>
      </c>
      <c r="C31" s="118" t="s">
        <v>96</v>
      </c>
      <c r="D31" s="118" t="s">
        <v>96</v>
      </c>
      <c r="E31" s="115" t="s">
        <v>94</v>
      </c>
      <c r="F31" s="78" t="s">
        <v>188</v>
      </c>
      <c r="G31" s="118" t="s">
        <v>96</v>
      </c>
      <c r="H31" s="104" t="s">
        <v>55</v>
      </c>
      <c r="I31" s="77" t="s">
        <v>189</v>
      </c>
      <c r="J31" s="118" t="s">
        <v>96</v>
      </c>
      <c r="K31" s="118" t="s">
        <v>96</v>
      </c>
      <c r="N31" s="56"/>
      <c r="O31" s="56"/>
      <c r="P31" s="56"/>
    </row>
    <row r="32" spans="1:16" ht="159">
      <c r="A32" s="355"/>
      <c r="B32" s="127" t="s">
        <v>141</v>
      </c>
      <c r="C32" s="103" t="s">
        <v>190</v>
      </c>
      <c r="D32" s="103">
        <v>2025</v>
      </c>
      <c r="E32" s="103" t="s">
        <v>143</v>
      </c>
      <c r="F32" s="81" t="s">
        <v>191</v>
      </c>
      <c r="G32" s="102" t="s">
        <v>192</v>
      </c>
      <c r="H32" s="105" t="s">
        <v>153</v>
      </c>
      <c r="I32" s="106" t="s">
        <v>193</v>
      </c>
      <c r="J32" s="102" t="s">
        <v>194</v>
      </c>
      <c r="K32" s="102" t="s">
        <v>195</v>
      </c>
      <c r="N32" s="56"/>
      <c r="O32" s="56"/>
      <c r="P32" s="56"/>
    </row>
    <row r="33" spans="1:56" ht="173.25">
      <c r="A33" s="355"/>
      <c r="B33" s="125" t="s">
        <v>196</v>
      </c>
      <c r="C33" s="139" t="s">
        <v>197</v>
      </c>
      <c r="D33" s="77">
        <v>2023</v>
      </c>
      <c r="E33" s="77" t="s">
        <v>198</v>
      </c>
      <c r="F33" s="78" t="s">
        <v>199</v>
      </c>
      <c r="G33" s="111" t="s">
        <v>200</v>
      </c>
      <c r="H33" s="105" t="s">
        <v>153</v>
      </c>
      <c r="I33" s="129" t="s">
        <v>201</v>
      </c>
      <c r="J33" s="110" t="s">
        <v>202</v>
      </c>
      <c r="K33" s="110" t="s">
        <v>203</v>
      </c>
      <c r="N33" s="56"/>
      <c r="O33" s="56"/>
      <c r="P33" s="56"/>
      <c r="BC33" s="246"/>
      <c r="BD33" s="246"/>
    </row>
    <row r="34" spans="1:56" ht="129.75">
      <c r="A34" s="355"/>
      <c r="B34" s="127" t="s">
        <v>204</v>
      </c>
      <c r="C34" s="106" t="s">
        <v>205</v>
      </c>
      <c r="D34" s="103">
        <v>2023</v>
      </c>
      <c r="E34" s="103" t="s">
        <v>18</v>
      </c>
      <c r="F34" s="81" t="s">
        <v>125</v>
      </c>
      <c r="G34" s="102" t="s">
        <v>206</v>
      </c>
      <c r="H34" s="105" t="s">
        <v>153</v>
      </c>
      <c r="I34" s="106" t="s">
        <v>207</v>
      </c>
      <c r="J34" s="103"/>
      <c r="K34" s="106" t="s">
        <v>208</v>
      </c>
      <c r="N34" s="56"/>
      <c r="O34" s="56"/>
      <c r="P34" s="56"/>
    </row>
    <row r="35" spans="1:56" ht="25.5" customHeight="1">
      <c r="A35" s="355"/>
      <c r="B35" s="125" t="s">
        <v>209</v>
      </c>
      <c r="C35" s="77" t="s">
        <v>210</v>
      </c>
      <c r="D35" s="77">
        <v>2023</v>
      </c>
      <c r="E35" s="155" t="s">
        <v>150</v>
      </c>
      <c r="F35" s="118"/>
      <c r="G35" s="118"/>
      <c r="H35" s="105" t="s">
        <v>153</v>
      </c>
      <c r="J35" s="118" t="s">
        <v>96</v>
      </c>
      <c r="K35" s="118" t="s">
        <v>96</v>
      </c>
      <c r="N35" s="56"/>
      <c r="O35" s="56"/>
      <c r="P35" s="56"/>
    </row>
    <row r="36" spans="1:56" ht="144">
      <c r="A36" s="355"/>
      <c r="B36" s="127" t="s">
        <v>211</v>
      </c>
      <c r="C36" s="106" t="s">
        <v>212</v>
      </c>
      <c r="D36" s="103">
        <v>2026</v>
      </c>
      <c r="E36" s="103" t="s">
        <v>100</v>
      </c>
      <c r="F36" s="81" t="s">
        <v>151</v>
      </c>
      <c r="G36" s="102" t="s">
        <v>213</v>
      </c>
      <c r="H36" s="105" t="s">
        <v>153</v>
      </c>
      <c r="I36" s="106" t="s">
        <v>214</v>
      </c>
      <c r="J36" s="106" t="s">
        <v>215</v>
      </c>
      <c r="K36" s="106" t="s">
        <v>216</v>
      </c>
      <c r="N36" s="56"/>
      <c r="O36" s="56"/>
      <c r="P36" s="56"/>
    </row>
    <row r="37" spans="1:56" ht="187.5">
      <c r="A37" s="356"/>
      <c r="B37" s="125" t="s">
        <v>217</v>
      </c>
      <c r="C37" s="43" t="s">
        <v>218</v>
      </c>
      <c r="D37" s="77">
        <v>2020</v>
      </c>
      <c r="E37" s="77" t="s">
        <v>18</v>
      </c>
      <c r="F37" s="78" t="s">
        <v>219</v>
      </c>
      <c r="G37" s="49" t="s">
        <v>220</v>
      </c>
      <c r="H37" s="75" t="s">
        <v>221</v>
      </c>
      <c r="I37" s="49" t="s">
        <v>222</v>
      </c>
      <c r="J37" s="49" t="s">
        <v>223</v>
      </c>
      <c r="K37" s="49" t="s">
        <v>224</v>
      </c>
      <c r="N37" s="56"/>
      <c r="O37" s="56"/>
      <c r="P37" s="56"/>
    </row>
    <row r="38" spans="1:56" s="56" customFormat="1" ht="96" customHeight="1">
      <c r="A38" s="353" t="s">
        <v>225</v>
      </c>
      <c r="B38" s="50" t="s">
        <v>226</v>
      </c>
      <c r="C38" s="99" t="s">
        <v>227</v>
      </c>
      <c r="D38" s="97">
        <v>2023</v>
      </c>
      <c r="E38" s="97" t="s">
        <v>18</v>
      </c>
      <c r="F38" s="81" t="s">
        <v>228</v>
      </c>
      <c r="G38" s="96" t="s">
        <v>229</v>
      </c>
      <c r="H38" s="75" t="s">
        <v>221</v>
      </c>
      <c r="I38" s="94" t="s">
        <v>230</v>
      </c>
      <c r="J38" s="96" t="s">
        <v>231</v>
      </c>
      <c r="K38" s="96" t="s">
        <v>232</v>
      </c>
      <c r="L38"/>
      <c r="M38"/>
    </row>
    <row r="39" spans="1:56" s="56" customFormat="1" ht="141" customHeight="1">
      <c r="A39" s="353"/>
      <c r="B39" s="55" t="s">
        <v>233</v>
      </c>
      <c r="C39" s="43" t="s">
        <v>234</v>
      </c>
      <c r="D39" s="104">
        <v>2010</v>
      </c>
      <c r="E39" s="77" t="s">
        <v>64</v>
      </c>
      <c r="F39" s="78" t="s">
        <v>233</v>
      </c>
      <c r="G39" s="95" t="s">
        <v>235</v>
      </c>
      <c r="H39" s="93" t="s">
        <v>55</v>
      </c>
      <c r="I39" s="49" t="s">
        <v>236</v>
      </c>
      <c r="J39" s="95" t="s">
        <v>235</v>
      </c>
      <c r="K39" s="95" t="s">
        <v>235</v>
      </c>
      <c r="L39"/>
      <c r="M39"/>
    </row>
    <row r="40" spans="1:56" s="56" customFormat="1" ht="87.75" customHeight="1">
      <c r="A40" s="353"/>
      <c r="B40" s="82" t="s">
        <v>237</v>
      </c>
      <c r="C40" s="98" t="s">
        <v>238</v>
      </c>
      <c r="D40" s="97">
        <v>2021</v>
      </c>
      <c r="E40" s="97" t="s">
        <v>239</v>
      </c>
      <c r="F40" s="81" t="s">
        <v>240</v>
      </c>
      <c r="G40" s="96" t="s">
        <v>241</v>
      </c>
      <c r="H40" s="75" t="s">
        <v>221</v>
      </c>
      <c r="I40" s="94" t="s">
        <v>242</v>
      </c>
      <c r="J40" s="96" t="s">
        <v>243</v>
      </c>
      <c r="K40" s="96" t="s">
        <v>244</v>
      </c>
      <c r="L40"/>
      <c r="M40"/>
    </row>
    <row r="41" spans="1:56" ht="81" customHeight="1">
      <c r="A41" s="353"/>
      <c r="B41" s="55" t="s">
        <v>245</v>
      </c>
      <c r="C41" s="40" t="s">
        <v>246</v>
      </c>
      <c r="D41" s="77">
        <v>2023</v>
      </c>
      <c r="E41" s="77" t="s">
        <v>135</v>
      </c>
      <c r="F41" s="112" t="s">
        <v>247</v>
      </c>
      <c r="G41" s="95" t="s">
        <v>248</v>
      </c>
      <c r="H41" s="75" t="s">
        <v>221</v>
      </c>
      <c r="I41" s="169" t="s">
        <v>249</v>
      </c>
      <c r="J41" s="170" t="s">
        <v>250</v>
      </c>
      <c r="K41" s="170" t="s">
        <v>251</v>
      </c>
    </row>
    <row r="42" spans="1:56" ht="73.5" customHeight="1">
      <c r="A42" s="353"/>
      <c r="B42" s="81" t="s">
        <v>252</v>
      </c>
      <c r="C42" s="98" t="s">
        <v>253</v>
      </c>
      <c r="D42" s="97">
        <v>2026</v>
      </c>
      <c r="E42" s="97" t="s">
        <v>100</v>
      </c>
      <c r="F42" s="81" t="s">
        <v>254</v>
      </c>
      <c r="G42" s="96" t="s">
        <v>255</v>
      </c>
      <c r="H42" s="75" t="s">
        <v>221</v>
      </c>
      <c r="I42" s="94" t="s">
        <v>256</v>
      </c>
      <c r="J42" s="99" t="s">
        <v>257</v>
      </c>
      <c r="K42" s="99" t="s">
        <v>258</v>
      </c>
    </row>
    <row r="43" spans="1:56" ht="84.75" customHeight="1">
      <c r="A43" s="353"/>
      <c r="B43" s="55" t="s">
        <v>259</v>
      </c>
      <c r="C43" s="40" t="s">
        <v>260</v>
      </c>
      <c r="D43" s="77">
        <v>2023</v>
      </c>
      <c r="E43" s="77" t="s">
        <v>135</v>
      </c>
      <c r="F43" s="112" t="s">
        <v>261</v>
      </c>
      <c r="G43" s="95" t="s">
        <v>262</v>
      </c>
      <c r="H43" s="75" t="s">
        <v>221</v>
      </c>
      <c r="I43" s="169" t="s">
        <v>263</v>
      </c>
      <c r="J43" s="170" t="s">
        <v>264</v>
      </c>
      <c r="K43" s="170" t="s">
        <v>265</v>
      </c>
    </row>
    <row r="44" spans="1:56" ht="78" customHeight="1">
      <c r="A44" s="353"/>
      <c r="B44" s="47" t="s">
        <v>266</v>
      </c>
      <c r="C44" s="98" t="s">
        <v>267</v>
      </c>
      <c r="D44" s="97">
        <v>2023</v>
      </c>
      <c r="E44" s="97" t="s">
        <v>135</v>
      </c>
      <c r="F44" s="47" t="s">
        <v>268</v>
      </c>
      <c r="G44" s="96" t="s">
        <v>269</v>
      </c>
      <c r="H44" s="75" t="s">
        <v>221</v>
      </c>
      <c r="I44" s="94" t="s">
        <v>270</v>
      </c>
      <c r="J44" s="99" t="s">
        <v>271</v>
      </c>
      <c r="K44" s="99" t="s">
        <v>272</v>
      </c>
    </row>
    <row r="45" spans="1:56" ht="77.25" customHeight="1">
      <c r="A45" s="353"/>
      <c r="B45" s="41" t="s">
        <v>273</v>
      </c>
      <c r="C45" s="40" t="s">
        <v>274</v>
      </c>
      <c r="D45" s="77">
        <v>2025</v>
      </c>
      <c r="E45" s="77" t="s">
        <v>64</v>
      </c>
      <c r="F45" s="45" t="s">
        <v>275</v>
      </c>
      <c r="G45" s="52" t="s">
        <v>276</v>
      </c>
      <c r="H45" s="75" t="s">
        <v>221</v>
      </c>
      <c r="I45" s="171" t="s">
        <v>277</v>
      </c>
      <c r="J45" s="170" t="s">
        <v>278</v>
      </c>
      <c r="K45" s="171" t="s">
        <v>279</v>
      </c>
    </row>
    <row r="46" spans="1:56" ht="89.25" customHeight="1">
      <c r="A46" s="353"/>
      <c r="B46" s="47" t="s">
        <v>280</v>
      </c>
      <c r="C46" s="98" t="s">
        <v>281</v>
      </c>
      <c r="D46" s="172">
        <v>2024</v>
      </c>
      <c r="E46" s="172" t="s">
        <v>162</v>
      </c>
      <c r="F46" s="35"/>
      <c r="G46" s="35"/>
      <c r="H46" s="93" t="s">
        <v>282</v>
      </c>
      <c r="I46" s="122" t="s">
        <v>283</v>
      </c>
      <c r="J46" s="35"/>
      <c r="K46" s="35"/>
    </row>
    <row r="47" spans="1:56" ht="96.75" customHeight="1">
      <c r="A47" s="353"/>
      <c r="B47" s="41" t="s">
        <v>284</v>
      </c>
      <c r="C47" t="s">
        <v>285</v>
      </c>
      <c r="D47" s="104">
        <v>2019</v>
      </c>
      <c r="E47" s="33" t="s">
        <v>18</v>
      </c>
      <c r="F47" s="45" t="s">
        <v>286</v>
      </c>
      <c r="G47" s="34"/>
      <c r="H47" s="93" t="s">
        <v>282</v>
      </c>
      <c r="I47" s="171" t="s">
        <v>287</v>
      </c>
      <c r="J47" s="34"/>
      <c r="K47" s="34"/>
    </row>
    <row r="48" spans="1:56" ht="68.25" customHeight="1">
      <c r="A48" s="353"/>
      <c r="B48" s="47" t="s">
        <v>288</v>
      </c>
      <c r="C48" s="98" t="s">
        <v>289</v>
      </c>
      <c r="D48" s="104">
        <v>2014</v>
      </c>
      <c r="E48" s="104" t="s">
        <v>290</v>
      </c>
      <c r="F48" s="47" t="s">
        <v>291</v>
      </c>
      <c r="G48" s="35"/>
      <c r="H48" s="93" t="s">
        <v>282</v>
      </c>
      <c r="I48" s="122" t="s">
        <v>292</v>
      </c>
      <c r="J48" s="35"/>
      <c r="K48" s="35"/>
    </row>
    <row r="49" spans="1:11" ht="93" customHeight="1">
      <c r="A49" s="353"/>
      <c r="B49" s="55" t="s">
        <v>280</v>
      </c>
      <c r="C49" s="43" t="s">
        <v>281</v>
      </c>
      <c r="D49" s="77">
        <v>2024</v>
      </c>
      <c r="E49" s="77" t="s">
        <v>143</v>
      </c>
      <c r="F49" s="78" t="s">
        <v>293</v>
      </c>
      <c r="G49" s="118"/>
      <c r="H49" s="75" t="s">
        <v>221</v>
      </c>
      <c r="I49" s="117" t="s">
        <v>294</v>
      </c>
      <c r="J49" s="52" t="s">
        <v>295</v>
      </c>
      <c r="K49" s="52" t="s">
        <v>296</v>
      </c>
    </row>
    <row r="50" spans="1:11" ht="168.75" customHeight="1">
      <c r="A50" s="357" t="s">
        <v>297</v>
      </c>
      <c r="B50" s="59" t="s">
        <v>284</v>
      </c>
      <c r="C50" s="46" t="s">
        <v>285</v>
      </c>
      <c r="D50" s="72">
        <v>2019</v>
      </c>
      <c r="E50" s="84" t="s">
        <v>18</v>
      </c>
      <c r="F50" s="61" t="s">
        <v>286</v>
      </c>
      <c r="G50" s="119" t="s">
        <v>96</v>
      </c>
      <c r="H50" s="72" t="s">
        <v>55</v>
      </c>
      <c r="I50" s="247" t="s">
        <v>298</v>
      </c>
      <c r="J50" s="119" t="s">
        <v>96</v>
      </c>
      <c r="K50" s="119" t="s">
        <v>96</v>
      </c>
    </row>
    <row r="51" spans="1:11" ht="66" customHeight="1">
      <c r="A51" s="357"/>
      <c r="B51" s="57" t="s">
        <v>299</v>
      </c>
      <c r="C51" s="51" t="s">
        <v>300</v>
      </c>
      <c r="D51" s="73">
        <v>2014</v>
      </c>
      <c r="E51" s="85" t="s">
        <v>301</v>
      </c>
      <c r="F51" s="58" t="s">
        <v>291</v>
      </c>
      <c r="G51" s="118" t="s">
        <v>96</v>
      </c>
      <c r="H51" s="72" t="s">
        <v>55</v>
      </c>
      <c r="I51" s="49" t="s">
        <v>302</v>
      </c>
      <c r="J51" s="118" t="s">
        <v>96</v>
      </c>
      <c r="K51" s="118" t="s">
        <v>96</v>
      </c>
    </row>
    <row r="52" spans="1:11" ht="30.75">
      <c r="A52" s="357"/>
      <c r="B52" s="59" t="s">
        <v>303</v>
      </c>
      <c r="C52" s="362" t="s">
        <v>304</v>
      </c>
      <c r="D52" s="60">
        <v>2023</v>
      </c>
      <c r="E52" s="84" t="s">
        <v>198</v>
      </c>
      <c r="F52" s="59" t="s">
        <v>305</v>
      </c>
      <c r="G52" s="119" t="s">
        <v>96</v>
      </c>
      <c r="H52" s="72" t="s">
        <v>55</v>
      </c>
      <c r="I52" s="120" t="s">
        <v>633</v>
      </c>
      <c r="J52" s="119" t="s">
        <v>96</v>
      </c>
      <c r="K52" s="119" t="s">
        <v>96</v>
      </c>
    </row>
    <row r="53" spans="1:11" ht="73.5" customHeight="1">
      <c r="A53" s="357"/>
      <c r="B53" s="63" t="s">
        <v>310</v>
      </c>
      <c r="C53" s="53" t="s">
        <v>311</v>
      </c>
      <c r="D53" s="62">
        <v>2022</v>
      </c>
      <c r="E53" s="86" t="s">
        <v>64</v>
      </c>
      <c r="F53" s="57" t="s">
        <v>312</v>
      </c>
      <c r="G53" s="118" t="s">
        <v>96</v>
      </c>
      <c r="H53" s="72" t="s">
        <v>55</v>
      </c>
      <c r="I53" s="43" t="s">
        <v>634</v>
      </c>
      <c r="J53" s="118" t="s">
        <v>96</v>
      </c>
      <c r="K53" s="118" t="s">
        <v>96</v>
      </c>
    </row>
    <row r="54" spans="1:11" ht="91.5">
      <c r="A54" s="357"/>
      <c r="B54" s="59" t="s">
        <v>314</v>
      </c>
      <c r="C54" s="54" t="s">
        <v>315</v>
      </c>
      <c r="D54" s="71" t="s">
        <v>316</v>
      </c>
      <c r="E54" s="84" t="s">
        <v>64</v>
      </c>
      <c r="F54" s="59" t="s">
        <v>317</v>
      </c>
      <c r="G54" s="48"/>
      <c r="H54" s="75" t="s">
        <v>221</v>
      </c>
      <c r="I54" s="121" t="s">
        <v>635</v>
      </c>
      <c r="J54" s="121" t="s">
        <v>320</v>
      </c>
      <c r="K54" s="121" t="s">
        <v>321</v>
      </c>
    </row>
    <row r="55" spans="1:11" ht="57.75" customHeight="1">
      <c r="A55" s="357"/>
      <c r="B55" s="57" t="s">
        <v>322</v>
      </c>
      <c r="C55" s="363" t="s">
        <v>323</v>
      </c>
      <c r="D55" s="62">
        <v>2025</v>
      </c>
      <c r="E55" s="86" t="s">
        <v>324</v>
      </c>
      <c r="F55" s="57" t="s">
        <v>325</v>
      </c>
      <c r="G55" s="34"/>
      <c r="H55" s="34"/>
      <c r="I55" s="34"/>
      <c r="J55" s="34"/>
      <c r="K55" s="34"/>
    </row>
    <row r="56" spans="1:11" ht="69.75" customHeight="1">
      <c r="A56" s="357"/>
      <c r="B56" s="61" t="s">
        <v>327</v>
      </c>
      <c r="C56" s="46" t="s">
        <v>328</v>
      </c>
      <c r="D56" s="70">
        <v>2008</v>
      </c>
      <c r="E56" s="87" t="s">
        <v>18</v>
      </c>
      <c r="F56" s="59" t="s">
        <v>329</v>
      </c>
      <c r="G56" s="48"/>
      <c r="H56" s="35"/>
      <c r="I56" s="35"/>
      <c r="J56" s="35"/>
      <c r="K56" s="35"/>
    </row>
    <row r="57" spans="1:11" ht="59.25" customHeight="1">
      <c r="A57" s="357"/>
      <c r="B57" s="57" t="s">
        <v>331</v>
      </c>
      <c r="C57" s="364" t="s">
        <v>332</v>
      </c>
      <c r="D57" s="64">
        <v>2020</v>
      </c>
      <c r="E57" s="88" t="s">
        <v>198</v>
      </c>
      <c r="F57" s="57" t="s">
        <v>333</v>
      </c>
      <c r="G57" s="34"/>
      <c r="H57" s="34"/>
      <c r="I57" s="34"/>
      <c r="J57" s="34"/>
      <c r="K57" s="34"/>
    </row>
    <row r="58" spans="1:11" ht="45.75" customHeight="1">
      <c r="A58" s="357"/>
      <c r="B58" s="65" t="s">
        <v>335</v>
      </c>
      <c r="C58" s="66" t="s">
        <v>336</v>
      </c>
      <c r="D58" s="67">
        <v>2022</v>
      </c>
      <c r="E58" s="87" t="s">
        <v>143</v>
      </c>
      <c r="F58" s="61" t="s">
        <v>337</v>
      </c>
      <c r="G58" s="35"/>
      <c r="H58" s="35"/>
      <c r="I58" s="35"/>
      <c r="J58" s="35"/>
      <c r="K58" s="35"/>
    </row>
    <row r="59" spans="1:11" ht="66.75" customHeight="1">
      <c r="A59" s="357"/>
      <c r="B59" s="57" t="s">
        <v>342</v>
      </c>
      <c r="C59" s="364" t="s">
        <v>343</v>
      </c>
      <c r="D59" s="365">
        <v>2025</v>
      </c>
      <c r="E59" s="89" t="s">
        <v>94</v>
      </c>
      <c r="F59" s="57" t="s">
        <v>344</v>
      </c>
      <c r="G59" s="118" t="s">
        <v>96</v>
      </c>
      <c r="H59" s="72" t="s">
        <v>55</v>
      </c>
      <c r="I59" s="49" t="s">
        <v>302</v>
      </c>
      <c r="J59" s="118" t="s">
        <v>96</v>
      </c>
      <c r="K59" s="118" t="s">
        <v>96</v>
      </c>
    </row>
    <row r="60" spans="1:11" ht="84.75" customHeight="1">
      <c r="A60" s="357"/>
      <c r="B60" s="68" t="s">
        <v>345</v>
      </c>
      <c r="C60" s="69" t="s">
        <v>346</v>
      </c>
      <c r="D60" s="69">
        <v>2024</v>
      </c>
      <c r="E60" s="90" t="s">
        <v>64</v>
      </c>
      <c r="F60" s="68" t="s">
        <v>347</v>
      </c>
      <c r="G60" s="35"/>
      <c r="H60" s="35"/>
      <c r="I60" s="35"/>
      <c r="J60" s="35"/>
      <c r="K60" s="35"/>
    </row>
    <row r="61" spans="1:11" ht="124.5" customHeight="1">
      <c r="A61" s="357"/>
      <c r="B61" s="57" t="s">
        <v>636</v>
      </c>
      <c r="C61" s="364" t="s">
        <v>637</v>
      </c>
      <c r="D61" s="365">
        <v>2023</v>
      </c>
      <c r="E61" s="33" t="s">
        <v>324</v>
      </c>
      <c r="F61" s="57" t="s">
        <v>638</v>
      </c>
      <c r="G61" s="80" t="s">
        <v>639</v>
      </c>
      <c r="H61" s="75" t="s">
        <v>21</v>
      </c>
      <c r="I61" s="176" t="s">
        <v>640</v>
      </c>
      <c r="J61" s="74" t="s">
        <v>641</v>
      </c>
      <c r="K61" s="74" t="s">
        <v>642</v>
      </c>
    </row>
    <row r="62" spans="1:11" ht="28.5">
      <c r="A62" s="353" t="s">
        <v>352</v>
      </c>
      <c r="B62" s="35" t="s">
        <v>353</v>
      </c>
      <c r="C62" s="98" t="s">
        <v>354</v>
      </c>
      <c r="D62" s="104">
        <v>2007</v>
      </c>
      <c r="E62" s="172" t="s">
        <v>18</v>
      </c>
      <c r="F62" s="47" t="s">
        <v>355</v>
      </c>
      <c r="G62" s="35"/>
      <c r="H62" s="72" t="s">
        <v>55</v>
      </c>
      <c r="I62" s="177"/>
      <c r="J62" s="35"/>
      <c r="K62" s="35"/>
    </row>
    <row r="63" spans="1:11" ht="45.75">
      <c r="A63" s="353"/>
      <c r="B63" s="57" t="s">
        <v>356</v>
      </c>
      <c r="C63" s="173" t="s">
        <v>357</v>
      </c>
      <c r="D63" s="365">
        <v>2024</v>
      </c>
      <c r="E63" s="33" t="s">
        <v>64</v>
      </c>
      <c r="F63" s="45" t="s">
        <v>358</v>
      </c>
      <c r="G63" s="80" t="s">
        <v>359</v>
      </c>
      <c r="H63" s="75" t="s">
        <v>21</v>
      </c>
      <c r="I63" s="176" t="s">
        <v>360</v>
      </c>
      <c r="J63" s="34" t="s">
        <v>361</v>
      </c>
      <c r="K63" s="34" t="s">
        <v>362</v>
      </c>
    </row>
    <row r="64" spans="1:11" ht="57.75">
      <c r="A64" s="353"/>
      <c r="B64" s="35" t="s">
        <v>363</v>
      </c>
      <c r="C64" s="175" t="s">
        <v>364</v>
      </c>
      <c r="D64" s="98" t="s">
        <v>365</v>
      </c>
      <c r="E64" s="172" t="s">
        <v>143</v>
      </c>
      <c r="F64" s="47" t="s">
        <v>366</v>
      </c>
      <c r="G64" s="179" t="s">
        <v>367</v>
      </c>
      <c r="H64" s="75" t="s">
        <v>368</v>
      </c>
      <c r="I64" s="177"/>
      <c r="J64" s="35"/>
      <c r="K64" s="35"/>
    </row>
    <row r="65" spans="1:14" ht="30.75">
      <c r="A65" s="353"/>
      <c r="C65" s="174" t="s">
        <v>369</v>
      </c>
      <c r="D65" s="79">
        <v>45413</v>
      </c>
      <c r="F65" s="34"/>
      <c r="G65" s="34"/>
      <c r="H65" s="72" t="s">
        <v>55</v>
      </c>
      <c r="I65" s="176" t="s">
        <v>370</v>
      </c>
      <c r="J65" s="34"/>
      <c r="K65" s="34"/>
    </row>
    <row r="66" spans="1:14" ht="28.5">
      <c r="A66" s="353"/>
      <c r="B66" s="35"/>
      <c r="C66" s="98" t="s">
        <v>371</v>
      </c>
      <c r="D66" s="178">
        <v>45778</v>
      </c>
      <c r="E66" s="83"/>
      <c r="F66" s="35"/>
      <c r="G66" s="35"/>
      <c r="H66" s="72" t="s">
        <v>55</v>
      </c>
      <c r="I66" s="177" t="s">
        <v>370</v>
      </c>
      <c r="J66" s="35"/>
      <c r="K66" s="35"/>
    </row>
    <row r="67" spans="1:14" ht="30.75">
      <c r="A67" s="353"/>
      <c r="B67" s="41" t="s">
        <v>372</v>
      </c>
      <c r="C67" s="174" t="s">
        <v>373</v>
      </c>
      <c r="D67" s="44">
        <v>45458</v>
      </c>
      <c r="E67" s="33" t="s">
        <v>374</v>
      </c>
      <c r="F67" s="45" t="s">
        <v>375</v>
      </c>
      <c r="G67" s="34"/>
      <c r="H67" s="72" t="s">
        <v>55</v>
      </c>
      <c r="I67" s="176" t="s">
        <v>370</v>
      </c>
      <c r="J67" s="34"/>
      <c r="K67" s="34"/>
    </row>
    <row r="68" spans="1:14" ht="43.5">
      <c r="A68" s="353"/>
      <c r="B68" s="35"/>
      <c r="C68" s="98" t="s">
        <v>376</v>
      </c>
      <c r="D68" s="108">
        <v>40765</v>
      </c>
      <c r="E68" s="172" t="s">
        <v>377</v>
      </c>
      <c r="F68" s="35"/>
      <c r="G68" s="35"/>
      <c r="H68" s="72" t="s">
        <v>55</v>
      </c>
      <c r="I68" s="177" t="s">
        <v>370</v>
      </c>
      <c r="J68" s="35"/>
      <c r="K68" s="35"/>
    </row>
    <row r="69" spans="1:14" ht="16.5">
      <c r="A69" s="353"/>
      <c r="E69" s="33" t="s">
        <v>378</v>
      </c>
      <c r="F69" s="34"/>
      <c r="G69" s="34"/>
      <c r="H69" s="72" t="s">
        <v>55</v>
      </c>
      <c r="I69" s="176" t="s">
        <v>370</v>
      </c>
      <c r="J69" s="34"/>
      <c r="K69" s="34"/>
    </row>
    <row r="70" spans="1:14" ht="16.5">
      <c r="A70" s="353"/>
      <c r="B70" s="35"/>
      <c r="C70" s="35"/>
      <c r="D70" s="35"/>
      <c r="E70" s="83"/>
      <c r="F70" s="35"/>
      <c r="G70" s="35"/>
      <c r="H70" s="72" t="s">
        <v>55</v>
      </c>
      <c r="I70" s="177" t="s">
        <v>370</v>
      </c>
      <c r="J70" s="35"/>
      <c r="K70" s="35"/>
    </row>
    <row r="71" spans="1:14" ht="16.5">
      <c r="A71" s="353"/>
      <c r="F71" s="34"/>
      <c r="G71" s="34"/>
      <c r="H71" s="72" t="s">
        <v>55</v>
      </c>
      <c r="I71" s="176" t="s">
        <v>370</v>
      </c>
      <c r="J71" s="34"/>
      <c r="K71" s="34"/>
    </row>
    <row r="72" spans="1:14" ht="16.5">
      <c r="A72" s="353"/>
      <c r="B72" s="35"/>
      <c r="C72" s="35"/>
      <c r="D72" s="35"/>
      <c r="E72" s="83"/>
      <c r="F72" s="35"/>
      <c r="G72" s="35"/>
      <c r="H72" s="72" t="s">
        <v>55</v>
      </c>
      <c r="I72" s="177" t="s">
        <v>370</v>
      </c>
      <c r="J72" s="35"/>
      <c r="K72" s="35"/>
    </row>
    <row r="73" spans="1:14" ht="57.75">
      <c r="A73" s="353"/>
      <c r="B73" s="55" t="s">
        <v>379</v>
      </c>
      <c r="C73" s="43" t="s">
        <v>380</v>
      </c>
      <c r="D73" s="77">
        <v>2026</v>
      </c>
      <c r="E73" s="77" t="s">
        <v>239</v>
      </c>
      <c r="F73" s="78" t="s">
        <v>381</v>
      </c>
      <c r="G73" s="49" t="s">
        <v>382</v>
      </c>
      <c r="H73" s="75" t="s">
        <v>221</v>
      </c>
      <c r="I73" s="49" t="s">
        <v>383</v>
      </c>
      <c r="J73" s="42" t="s">
        <v>384</v>
      </c>
      <c r="K73" s="35" t="s">
        <v>385</v>
      </c>
    </row>
    <row r="74" spans="1:14" ht="115.5">
      <c r="A74" s="353" t="s">
        <v>386</v>
      </c>
      <c r="B74" s="131" t="s">
        <v>387</v>
      </c>
      <c r="C74" s="158" t="s">
        <v>388</v>
      </c>
      <c r="D74" s="97">
        <v>2025</v>
      </c>
      <c r="E74" s="97" t="s">
        <v>135</v>
      </c>
      <c r="F74" s="127" t="s">
        <v>389</v>
      </c>
      <c r="G74" s="106" t="s">
        <v>390</v>
      </c>
      <c r="H74" s="105" t="s">
        <v>221</v>
      </c>
      <c r="I74" s="106" t="s">
        <v>391</v>
      </c>
      <c r="J74" s="130" t="s">
        <v>392</v>
      </c>
      <c r="K74" s="130" t="s">
        <v>393</v>
      </c>
    </row>
    <row r="75" spans="1:14" ht="86.25">
      <c r="A75" s="353"/>
      <c r="B75" s="128" t="s">
        <v>394</v>
      </c>
      <c r="C75" s="139" t="s">
        <v>395</v>
      </c>
      <c r="D75" s="77">
        <v>2024</v>
      </c>
      <c r="E75" s="77" t="s">
        <v>135</v>
      </c>
      <c r="F75" s="112" t="s">
        <v>396</v>
      </c>
      <c r="G75" s="95" t="s">
        <v>397</v>
      </c>
      <c r="H75" s="105" t="s">
        <v>221</v>
      </c>
      <c r="I75" s="95" t="s">
        <v>398</v>
      </c>
      <c r="J75" s="123" t="s">
        <v>399</v>
      </c>
      <c r="K75" s="123" t="s">
        <v>400</v>
      </c>
    </row>
    <row r="76" spans="1:14" ht="86.25">
      <c r="A76" s="353"/>
      <c r="B76" s="131" t="s">
        <v>401</v>
      </c>
      <c r="C76" s="158" t="s">
        <v>402</v>
      </c>
      <c r="D76" s="97">
        <v>2023</v>
      </c>
      <c r="E76" s="97" t="s">
        <v>135</v>
      </c>
      <c r="F76" s="127" t="s">
        <v>403</v>
      </c>
      <c r="G76" s="106" t="s">
        <v>404</v>
      </c>
      <c r="H76" s="105" t="s">
        <v>183</v>
      </c>
      <c r="I76" s="106" t="s">
        <v>405</v>
      </c>
      <c r="J76" s="130" t="s">
        <v>406</v>
      </c>
      <c r="K76" s="130" t="s">
        <v>407</v>
      </c>
    </row>
    <row r="77" spans="1:14" ht="86.25">
      <c r="A77" s="353"/>
      <c r="B77" s="128" t="s">
        <v>408</v>
      </c>
      <c r="C77" s="139" t="s">
        <v>409</v>
      </c>
      <c r="D77" s="77">
        <v>2021</v>
      </c>
      <c r="E77" s="77" t="s">
        <v>239</v>
      </c>
      <c r="F77" s="112" t="s">
        <v>410</v>
      </c>
      <c r="G77" s="95" t="s">
        <v>411</v>
      </c>
      <c r="H77" s="105" t="s">
        <v>221</v>
      </c>
      <c r="I77" s="95" t="s">
        <v>412</v>
      </c>
      <c r="J77" s="123" t="s">
        <v>413</v>
      </c>
      <c r="K77" s="123" t="s">
        <v>414</v>
      </c>
      <c r="N77" s="25"/>
    </row>
    <row r="78" spans="1:14" ht="72">
      <c r="A78" s="353"/>
      <c r="B78" s="131" t="s">
        <v>415</v>
      </c>
      <c r="C78" s="158" t="s">
        <v>416</v>
      </c>
      <c r="D78" s="97">
        <v>2026</v>
      </c>
      <c r="E78" s="97" t="s">
        <v>135</v>
      </c>
      <c r="F78" s="127" t="s">
        <v>417</v>
      </c>
      <c r="G78" s="106" t="s">
        <v>418</v>
      </c>
      <c r="H78" s="105" t="s">
        <v>221</v>
      </c>
      <c r="I78" s="106" t="s">
        <v>419</v>
      </c>
      <c r="J78" s="130"/>
      <c r="K78" s="130"/>
    </row>
    <row r="79" spans="1:14" ht="60.75" customHeight="1">
      <c r="A79" s="353"/>
      <c r="B79" s="128" t="s">
        <v>420</v>
      </c>
      <c r="C79" s="139" t="s">
        <v>421</v>
      </c>
      <c r="D79" s="77">
        <v>2026</v>
      </c>
      <c r="E79" s="77" t="s">
        <v>135</v>
      </c>
      <c r="F79" s="112" t="s">
        <v>422</v>
      </c>
      <c r="G79" s="95" t="s">
        <v>423</v>
      </c>
      <c r="H79" s="104" t="s">
        <v>424</v>
      </c>
      <c r="I79" s="95"/>
      <c r="J79" s="123"/>
      <c r="K79" s="123"/>
    </row>
    <row r="80" spans="1:14" ht="60.75" customHeight="1">
      <c r="A80" s="353"/>
      <c r="B80" s="131" t="s">
        <v>425</v>
      </c>
      <c r="C80" s="158" t="s">
        <v>426</v>
      </c>
      <c r="D80" s="97">
        <v>2026</v>
      </c>
      <c r="E80" s="97" t="s">
        <v>135</v>
      </c>
      <c r="F80" s="127" t="s">
        <v>427</v>
      </c>
      <c r="G80" s="106" t="s">
        <v>428</v>
      </c>
      <c r="H80" s="105" t="s">
        <v>221</v>
      </c>
      <c r="I80" s="106" t="s">
        <v>429</v>
      </c>
      <c r="J80" s="130"/>
      <c r="K80" s="130"/>
    </row>
    <row r="81" spans="1:11" ht="72">
      <c r="A81" s="353"/>
      <c r="B81" s="128" t="s">
        <v>430</v>
      </c>
      <c r="C81" s="139" t="s">
        <v>431</v>
      </c>
      <c r="D81" s="77">
        <v>2026</v>
      </c>
      <c r="E81" s="77" t="s">
        <v>135</v>
      </c>
      <c r="F81" s="112" t="s">
        <v>432</v>
      </c>
      <c r="G81" s="95" t="s">
        <v>433</v>
      </c>
      <c r="H81" s="105" t="s">
        <v>21</v>
      </c>
      <c r="I81" s="95" t="s">
        <v>434</v>
      </c>
      <c r="J81" s="123"/>
      <c r="K81" s="123"/>
    </row>
    <row r="82" spans="1:11" ht="72">
      <c r="A82" s="353"/>
      <c r="B82" s="139" t="s">
        <v>435</v>
      </c>
      <c r="C82" s="77" t="s">
        <v>436</v>
      </c>
      <c r="D82" s="77">
        <v>2021</v>
      </c>
      <c r="E82" s="77" t="s">
        <v>135</v>
      </c>
      <c r="F82" s="112" t="s">
        <v>437</v>
      </c>
      <c r="G82" s="159" t="s">
        <v>438</v>
      </c>
      <c r="H82" s="104" t="s">
        <v>424</v>
      </c>
      <c r="I82" s="248" t="s">
        <v>439</v>
      </c>
      <c r="J82" s="130"/>
      <c r="K82" s="130"/>
    </row>
    <row r="83" spans="1:11" ht="43.5">
      <c r="A83" s="353"/>
      <c r="B83" s="123" t="s">
        <v>440</v>
      </c>
      <c r="C83" s="131" t="s">
        <v>441</v>
      </c>
      <c r="D83" s="123">
        <v>2015</v>
      </c>
      <c r="E83" s="123" t="s">
        <v>18</v>
      </c>
      <c r="F83" s="127" t="s">
        <v>442</v>
      </c>
      <c r="G83" s="123" t="s">
        <v>443</v>
      </c>
      <c r="H83" s="105" t="s">
        <v>221</v>
      </c>
      <c r="I83" s="131" t="s">
        <v>444</v>
      </c>
      <c r="J83" s="123" t="s">
        <v>445</v>
      </c>
      <c r="K83" s="123" t="s">
        <v>446</v>
      </c>
    </row>
    <row r="84" spans="1:11" ht="15" customHeight="1">
      <c r="A84" s="353"/>
      <c r="B84" s="249"/>
      <c r="C84" s="249"/>
      <c r="D84" s="249"/>
      <c r="E84" s="249"/>
      <c r="F84" s="124"/>
      <c r="G84" s="124"/>
      <c r="H84" s="105"/>
      <c r="I84" s="124"/>
      <c r="J84" s="124"/>
      <c r="K84" s="124"/>
    </row>
    <row r="85" spans="1:11" ht="45.75">
      <c r="A85" s="250"/>
      <c r="B85" s="162" t="s">
        <v>447</v>
      </c>
      <c r="C85" s="139" t="s">
        <v>448</v>
      </c>
      <c r="D85" s="155">
        <v>2021</v>
      </c>
      <c r="E85" s="77" t="s">
        <v>135</v>
      </c>
      <c r="F85" s="163" t="s">
        <v>449</v>
      </c>
      <c r="G85" s="77" t="s">
        <v>450</v>
      </c>
      <c r="H85" s="105" t="s">
        <v>21</v>
      </c>
      <c r="I85" s="106" t="s">
        <v>451</v>
      </c>
      <c r="J85" s="167" t="s">
        <v>452</v>
      </c>
      <c r="K85" s="168" t="s">
        <v>453</v>
      </c>
    </row>
    <row r="86" spans="1:11" ht="15.75">
      <c r="A86" s="353" t="s">
        <v>454</v>
      </c>
      <c r="B86" s="127" t="s">
        <v>455</v>
      </c>
      <c r="C86" s="123" t="s">
        <v>456</v>
      </c>
      <c r="D86" s="123">
        <v>2024</v>
      </c>
      <c r="E86" s="123" t="s">
        <v>135</v>
      </c>
      <c r="F86" s="166" t="s">
        <v>457</v>
      </c>
      <c r="G86" s="123" t="s">
        <v>458</v>
      </c>
      <c r="H86" s="75" t="s">
        <v>153</v>
      </c>
      <c r="I86" s="97" t="s">
        <v>459</v>
      </c>
      <c r="J86" s="97" t="s">
        <v>460</v>
      </c>
      <c r="K86" s="136" t="s">
        <v>461</v>
      </c>
    </row>
    <row r="87" spans="1:11" ht="43.5">
      <c r="A87" s="353"/>
      <c r="B87" s="77" t="s">
        <v>462</v>
      </c>
      <c r="C87" s="139" t="s">
        <v>463</v>
      </c>
      <c r="D87" s="77">
        <v>2026</v>
      </c>
      <c r="E87" s="77" t="s">
        <v>135</v>
      </c>
      <c r="F87" s="112" t="s">
        <v>464</v>
      </c>
      <c r="G87" s="130" t="s">
        <v>465</v>
      </c>
      <c r="H87" s="105" t="s">
        <v>153</v>
      </c>
      <c r="I87" s="164" t="s">
        <v>466</v>
      </c>
      <c r="J87" s="165" t="s">
        <v>467</v>
      </c>
      <c r="K87" s="165" t="s">
        <v>468</v>
      </c>
    </row>
    <row r="88" spans="1:11" ht="43.5">
      <c r="A88" s="353"/>
      <c r="B88" s="123" t="s">
        <v>469</v>
      </c>
      <c r="C88" s="158" t="s">
        <v>470</v>
      </c>
      <c r="D88" s="97">
        <v>2023</v>
      </c>
      <c r="E88" s="97" t="s">
        <v>135</v>
      </c>
      <c r="F88" s="127" t="s">
        <v>471</v>
      </c>
      <c r="G88" s="97" t="s">
        <v>472</v>
      </c>
      <c r="H88" s="105" t="s">
        <v>153</v>
      </c>
      <c r="I88" s="97" t="s">
        <v>473</v>
      </c>
      <c r="J88" s="97" t="s">
        <v>474</v>
      </c>
      <c r="K88" s="97" t="s">
        <v>475</v>
      </c>
    </row>
    <row r="89" spans="1:11" ht="45.75">
      <c r="A89" s="353"/>
      <c r="B89" s="77" t="s">
        <v>476</v>
      </c>
      <c r="C89" s="139" t="s">
        <v>477</v>
      </c>
      <c r="D89" s="77">
        <v>2026</v>
      </c>
      <c r="E89" s="77" t="s">
        <v>150</v>
      </c>
      <c r="F89" s="112" t="s">
        <v>478</v>
      </c>
      <c r="G89" s="130" t="s">
        <v>479</v>
      </c>
      <c r="H89" s="105" t="s">
        <v>153</v>
      </c>
      <c r="I89" s="164" t="s">
        <v>480</v>
      </c>
      <c r="J89" s="165" t="s">
        <v>481</v>
      </c>
      <c r="K89" s="165" t="s">
        <v>482</v>
      </c>
    </row>
    <row r="90" spans="1:11" ht="16.5">
      <c r="A90" s="353"/>
      <c r="B90" s="35" t="s">
        <v>483</v>
      </c>
      <c r="C90" s="35"/>
      <c r="D90" s="35"/>
      <c r="E90" s="83"/>
      <c r="F90" s="35"/>
      <c r="G90" s="35"/>
      <c r="H90" s="72" t="s">
        <v>55</v>
      </c>
      <c r="I90" s="35"/>
      <c r="J90" s="35"/>
      <c r="K90" s="35"/>
    </row>
    <row r="91" spans="1:11" ht="16.5">
      <c r="A91" s="353"/>
      <c r="B91" t="s">
        <v>483</v>
      </c>
      <c r="F91" s="34"/>
      <c r="G91" s="34"/>
      <c r="H91" s="72" t="s">
        <v>55</v>
      </c>
      <c r="I91" s="34"/>
      <c r="J91" s="34"/>
      <c r="K91" s="34"/>
    </row>
    <row r="92" spans="1:11" ht="16.5">
      <c r="A92" s="353"/>
      <c r="B92" s="35" t="s">
        <v>483</v>
      </c>
      <c r="C92" s="35"/>
      <c r="D92" s="35"/>
      <c r="E92" s="83"/>
      <c r="F92" s="35"/>
      <c r="G92" s="35"/>
      <c r="H92" s="72" t="s">
        <v>55</v>
      </c>
      <c r="I92" s="35"/>
      <c r="J92" s="35"/>
      <c r="K92" s="35"/>
    </row>
    <row r="93" spans="1:11" ht="16.5">
      <c r="A93" s="353"/>
      <c r="B93" t="s">
        <v>483</v>
      </c>
      <c r="F93" s="34"/>
      <c r="G93" s="34"/>
      <c r="H93" s="72" t="s">
        <v>55</v>
      </c>
      <c r="I93" s="34"/>
      <c r="J93" s="34"/>
      <c r="K93" s="34"/>
    </row>
    <row r="94" spans="1:11" ht="16.5">
      <c r="A94" s="353"/>
      <c r="B94" s="35" t="s">
        <v>483</v>
      </c>
      <c r="C94" s="35"/>
      <c r="D94" s="35"/>
      <c r="E94" s="83"/>
      <c r="F94" s="35"/>
      <c r="G94" s="35"/>
      <c r="H94" s="72" t="s">
        <v>55</v>
      </c>
      <c r="I94" s="35"/>
      <c r="J94" s="35"/>
      <c r="K94" s="35"/>
    </row>
    <row r="95" spans="1:11" ht="16.5">
      <c r="A95" s="353"/>
      <c r="B95" t="s">
        <v>483</v>
      </c>
      <c r="F95" s="34"/>
      <c r="G95" s="34"/>
      <c r="H95" s="72" t="s">
        <v>55</v>
      </c>
      <c r="I95" s="34"/>
      <c r="J95" s="34"/>
      <c r="K95" s="34"/>
    </row>
    <row r="96" spans="1:11" ht="16.5">
      <c r="A96" s="353"/>
      <c r="B96" s="35" t="s">
        <v>483</v>
      </c>
      <c r="C96" s="35"/>
      <c r="D96" s="35"/>
      <c r="E96" s="83"/>
      <c r="F96" s="35"/>
      <c r="G96" s="35"/>
      <c r="H96" s="72" t="s">
        <v>55</v>
      </c>
      <c r="I96" s="35"/>
      <c r="J96" s="35"/>
      <c r="K96" s="35"/>
    </row>
    <row r="97" spans="1:11" ht="16.5">
      <c r="A97" s="358"/>
      <c r="B97" t="s">
        <v>483</v>
      </c>
      <c r="F97" s="34"/>
      <c r="G97" s="34"/>
      <c r="H97" s="72" t="s">
        <v>282</v>
      </c>
      <c r="I97" s="34"/>
      <c r="J97" s="34"/>
      <c r="K97" s="34"/>
    </row>
    <row r="98" spans="1:11" ht="173.25">
      <c r="A98" s="359" t="s">
        <v>484</v>
      </c>
      <c r="B98" s="151" t="s">
        <v>485</v>
      </c>
      <c r="C98" s="152" t="s">
        <v>486</v>
      </c>
      <c r="D98" s="136">
        <v>2026</v>
      </c>
      <c r="E98" s="136" t="s">
        <v>150</v>
      </c>
      <c r="F98" s="127" t="s">
        <v>487</v>
      </c>
      <c r="G98" s="135" t="s">
        <v>488</v>
      </c>
      <c r="H98" s="153" t="s">
        <v>153</v>
      </c>
      <c r="I98" s="251" t="s">
        <v>489</v>
      </c>
      <c r="J98" s="152" t="s">
        <v>490</v>
      </c>
      <c r="K98" s="106" t="s">
        <v>491</v>
      </c>
    </row>
    <row r="99" spans="1:11" ht="57.75">
      <c r="A99" s="353"/>
      <c r="B99" s="128" t="s">
        <v>485</v>
      </c>
      <c r="C99" s="139" t="s">
        <v>492</v>
      </c>
      <c r="D99" s="77">
        <v>2025</v>
      </c>
      <c r="E99" s="77" t="s">
        <v>150</v>
      </c>
      <c r="F99" s="112" t="s">
        <v>487</v>
      </c>
      <c r="G99" s="252" t="s">
        <v>493</v>
      </c>
      <c r="H99" s="105" t="s">
        <v>153</v>
      </c>
      <c r="I99" s="110" t="s">
        <v>494</v>
      </c>
      <c r="J99" s="110" t="s">
        <v>495</v>
      </c>
      <c r="K99" s="110" t="s">
        <v>496</v>
      </c>
    </row>
    <row r="100" spans="1:11" ht="76.5">
      <c r="A100" s="353"/>
      <c r="B100" s="151" t="s">
        <v>497</v>
      </c>
      <c r="C100" s="152" t="s">
        <v>498</v>
      </c>
      <c r="D100" s="104">
        <v>2008</v>
      </c>
      <c r="E100" s="136" t="s">
        <v>18</v>
      </c>
      <c r="F100" s="127" t="s">
        <v>499</v>
      </c>
      <c r="G100" s="121" t="s">
        <v>500</v>
      </c>
      <c r="H100" s="105" t="s">
        <v>153</v>
      </c>
      <c r="I100" s="251" t="s">
        <v>501</v>
      </c>
      <c r="J100" s="152" t="s">
        <v>502</v>
      </c>
      <c r="K100" s="106" t="s">
        <v>503</v>
      </c>
    </row>
    <row r="101" spans="1:11" ht="106.5">
      <c r="A101" s="353"/>
      <c r="B101" s="128" t="s">
        <v>504</v>
      </c>
      <c r="C101" s="77" t="s">
        <v>505</v>
      </c>
      <c r="D101" s="77">
        <v>2020</v>
      </c>
      <c r="E101" s="77" t="s">
        <v>150</v>
      </c>
      <c r="F101" s="112" t="s">
        <v>506</v>
      </c>
      <c r="G101" s="156" t="s">
        <v>507</v>
      </c>
      <c r="H101" s="105" t="s">
        <v>153</v>
      </c>
      <c r="I101" s="110" t="s">
        <v>508</v>
      </c>
      <c r="J101" s="34"/>
      <c r="K101" s="34"/>
    </row>
    <row r="102" spans="1:11" ht="16.5">
      <c r="A102" s="353"/>
      <c r="B102" s="35" t="s">
        <v>483</v>
      </c>
      <c r="C102" s="35"/>
      <c r="D102" s="35"/>
      <c r="E102" s="83"/>
      <c r="F102" s="35"/>
      <c r="G102" s="35"/>
      <c r="H102" s="72" t="s">
        <v>282</v>
      </c>
      <c r="I102" s="35"/>
      <c r="J102" s="35"/>
      <c r="K102" s="35"/>
    </row>
    <row r="103" spans="1:11" ht="16.5">
      <c r="A103" s="353"/>
      <c r="B103" t="s">
        <v>483</v>
      </c>
      <c r="F103" s="34"/>
      <c r="G103" s="34"/>
      <c r="H103" s="72" t="s">
        <v>282</v>
      </c>
      <c r="I103" s="34"/>
      <c r="J103" s="34"/>
      <c r="K103" s="34"/>
    </row>
    <row r="104" spans="1:11" ht="16.5">
      <c r="A104" s="353"/>
      <c r="B104" s="35" t="s">
        <v>483</v>
      </c>
      <c r="C104" s="35"/>
      <c r="D104" s="35"/>
      <c r="E104" s="83"/>
      <c r="F104" s="35"/>
      <c r="G104" s="35"/>
      <c r="H104" s="72" t="s">
        <v>282</v>
      </c>
      <c r="I104" s="35"/>
      <c r="J104" s="35"/>
      <c r="K104" s="35"/>
    </row>
    <row r="105" spans="1:11" ht="16.5">
      <c r="A105" s="353"/>
      <c r="B105" t="s">
        <v>483</v>
      </c>
      <c r="F105" s="34"/>
      <c r="G105" s="34"/>
      <c r="H105" s="72" t="s">
        <v>282</v>
      </c>
      <c r="I105" s="34"/>
      <c r="J105" s="34"/>
      <c r="K105" s="34"/>
    </row>
    <row r="106" spans="1:11" ht="16.5">
      <c r="A106" s="353"/>
      <c r="B106" s="35" t="s">
        <v>483</v>
      </c>
      <c r="C106" s="35"/>
      <c r="D106" s="35"/>
      <c r="E106" s="83"/>
      <c r="F106" s="35"/>
      <c r="G106" s="35"/>
      <c r="H106" s="72" t="s">
        <v>282</v>
      </c>
      <c r="I106" s="35"/>
      <c r="J106" s="35"/>
      <c r="K106" s="35"/>
    </row>
    <row r="107" spans="1:11" ht="16.5">
      <c r="A107" s="353"/>
      <c r="B107" t="s">
        <v>483</v>
      </c>
      <c r="F107" s="34"/>
      <c r="G107" s="34"/>
      <c r="H107" s="72" t="s">
        <v>282</v>
      </c>
      <c r="I107" s="34"/>
      <c r="J107" s="34"/>
      <c r="K107" s="34"/>
    </row>
    <row r="108" spans="1:11" ht="16.5">
      <c r="A108" s="353"/>
      <c r="B108" s="35" t="s">
        <v>483</v>
      </c>
      <c r="C108" s="35"/>
      <c r="D108" s="35"/>
      <c r="E108" s="83"/>
      <c r="F108" s="35"/>
      <c r="G108" s="35"/>
      <c r="H108" s="72" t="s">
        <v>282</v>
      </c>
      <c r="I108" s="35"/>
      <c r="J108" s="35"/>
      <c r="K108" s="35"/>
    </row>
    <row r="109" spans="1:11" ht="16.5">
      <c r="A109" s="353"/>
      <c r="B109" s="41" t="s">
        <v>483</v>
      </c>
      <c r="C109" s="40"/>
      <c r="D109" s="44"/>
      <c r="F109" s="45"/>
      <c r="G109" s="34"/>
      <c r="H109" s="72" t="s">
        <v>282</v>
      </c>
      <c r="I109" s="74"/>
      <c r="J109" s="34"/>
      <c r="K109" s="34"/>
    </row>
    <row r="110" spans="1:11" ht="159">
      <c r="A110" s="353" t="s">
        <v>509</v>
      </c>
      <c r="B110" s="47" t="s">
        <v>510</v>
      </c>
      <c r="C110" s="227" t="s">
        <v>511</v>
      </c>
      <c r="D110" s="76" t="s">
        <v>512</v>
      </c>
      <c r="E110" s="83" t="s">
        <v>150</v>
      </c>
      <c r="F110" s="230" t="s">
        <v>513</v>
      </c>
      <c r="G110" s="98" t="s">
        <v>514</v>
      </c>
      <c r="H110" s="72" t="s">
        <v>21</v>
      </c>
      <c r="I110" s="227" t="s">
        <v>515</v>
      </c>
      <c r="J110" s="229" t="s">
        <v>516</v>
      </c>
      <c r="K110" s="217" t="s">
        <v>517</v>
      </c>
    </row>
    <row r="111" spans="1:11" ht="16.5">
      <c r="A111" s="353"/>
      <c r="B111" s="41" t="s">
        <v>518</v>
      </c>
      <c r="C111" t="s">
        <v>519</v>
      </c>
      <c r="D111" s="44">
        <v>45886</v>
      </c>
      <c r="E111" s="33" t="s">
        <v>150</v>
      </c>
      <c r="F111" s="223" t="s">
        <v>520</v>
      </c>
      <c r="G111" s="228" t="s">
        <v>521</v>
      </c>
      <c r="H111" s="72" t="s">
        <v>21</v>
      </c>
      <c r="I111" s="228" t="s">
        <v>522</v>
      </c>
      <c r="J111" s="218"/>
      <c r="K111" s="218" t="s">
        <v>523</v>
      </c>
    </row>
    <row r="112" spans="1:11" ht="57.75">
      <c r="A112" s="353"/>
      <c r="B112" s="47" t="s">
        <v>524</v>
      </c>
      <c r="C112" s="35" t="s">
        <v>525</v>
      </c>
      <c r="D112" s="35" t="s">
        <v>526</v>
      </c>
      <c r="E112" s="83" t="s">
        <v>150</v>
      </c>
      <c r="F112" s="222" t="s">
        <v>527</v>
      </c>
      <c r="G112" s="227" t="s">
        <v>528</v>
      </c>
      <c r="H112" s="72" t="s">
        <v>370</v>
      </c>
      <c r="I112" s="217"/>
      <c r="J112" s="98" t="s">
        <v>529</v>
      </c>
      <c r="K112" s="219" t="s">
        <v>530</v>
      </c>
    </row>
    <row r="113" spans="1:11" ht="129.75">
      <c r="A113" s="353"/>
      <c r="B113" s="41" t="s">
        <v>531</v>
      </c>
      <c r="C113" t="s">
        <v>532</v>
      </c>
      <c r="D113" t="s">
        <v>533</v>
      </c>
      <c r="E113" s="33" t="s">
        <v>150</v>
      </c>
      <c r="F113" s="223" t="s">
        <v>534</v>
      </c>
      <c r="G113" s="226" t="s">
        <v>535</v>
      </c>
      <c r="H113" s="72" t="s">
        <v>21</v>
      </c>
      <c r="I113" s="226" t="s">
        <v>536</v>
      </c>
      <c r="J113" s="228" t="s">
        <v>537</v>
      </c>
      <c r="K113" s="220" t="s">
        <v>538</v>
      </c>
    </row>
    <row r="114" spans="1:11" ht="16.5">
      <c r="A114" s="353"/>
      <c r="B114" s="41" t="s">
        <v>539</v>
      </c>
      <c r="C114" s="35" t="s">
        <v>540</v>
      </c>
      <c r="D114" s="76">
        <v>45988</v>
      </c>
      <c r="E114" s="83" t="s">
        <v>150</v>
      </c>
      <c r="F114" s="222" t="s">
        <v>541</v>
      </c>
      <c r="G114" t="s">
        <v>542</v>
      </c>
      <c r="H114" s="72" t="s">
        <v>21</v>
      </c>
      <c r="I114" s="227" t="s">
        <v>543</v>
      </c>
      <c r="J114" t="s">
        <v>544</v>
      </c>
      <c r="K114" s="225" t="s">
        <v>545</v>
      </c>
    </row>
    <row r="115" spans="1:11" ht="198">
      <c r="A115" s="353"/>
      <c r="B115" s="253" t="s">
        <v>546</v>
      </c>
      <c r="C115" t="s">
        <v>547</v>
      </c>
      <c r="D115" s="44">
        <v>46006</v>
      </c>
      <c r="E115" s="33" t="s">
        <v>150</v>
      </c>
      <c r="F115" s="45" t="s">
        <v>548</v>
      </c>
      <c r="G115" s="156" t="s">
        <v>549</v>
      </c>
      <c r="H115" s="72" t="s">
        <v>21</v>
      </c>
      <c r="I115" s="224" t="s">
        <v>550</v>
      </c>
      <c r="J115" s="224" t="s">
        <v>551</v>
      </c>
      <c r="K115" s="156" t="s">
        <v>552</v>
      </c>
    </row>
    <row r="116" spans="1:11" ht="16.5">
      <c r="A116" s="353"/>
      <c r="B116" s="47" t="s">
        <v>539</v>
      </c>
      <c r="C116" s="35" t="s">
        <v>540</v>
      </c>
      <c r="D116" s="35"/>
      <c r="E116" s="83"/>
      <c r="F116" s="35"/>
      <c r="G116" s="35"/>
      <c r="H116" s="72" t="s">
        <v>282</v>
      </c>
      <c r="I116" s="35" t="s">
        <v>553</v>
      </c>
      <c r="J116" s="35"/>
      <c r="K116" s="35"/>
    </row>
    <row r="117" spans="1:11" ht="16.5">
      <c r="A117" s="353"/>
      <c r="B117" s="41" t="s">
        <v>554</v>
      </c>
      <c r="C117" t="s">
        <v>555</v>
      </c>
      <c r="D117" t="s">
        <v>556</v>
      </c>
      <c r="E117" s="33" t="s">
        <v>150</v>
      </c>
      <c r="F117" s="45" t="s">
        <v>557</v>
      </c>
      <c r="G117" s="254" t="s">
        <v>558</v>
      </c>
      <c r="H117" s="72" t="s">
        <v>21</v>
      </c>
      <c r="I117" s="224" t="s">
        <v>559</v>
      </c>
      <c r="J117" t="s">
        <v>560</v>
      </c>
      <c r="K117" s="224" t="s">
        <v>561</v>
      </c>
    </row>
    <row r="118" spans="1:11" ht="15.75">
      <c r="A118" s="353"/>
      <c r="B118" s="47" t="s">
        <v>562</v>
      </c>
      <c r="C118" s="225" t="s">
        <v>563</v>
      </c>
      <c r="D118" s="35" t="s">
        <v>564</v>
      </c>
      <c r="E118" s="83" t="s">
        <v>150</v>
      </c>
      <c r="F118" s="41" t="s">
        <v>565</v>
      </c>
      <c r="G118" s="35"/>
      <c r="H118" s="72"/>
      <c r="I118" s="35"/>
      <c r="J118" s="35"/>
      <c r="K118" s="35"/>
    </row>
    <row r="119" spans="1:11" ht="16.5">
      <c r="A119" s="353"/>
      <c r="B119" t="s">
        <v>483</v>
      </c>
      <c r="F119" s="35"/>
      <c r="G119" s="34"/>
      <c r="H119" s="72" t="s">
        <v>282</v>
      </c>
      <c r="I119" s="34"/>
      <c r="J119" s="34"/>
      <c r="K119" s="34"/>
    </row>
    <row r="120" spans="1:11" ht="28.5">
      <c r="A120" s="353"/>
      <c r="B120" s="47" t="s">
        <v>566</v>
      </c>
      <c r="C120" s="42" t="s">
        <v>567</v>
      </c>
      <c r="D120" s="76">
        <v>45924</v>
      </c>
      <c r="E120" s="83" t="s">
        <v>135</v>
      </c>
      <c r="F120" s="47" t="s">
        <v>568</v>
      </c>
      <c r="G120" s="35"/>
      <c r="H120" s="75" t="s">
        <v>282</v>
      </c>
      <c r="I120" s="35" t="s">
        <v>569</v>
      </c>
      <c r="J120" s="35"/>
      <c r="K120" s="35"/>
    </row>
    <row r="121" spans="1:11" ht="45.75">
      <c r="A121" s="353"/>
      <c r="B121" t="s">
        <v>570</v>
      </c>
      <c r="C121" s="40" t="s">
        <v>571</v>
      </c>
      <c r="F121" s="34"/>
      <c r="G121" s="34"/>
      <c r="H121" s="75" t="s">
        <v>21</v>
      </c>
      <c r="I121" s="34"/>
      <c r="J121" s="34"/>
      <c r="K121" s="34"/>
    </row>
    <row r="122" spans="1:11" ht="16.5">
      <c r="A122" s="353" t="s">
        <v>572</v>
      </c>
      <c r="B122" s="35" t="s">
        <v>483</v>
      </c>
      <c r="C122" s="35"/>
      <c r="D122" s="35"/>
      <c r="E122" s="83"/>
      <c r="F122" s="35"/>
      <c r="G122" s="35"/>
      <c r="H122" s="72" t="s">
        <v>282</v>
      </c>
      <c r="I122" s="35" t="s">
        <v>370</v>
      </c>
      <c r="J122" s="35"/>
      <c r="K122" s="35"/>
    </row>
    <row r="123" spans="1:11" ht="16.5">
      <c r="A123" s="353"/>
      <c r="B123" t="s">
        <v>483</v>
      </c>
      <c r="F123" s="34"/>
      <c r="G123" s="34"/>
      <c r="H123" s="72" t="s">
        <v>282</v>
      </c>
      <c r="I123" s="34" t="s">
        <v>370</v>
      </c>
      <c r="J123" s="34"/>
      <c r="K123" s="34"/>
    </row>
    <row r="124" spans="1:11" ht="16.5">
      <c r="A124" s="353"/>
      <c r="B124" s="35" t="s">
        <v>483</v>
      </c>
      <c r="C124" s="35"/>
      <c r="D124" s="35"/>
      <c r="E124" s="83"/>
      <c r="F124" s="35"/>
      <c r="G124" s="35"/>
      <c r="H124" s="72" t="s">
        <v>282</v>
      </c>
      <c r="I124" s="35" t="s">
        <v>370</v>
      </c>
      <c r="J124" s="35"/>
      <c r="K124" s="35"/>
    </row>
    <row r="125" spans="1:11" ht="16.5">
      <c r="A125" s="353"/>
      <c r="B125" t="s">
        <v>483</v>
      </c>
      <c r="F125" s="34"/>
      <c r="G125" s="34"/>
      <c r="H125" s="72" t="s">
        <v>282</v>
      </c>
      <c r="I125" s="34" t="s">
        <v>370</v>
      </c>
      <c r="J125" s="34"/>
      <c r="K125" s="34"/>
    </row>
    <row r="126" spans="1:11" ht="16.5">
      <c r="A126" s="353"/>
      <c r="B126" s="35" t="s">
        <v>483</v>
      </c>
      <c r="C126" s="35"/>
      <c r="D126" s="35"/>
      <c r="E126" s="83"/>
      <c r="F126" s="35"/>
      <c r="G126" s="35"/>
      <c r="H126" s="72" t="s">
        <v>282</v>
      </c>
      <c r="I126" s="35" t="s">
        <v>370</v>
      </c>
      <c r="J126" s="35"/>
      <c r="K126" s="35"/>
    </row>
    <row r="127" spans="1:11" ht="16.5">
      <c r="A127" s="353"/>
      <c r="B127" t="s">
        <v>483</v>
      </c>
      <c r="F127" s="34"/>
      <c r="G127" s="34"/>
      <c r="H127" s="72" t="s">
        <v>282</v>
      </c>
      <c r="I127" s="34" t="s">
        <v>370</v>
      </c>
      <c r="J127" s="34"/>
      <c r="K127" s="34"/>
    </row>
    <row r="128" spans="1:11" ht="57.75">
      <c r="A128" s="353"/>
      <c r="B128" s="35" t="s">
        <v>573</v>
      </c>
      <c r="C128" s="42" t="s">
        <v>650</v>
      </c>
      <c r="D128" s="35"/>
      <c r="E128" s="83"/>
      <c r="F128" s="35"/>
      <c r="G128" s="35"/>
      <c r="H128" s="75" t="s">
        <v>21</v>
      </c>
      <c r="I128" s="35"/>
      <c r="J128" s="35"/>
      <c r="K128" s="35"/>
    </row>
    <row r="129" spans="1:11" ht="30.75">
      <c r="A129" s="353"/>
      <c r="B129" t="s">
        <v>585</v>
      </c>
      <c r="C129" s="40" t="s">
        <v>586</v>
      </c>
      <c r="D129" s="107">
        <v>37967</v>
      </c>
      <c r="F129" s="34"/>
      <c r="G129" s="34"/>
      <c r="H129" s="72" t="s">
        <v>282</v>
      </c>
      <c r="I129" s="34" t="s">
        <v>587</v>
      </c>
      <c r="J129" s="34"/>
      <c r="K129" s="34"/>
    </row>
    <row r="130" spans="1:11" ht="43.5">
      <c r="A130" s="353"/>
      <c r="B130" s="35" t="s">
        <v>483</v>
      </c>
      <c r="C130" s="42" t="s">
        <v>588</v>
      </c>
      <c r="D130" s="35"/>
      <c r="E130" s="83"/>
      <c r="F130" s="35"/>
      <c r="G130" s="35"/>
      <c r="H130" s="72" t="s">
        <v>282</v>
      </c>
      <c r="I130" s="35" t="s">
        <v>587</v>
      </c>
      <c r="J130" s="35"/>
      <c r="K130" s="35"/>
    </row>
    <row r="131" spans="1:11" ht="30.75">
      <c r="A131" s="353"/>
      <c r="B131" s="41" t="s">
        <v>589</v>
      </c>
      <c r="C131" s="40" t="s">
        <v>590</v>
      </c>
      <c r="D131" s="44">
        <v>45088</v>
      </c>
      <c r="E131" s="33" t="s">
        <v>135</v>
      </c>
      <c r="F131" s="45" t="s">
        <v>591</v>
      </c>
      <c r="G131" s="34"/>
      <c r="H131" s="75" t="s">
        <v>153</v>
      </c>
      <c r="I131" s="34"/>
      <c r="J131" s="34"/>
      <c r="K131" s="34"/>
    </row>
    <row r="132" spans="1:11" ht="32.25">
      <c r="A132" s="353"/>
      <c r="B132" s="35" t="s">
        <v>594</v>
      </c>
      <c r="C132" s="72" t="s">
        <v>595</v>
      </c>
      <c r="D132" s="35" t="s">
        <v>596</v>
      </c>
      <c r="E132" s="83" t="s">
        <v>64</v>
      </c>
      <c r="F132" s="35"/>
      <c r="G132" s="35"/>
      <c r="H132" s="72" t="s">
        <v>282</v>
      </c>
      <c r="I132" s="35" t="s">
        <v>597</v>
      </c>
      <c r="J132" s="35"/>
      <c r="K132" s="35"/>
    </row>
    <row r="133" spans="1:11" ht="45.75">
      <c r="A133" s="353"/>
      <c r="B133" t="s">
        <v>598</v>
      </c>
      <c r="C133" s="40" t="s">
        <v>651</v>
      </c>
      <c r="D133" s="40" t="s">
        <v>652</v>
      </c>
      <c r="E133" s="33" t="s">
        <v>653</v>
      </c>
      <c r="F133" s="45" t="s">
        <v>601</v>
      </c>
      <c r="G133" s="34"/>
      <c r="H133" s="75" t="s">
        <v>153</v>
      </c>
      <c r="I133" s="34"/>
      <c r="J133" s="34"/>
      <c r="K133" s="34"/>
    </row>
    <row r="134" spans="1:11" ht="43.5">
      <c r="A134" s="353" t="s">
        <v>572</v>
      </c>
      <c r="B134" s="35" t="s">
        <v>654</v>
      </c>
      <c r="C134" s="42" t="s">
        <v>611</v>
      </c>
      <c r="D134" s="92">
        <v>44287</v>
      </c>
      <c r="E134" s="83" t="s">
        <v>64</v>
      </c>
      <c r="F134" s="47" t="s">
        <v>612</v>
      </c>
      <c r="G134" s="35"/>
      <c r="H134" s="75" t="s">
        <v>153</v>
      </c>
      <c r="I134" s="35"/>
      <c r="J134" s="35"/>
      <c r="K134" s="35"/>
    </row>
    <row r="135" spans="1:11" ht="30.75">
      <c r="A135" s="353"/>
      <c r="B135" s="41" t="s">
        <v>615</v>
      </c>
      <c r="C135" s="40" t="s">
        <v>616</v>
      </c>
      <c r="D135" s="44">
        <v>45800</v>
      </c>
      <c r="E135" s="33" t="s">
        <v>135</v>
      </c>
      <c r="F135" s="45" t="s">
        <v>617</v>
      </c>
      <c r="G135" s="34"/>
      <c r="H135" s="75" t="s">
        <v>153</v>
      </c>
      <c r="I135" s="34"/>
      <c r="J135" s="34"/>
      <c r="K135" s="34"/>
    </row>
    <row r="136" spans="1:11" ht="16.5">
      <c r="A136" s="353"/>
      <c r="B136" s="35" t="s">
        <v>619</v>
      </c>
      <c r="C136" s="35" t="s">
        <v>620</v>
      </c>
      <c r="D136" s="107">
        <v>40148</v>
      </c>
      <c r="E136" s="83" t="s">
        <v>621</v>
      </c>
      <c r="F136" s="47" t="s">
        <v>622</v>
      </c>
      <c r="G136" s="35"/>
      <c r="H136" s="72" t="s">
        <v>282</v>
      </c>
      <c r="I136" s="35" t="s">
        <v>587</v>
      </c>
      <c r="J136" s="35"/>
      <c r="K136" s="35"/>
    </row>
    <row r="137" spans="1:11" ht="16.5">
      <c r="A137" s="353"/>
      <c r="B137" t="s">
        <v>483</v>
      </c>
      <c r="F137" s="34"/>
      <c r="G137" s="34"/>
      <c r="H137" s="72" t="s">
        <v>282</v>
      </c>
      <c r="I137" s="34"/>
      <c r="J137" s="34"/>
      <c r="K137" s="34"/>
    </row>
    <row r="138" spans="1:11">
      <c r="A138" s="353"/>
      <c r="B138" s="35"/>
      <c r="C138" s="35"/>
      <c r="D138" s="35"/>
      <c r="E138" s="83"/>
      <c r="F138" s="35"/>
      <c r="G138" s="35"/>
      <c r="H138" s="35"/>
      <c r="I138" s="35"/>
      <c r="J138" s="35"/>
      <c r="K138" s="35"/>
    </row>
    <row r="139" spans="1:11">
      <c r="A139" s="353"/>
      <c r="F139" s="34"/>
      <c r="G139" s="34"/>
      <c r="H139" s="34"/>
      <c r="I139" s="34"/>
      <c r="J139" s="34"/>
      <c r="K139" s="34"/>
    </row>
    <row r="140" spans="1:11">
      <c r="A140" s="353"/>
      <c r="B140" s="35"/>
      <c r="C140" s="35"/>
      <c r="D140" s="35"/>
      <c r="E140" s="83"/>
      <c r="F140" s="35"/>
      <c r="G140" s="35"/>
      <c r="H140" s="35"/>
      <c r="I140" s="35"/>
      <c r="J140" s="35"/>
      <c r="K140" s="35"/>
    </row>
    <row r="141" spans="1:11">
      <c r="A141" s="353"/>
      <c r="D141" s="34"/>
      <c r="E141" s="91"/>
      <c r="F141" s="34"/>
      <c r="G141" s="28"/>
    </row>
    <row r="142" spans="1:11">
      <c r="A142" s="353"/>
    </row>
    <row r="143" spans="1:11">
      <c r="A143" s="353"/>
    </row>
    <row r="144" spans="1:11">
      <c r="A144" s="353"/>
    </row>
    <row r="145" spans="1:7">
      <c r="A145" s="353"/>
    </row>
    <row r="152" spans="1:7">
      <c r="B152" s="25" t="str">
        <f>IF(C152="","","PID-"&amp;TEXT(ROW()-2,"0000"))</f>
        <v/>
      </c>
      <c r="D152" s="25"/>
      <c r="F152" s="25"/>
      <c r="G152" s="25"/>
    </row>
    <row r="153" spans="1:7">
      <c r="B153" s="25" t="str">
        <f>IF(C153="","","PID-"&amp;TEXT(ROW()-2,"0000"))</f>
        <v/>
      </c>
      <c r="D153" s="25"/>
      <c r="F153" s="25"/>
      <c r="G153" s="25"/>
    </row>
    <row r="154" spans="1:7">
      <c r="B154" s="25" t="str">
        <f>IF(C154="","","PID-"&amp;TEXT(ROW()-2,"0000"))</f>
        <v/>
      </c>
      <c r="D154" s="25"/>
      <c r="F154" s="25"/>
      <c r="G154" s="25"/>
    </row>
    <row r="155" spans="1:7">
      <c r="B155" s="25" t="str">
        <f>IF(C155="","","PID-"&amp;TEXT(ROW()-2,"0000"))</f>
        <v/>
      </c>
      <c r="D155" s="25"/>
      <c r="F155" s="25"/>
      <c r="G155" s="25"/>
    </row>
    <row r="156" spans="1:7">
      <c r="B156" s="25" t="str">
        <f>IF(C156="","","PID-"&amp;TEXT(ROW()-2,"0000"))</f>
        <v/>
      </c>
      <c r="D156" s="25"/>
      <c r="F156" s="25"/>
      <c r="G156" s="25"/>
    </row>
    <row r="157" spans="1:7">
      <c r="B157" s="25" t="str">
        <f>IF(C157="","","PID-"&amp;TEXT(ROW()-2,"0000"))</f>
        <v/>
      </c>
      <c r="D157" s="25"/>
      <c r="F157" s="25"/>
      <c r="G157" s="25"/>
    </row>
    <row r="158" spans="1:7">
      <c r="B158" s="25" t="str">
        <f>IF(C158="","","PID-"&amp;TEXT(ROW()-2,"0000"))</f>
        <v/>
      </c>
      <c r="C158" s="25"/>
      <c r="D158" s="25"/>
      <c r="F158" s="25"/>
      <c r="G158" s="25"/>
    </row>
    <row r="159" spans="1:7">
      <c r="B159" s="25" t="str">
        <f>IF(C159="","","PID-"&amp;TEXT(ROW()-2,"0000"))</f>
        <v/>
      </c>
      <c r="C159" s="25"/>
      <c r="D159" s="25"/>
      <c r="E159" s="255"/>
      <c r="F159" s="25"/>
      <c r="G159" s="25"/>
    </row>
    <row r="160" spans="1:7">
      <c r="B160" s="25" t="str">
        <f>IF(C160="","","PID-"&amp;TEXT(ROW()-2,"0000"))</f>
        <v/>
      </c>
      <c r="C160" s="25"/>
      <c r="D160" s="25"/>
      <c r="E160" s="255"/>
      <c r="F160" s="25"/>
      <c r="G160" s="25"/>
    </row>
    <row r="161" spans="2:7">
      <c r="B161" s="25" t="str">
        <f>IF(C161="","","PID-"&amp;TEXT(ROW()-2,"0000"))</f>
        <v/>
      </c>
      <c r="C161" s="25"/>
      <c r="D161" s="25"/>
      <c r="E161" s="255"/>
      <c r="F161" s="25"/>
      <c r="G161" s="25"/>
    </row>
    <row r="162" spans="2:7">
      <c r="B162" s="25" t="str">
        <f>IF(C162="","","PID-"&amp;TEXT(ROW()-2,"0000"))</f>
        <v/>
      </c>
      <c r="C162" s="25"/>
      <c r="D162" s="25"/>
      <c r="E162" s="255"/>
      <c r="F162" s="25"/>
      <c r="G162" s="25"/>
    </row>
    <row r="163" spans="2:7">
      <c r="B163" s="25" t="str">
        <f>IF(C163="","","PID-"&amp;TEXT(ROW()-2,"0000"))</f>
        <v/>
      </c>
      <c r="C163" s="25"/>
      <c r="D163" s="25"/>
      <c r="E163" s="255"/>
      <c r="F163" s="25"/>
      <c r="G163" s="25"/>
    </row>
    <row r="164" spans="2:7">
      <c r="B164" s="25" t="str">
        <f>IF(C164="","","PID-"&amp;TEXT(ROW()-2,"0000"))</f>
        <v/>
      </c>
      <c r="C164" s="25"/>
      <c r="D164" s="25"/>
      <c r="E164" s="255"/>
      <c r="F164" s="25"/>
      <c r="G164" s="25"/>
    </row>
    <row r="165" spans="2:7">
      <c r="B165" s="25" t="str">
        <f>IF(C165="","","PID-"&amp;TEXT(ROW()-2,"0000"))</f>
        <v/>
      </c>
      <c r="C165" s="25"/>
      <c r="D165" s="25"/>
      <c r="E165" s="255"/>
      <c r="F165" s="25"/>
      <c r="G165" s="25"/>
    </row>
    <row r="166" spans="2:7">
      <c r="B166" s="25" t="str">
        <f>IF(C166="","","PID-"&amp;TEXT(ROW()-2,"0000"))</f>
        <v/>
      </c>
      <c r="C166" s="25"/>
      <c r="D166" s="25"/>
      <c r="E166" s="255"/>
      <c r="F166" s="25"/>
      <c r="G166" s="25"/>
    </row>
    <row r="167" spans="2:7">
      <c r="B167" s="25" t="str">
        <f>IF(C167="","","PID-"&amp;TEXT(ROW()-2,"0000"))</f>
        <v/>
      </c>
      <c r="C167" s="25"/>
      <c r="D167" s="25"/>
      <c r="E167" s="255"/>
      <c r="F167" s="25"/>
      <c r="G167" s="25"/>
    </row>
    <row r="168" spans="2:7">
      <c r="B168" s="25" t="str">
        <f>IF(C168="","","PID-"&amp;TEXT(ROW()-2,"0000"))</f>
        <v/>
      </c>
      <c r="C168" s="25"/>
      <c r="D168" s="25"/>
      <c r="E168" s="255"/>
      <c r="F168" s="25"/>
      <c r="G168" s="25"/>
    </row>
    <row r="169" spans="2:7">
      <c r="B169" s="25" t="str">
        <f>IF(C169="","","PID-"&amp;TEXT(ROW()-2,"0000"))</f>
        <v/>
      </c>
      <c r="C169" s="25"/>
      <c r="D169" s="25"/>
      <c r="E169" s="255"/>
      <c r="F169" s="25"/>
      <c r="G169" s="25"/>
    </row>
    <row r="170" spans="2:7">
      <c r="B170" s="25" t="str">
        <f>IF(C170="","","PID-"&amp;TEXT(ROW()-2,"0000"))</f>
        <v/>
      </c>
      <c r="C170" s="25"/>
      <c r="D170" s="25"/>
      <c r="E170" s="255"/>
      <c r="F170" s="25"/>
      <c r="G170" s="25"/>
    </row>
    <row r="171" spans="2:7">
      <c r="B171" s="25" t="str">
        <f>IF(C171="","","PID-"&amp;TEXT(ROW()-2,"0000"))</f>
        <v/>
      </c>
      <c r="C171" s="25"/>
      <c r="D171" s="25"/>
      <c r="E171" s="255"/>
      <c r="F171" s="25"/>
      <c r="G171" s="25"/>
    </row>
    <row r="172" spans="2:7">
      <c r="B172" s="25" t="str">
        <f>IF(C172="","","PID-"&amp;TEXT(ROW()-2,"0000"))</f>
        <v/>
      </c>
      <c r="C172" s="25"/>
      <c r="D172" s="25"/>
      <c r="E172" s="255"/>
      <c r="F172" s="25"/>
      <c r="G172" s="25"/>
    </row>
    <row r="173" spans="2:7">
      <c r="B173" s="25" t="str">
        <f>IF(C173="","","PID-"&amp;TEXT(ROW()-2,"0000"))</f>
        <v/>
      </c>
      <c r="C173" s="25"/>
      <c r="D173" s="25"/>
      <c r="E173" s="255"/>
      <c r="F173" s="25"/>
      <c r="G173" s="25"/>
    </row>
    <row r="174" spans="2:7">
      <c r="B174" s="25" t="str">
        <f>IF(C174="","","PID-"&amp;TEXT(ROW()-2,"0000"))</f>
        <v/>
      </c>
      <c r="C174" s="25"/>
      <c r="D174" s="25"/>
      <c r="E174" s="255"/>
      <c r="F174" s="25"/>
      <c r="G174" s="25"/>
    </row>
    <row r="175" spans="2:7">
      <c r="B175" s="25" t="str">
        <f>IF(C175="","","PID-"&amp;TEXT(ROW()-2,"0000"))</f>
        <v/>
      </c>
      <c r="C175" s="25"/>
      <c r="D175" s="25"/>
      <c r="E175" s="255"/>
      <c r="F175" s="25"/>
      <c r="G175" s="25"/>
    </row>
    <row r="176" spans="2:7">
      <c r="B176" s="25" t="str">
        <f>IF(C176="","","PID-"&amp;TEXT(ROW()-2,"0000"))</f>
        <v/>
      </c>
      <c r="C176" s="25"/>
      <c r="D176" s="25"/>
      <c r="E176" s="255"/>
      <c r="F176" s="25"/>
      <c r="G176" s="25"/>
    </row>
    <row r="177" spans="2:7">
      <c r="B177" s="25" t="str">
        <f>IF(C177="","","PID-"&amp;TEXT(ROW()-2,"0000"))</f>
        <v/>
      </c>
      <c r="C177" s="25"/>
      <c r="D177" s="25"/>
      <c r="E177" s="255"/>
      <c r="F177" s="25"/>
      <c r="G177" s="25"/>
    </row>
    <row r="178" spans="2:7">
      <c r="B178" s="25" t="str">
        <f>IF(C178="","","PID-"&amp;TEXT(ROW()-2,"0000"))</f>
        <v/>
      </c>
      <c r="C178" s="25"/>
      <c r="D178" s="25"/>
      <c r="E178" s="255"/>
      <c r="F178" s="25"/>
      <c r="G178" s="25"/>
    </row>
    <row r="179" spans="2:7">
      <c r="B179" s="25" t="str">
        <f>IF(C179="","","PID-"&amp;TEXT(ROW()-2,"0000"))</f>
        <v/>
      </c>
      <c r="C179" s="25"/>
      <c r="D179" s="25"/>
      <c r="E179" s="255"/>
      <c r="F179" s="25"/>
      <c r="G179" s="25"/>
    </row>
    <row r="180" spans="2:7">
      <c r="B180" s="25" t="str">
        <f>IF(C180="","","PID-"&amp;TEXT(ROW()-2,"0000"))</f>
        <v/>
      </c>
      <c r="C180" s="25"/>
      <c r="D180" s="25"/>
      <c r="E180" s="255"/>
      <c r="F180" s="25"/>
      <c r="G180" s="25"/>
    </row>
    <row r="181" spans="2:7">
      <c r="B181" s="25" t="str">
        <f>IF(C181="","","PID-"&amp;TEXT(ROW()-2,"0000"))</f>
        <v/>
      </c>
      <c r="C181" s="25"/>
      <c r="D181" s="25"/>
      <c r="E181" s="255"/>
      <c r="F181" s="25"/>
      <c r="G181" s="25"/>
    </row>
    <row r="182" spans="2:7">
      <c r="B182" s="25" t="str">
        <f>IF(C182="","","PID-"&amp;TEXT(ROW()-2,"0000"))</f>
        <v/>
      </c>
      <c r="C182" s="25"/>
      <c r="D182" s="25"/>
      <c r="E182" s="255"/>
      <c r="F182" s="25"/>
      <c r="G182" s="25"/>
    </row>
    <row r="183" spans="2:7">
      <c r="B183" s="25" t="str">
        <f>IF(C183="","","PID-"&amp;TEXT(ROW()-2,"0000"))</f>
        <v/>
      </c>
      <c r="C183" s="25"/>
      <c r="D183" s="25"/>
      <c r="E183" s="255"/>
      <c r="F183" s="25"/>
      <c r="G183" s="25"/>
    </row>
    <row r="184" spans="2:7">
      <c r="B184" s="25" t="str">
        <f>IF(C184="","","PID-"&amp;TEXT(ROW()-2,"0000"))</f>
        <v/>
      </c>
      <c r="C184" s="25"/>
      <c r="D184" s="25"/>
      <c r="E184" s="255"/>
      <c r="F184" s="25"/>
      <c r="G184" s="25"/>
    </row>
    <row r="185" spans="2:7">
      <c r="B185" s="25" t="str">
        <f>IF(C185="","","PID-"&amp;TEXT(ROW()-2,"0000"))</f>
        <v/>
      </c>
      <c r="C185" s="25"/>
      <c r="D185" s="25"/>
      <c r="E185" s="255"/>
      <c r="F185" s="25"/>
      <c r="G185" s="25"/>
    </row>
    <row r="186" spans="2:7">
      <c r="B186" s="25" t="str">
        <f>IF(C186="","","PID-"&amp;TEXT(ROW()-2,"0000"))</f>
        <v/>
      </c>
      <c r="C186" s="25"/>
      <c r="D186" s="25"/>
      <c r="E186" s="255"/>
      <c r="F186" s="25"/>
      <c r="G186" s="25"/>
    </row>
    <row r="187" spans="2:7">
      <c r="B187" s="25" t="str">
        <f>IF(C187="","","PID-"&amp;TEXT(ROW()-2,"0000"))</f>
        <v/>
      </c>
      <c r="C187" s="25"/>
      <c r="D187" s="25"/>
      <c r="E187" s="255"/>
      <c r="F187" s="25"/>
      <c r="G187" s="25"/>
    </row>
    <row r="188" spans="2:7">
      <c r="B188" s="25" t="str">
        <f>IF(C188="","","PID-"&amp;TEXT(ROW()-2,"0000"))</f>
        <v/>
      </c>
      <c r="C188" s="25"/>
      <c r="D188" s="25"/>
      <c r="E188" s="255"/>
      <c r="F188" s="25"/>
      <c r="G188" s="25"/>
    </row>
    <row r="189" spans="2:7">
      <c r="B189" s="25" t="str">
        <f>IF(C189="","","PID-"&amp;TEXT(ROW()-2,"0000"))</f>
        <v/>
      </c>
      <c r="C189" s="25"/>
      <c r="D189" s="25"/>
      <c r="E189" s="255"/>
      <c r="F189" s="25"/>
      <c r="G189" s="25"/>
    </row>
    <row r="190" spans="2:7">
      <c r="B190" s="25" t="str">
        <f>IF(C190="","","PID-"&amp;TEXT(ROW()-2,"0000"))</f>
        <v/>
      </c>
      <c r="C190" s="25"/>
      <c r="D190" s="25"/>
      <c r="E190" s="255"/>
      <c r="F190" s="25"/>
      <c r="G190" s="25"/>
    </row>
    <row r="191" spans="2:7">
      <c r="B191" s="25" t="str">
        <f>IF(C191="","","PID-"&amp;TEXT(ROW()-2,"0000"))</f>
        <v/>
      </c>
      <c r="C191" s="25"/>
      <c r="D191" s="25"/>
      <c r="E191" s="255"/>
      <c r="F191" s="25"/>
      <c r="G191" s="25"/>
    </row>
    <row r="192" spans="2:7">
      <c r="B192" s="25" t="str">
        <f>IF(C192="","","PID-"&amp;TEXT(ROW()-2,"0000"))</f>
        <v/>
      </c>
      <c r="C192" s="25"/>
      <c r="D192" s="25"/>
      <c r="E192" s="255"/>
      <c r="F192" s="25"/>
      <c r="G192" s="25"/>
    </row>
    <row r="193" spans="2:7">
      <c r="B193" s="25" t="str">
        <f>IF(C193="","","PID-"&amp;TEXT(ROW()-2,"0000"))</f>
        <v/>
      </c>
      <c r="C193" s="25"/>
      <c r="D193" s="25"/>
      <c r="E193" s="255"/>
      <c r="F193" s="25"/>
      <c r="G193" s="25"/>
    </row>
    <row r="194" spans="2:7">
      <c r="B194" s="25" t="str">
        <f>IF(C194="","","PID-"&amp;TEXT(ROW()-2,"0000"))</f>
        <v/>
      </c>
      <c r="C194" s="25"/>
      <c r="D194" s="25"/>
      <c r="E194" s="255"/>
      <c r="F194" s="25"/>
      <c r="G194" s="25"/>
    </row>
    <row r="195" spans="2:7">
      <c r="B195" s="25" t="str">
        <f>IF(C195="","","PID-"&amp;TEXT(ROW()-2,"0000"))</f>
        <v/>
      </c>
      <c r="C195" s="25"/>
      <c r="D195" s="25"/>
      <c r="E195" s="255"/>
      <c r="F195" s="25"/>
      <c r="G195" s="25"/>
    </row>
    <row r="196" spans="2:7">
      <c r="B196" s="25" t="str">
        <f>IF(C196="","","PID-"&amp;TEXT(ROW()-2,"0000"))</f>
        <v/>
      </c>
      <c r="C196" s="25"/>
      <c r="D196" s="25"/>
      <c r="E196" s="255"/>
      <c r="F196" s="25"/>
      <c r="G196" s="25"/>
    </row>
    <row r="197" spans="2:7">
      <c r="B197" s="25" t="str">
        <f>IF(C197="","","PID-"&amp;TEXT(ROW()-2,"0000"))</f>
        <v/>
      </c>
      <c r="C197" s="25"/>
      <c r="D197" s="25"/>
      <c r="E197" s="255"/>
      <c r="F197" s="25"/>
      <c r="G197" s="25"/>
    </row>
    <row r="198" spans="2:7">
      <c r="B198" s="25" t="str">
        <f>IF(C198="","","PID-"&amp;TEXT(ROW()-2,"0000"))</f>
        <v/>
      </c>
      <c r="C198" s="25"/>
      <c r="D198" s="25"/>
      <c r="E198" s="255"/>
      <c r="F198" s="25"/>
      <c r="G198" s="25"/>
    </row>
    <row r="199" spans="2:7">
      <c r="B199" s="25" t="str">
        <f>IF(C199="","","PID-"&amp;TEXT(ROW()-2,"0000"))</f>
        <v/>
      </c>
      <c r="C199" s="25"/>
      <c r="D199" s="25"/>
      <c r="E199" s="255"/>
      <c r="F199" s="25"/>
      <c r="G199" s="25"/>
    </row>
    <row r="200" spans="2:7">
      <c r="B200" s="25" t="str">
        <f>IF(C200="","","PID-"&amp;TEXT(ROW()-2,"0000"))</f>
        <v/>
      </c>
      <c r="C200" s="25"/>
      <c r="D200" s="25"/>
      <c r="E200" s="255"/>
      <c r="F200" s="25"/>
      <c r="G200" s="25"/>
    </row>
    <row r="201" spans="2:7">
      <c r="B201" s="25" t="str">
        <f>IF(C201="","","PID-"&amp;TEXT(ROW()-2,"0000"))</f>
        <v/>
      </c>
      <c r="C201" s="25"/>
      <c r="D201" s="25"/>
      <c r="E201" s="255"/>
      <c r="F201" s="25"/>
      <c r="G201" s="25"/>
    </row>
    <row r="202" spans="2:7">
      <c r="B202" s="25" t="str">
        <f>IF(C202="","","PID-"&amp;TEXT(ROW()-2,"0000"))</f>
        <v/>
      </c>
      <c r="C202" s="25"/>
      <c r="D202" s="25"/>
      <c r="E202" s="255"/>
      <c r="F202" s="25"/>
      <c r="G202" s="25"/>
    </row>
    <row r="203" spans="2:7">
      <c r="B203" s="25" t="str">
        <f>IF(C203="","","PID-"&amp;TEXT(ROW()-2,"0000"))</f>
        <v/>
      </c>
      <c r="C203" s="25"/>
      <c r="D203" s="25"/>
      <c r="E203" s="255"/>
      <c r="F203" s="25"/>
      <c r="G203" s="25"/>
    </row>
    <row r="204" spans="2:7">
      <c r="B204" s="25" t="str">
        <f>IF(C204="","","PID-"&amp;TEXT(ROW()-2,"0000"))</f>
        <v/>
      </c>
      <c r="C204" s="25"/>
      <c r="D204" s="25"/>
      <c r="E204" s="255"/>
      <c r="F204" s="25"/>
      <c r="G204" s="25"/>
    </row>
    <row r="205" spans="2:7">
      <c r="B205" s="25" t="str">
        <f>IF(C205="","","PID-"&amp;TEXT(ROW()-2,"0000"))</f>
        <v/>
      </c>
      <c r="C205" s="25"/>
      <c r="D205" s="25"/>
      <c r="E205" s="255"/>
      <c r="F205" s="25"/>
      <c r="G205" s="25"/>
    </row>
    <row r="206" spans="2:7">
      <c r="B206" s="25" t="str">
        <f>IF(C206="","","PID-"&amp;TEXT(ROW()-2,"0000"))</f>
        <v/>
      </c>
      <c r="C206" s="25"/>
      <c r="D206" s="25"/>
      <c r="E206" s="255"/>
      <c r="F206" s="25"/>
      <c r="G206" s="25"/>
    </row>
    <row r="207" spans="2:7">
      <c r="B207" s="25" t="str">
        <f>IF(C207="","","PID-"&amp;TEXT(ROW()-2,"0000"))</f>
        <v/>
      </c>
      <c r="C207" s="25"/>
      <c r="D207" s="25"/>
      <c r="E207" s="255"/>
      <c r="F207" s="25"/>
      <c r="G207" s="25"/>
    </row>
    <row r="208" spans="2:7">
      <c r="B208" s="25" t="str">
        <f>IF(C208="","","PID-"&amp;TEXT(ROW()-2,"0000"))</f>
        <v/>
      </c>
      <c r="C208" s="25"/>
      <c r="D208" s="25"/>
      <c r="E208" s="255"/>
      <c r="F208" s="25"/>
      <c r="G208" s="25"/>
    </row>
    <row r="209" spans="2:7">
      <c r="B209" s="25" t="str">
        <f>IF(C209="","","PID-"&amp;TEXT(ROW()-2,"0000"))</f>
        <v/>
      </c>
      <c r="C209" s="25"/>
      <c r="D209" s="25"/>
      <c r="E209" s="255"/>
      <c r="F209" s="25"/>
      <c r="G209" s="25"/>
    </row>
    <row r="210" spans="2:7">
      <c r="B210" s="25" t="str">
        <f>IF(C210="","","PID-"&amp;TEXT(ROW()-2,"0000"))</f>
        <v/>
      </c>
      <c r="C210" s="25"/>
      <c r="D210" s="25"/>
      <c r="E210" s="255"/>
      <c r="F210" s="25"/>
      <c r="G210" s="25"/>
    </row>
    <row r="211" spans="2:7">
      <c r="B211" s="25" t="str">
        <f>IF(C211="","","PID-"&amp;TEXT(ROW()-2,"0000"))</f>
        <v/>
      </c>
      <c r="C211" s="25"/>
      <c r="D211" s="25"/>
      <c r="E211" s="255"/>
      <c r="F211" s="25"/>
      <c r="G211" s="25"/>
    </row>
    <row r="212" spans="2:7">
      <c r="B212" s="25" t="str">
        <f>IF(C212="","","PID-"&amp;TEXT(ROW()-2,"0000"))</f>
        <v/>
      </c>
      <c r="C212" s="25"/>
      <c r="D212" s="25"/>
      <c r="E212" s="255"/>
      <c r="F212" s="25"/>
      <c r="G212" s="25"/>
    </row>
    <row r="213" spans="2:7">
      <c r="B213" s="25" t="str">
        <f>IF(C213="","","PID-"&amp;TEXT(ROW()-2,"0000"))</f>
        <v/>
      </c>
      <c r="C213" s="25"/>
      <c r="D213" s="25"/>
      <c r="E213" s="255"/>
      <c r="F213" s="25"/>
      <c r="G213" s="25"/>
    </row>
    <row r="214" spans="2:7">
      <c r="B214" s="25" t="str">
        <f>IF(C214="","","PID-"&amp;TEXT(ROW()-2,"0000"))</f>
        <v/>
      </c>
      <c r="C214" s="25"/>
      <c r="D214" s="25"/>
      <c r="E214" s="255"/>
      <c r="F214" s="25"/>
      <c r="G214" s="25"/>
    </row>
    <row r="215" spans="2:7">
      <c r="B215" s="25" t="str">
        <f>IF(C215="","","PID-"&amp;TEXT(ROW()-2,"0000"))</f>
        <v/>
      </c>
      <c r="C215" s="25"/>
      <c r="D215" s="25"/>
      <c r="E215" s="255"/>
      <c r="F215" s="25"/>
      <c r="G215" s="25"/>
    </row>
    <row r="216" spans="2:7">
      <c r="B216" s="25" t="str">
        <f>IF(C216="","","PID-"&amp;TEXT(ROW()-2,"0000"))</f>
        <v/>
      </c>
      <c r="C216" s="25"/>
      <c r="D216" s="25"/>
      <c r="E216" s="255"/>
      <c r="F216" s="25"/>
      <c r="G216" s="25"/>
    </row>
    <row r="217" spans="2:7">
      <c r="B217" s="25" t="str">
        <f>IF(C217="","","PID-"&amp;TEXT(ROW()-2,"0000"))</f>
        <v/>
      </c>
      <c r="C217" s="25"/>
      <c r="D217" s="25"/>
      <c r="E217" s="255"/>
      <c r="F217" s="25"/>
      <c r="G217" s="25"/>
    </row>
    <row r="218" spans="2:7">
      <c r="B218" s="25" t="str">
        <f>IF(C218="","","PID-"&amp;TEXT(ROW()-2,"0000"))</f>
        <v/>
      </c>
      <c r="C218" s="25"/>
      <c r="D218" s="25"/>
      <c r="E218" s="255"/>
      <c r="F218" s="25"/>
      <c r="G218" s="25"/>
    </row>
    <row r="219" spans="2:7">
      <c r="B219" s="25" t="str">
        <f>IF(C219="","","PID-"&amp;TEXT(ROW()-2,"0000"))</f>
        <v/>
      </c>
      <c r="C219" s="25"/>
      <c r="D219" s="25"/>
      <c r="E219" s="255"/>
      <c r="F219" s="25"/>
      <c r="G219" s="25"/>
    </row>
    <row r="220" spans="2:7">
      <c r="B220" s="25" t="str">
        <f>IF(C220="","","PID-"&amp;TEXT(ROW()-2,"0000"))</f>
        <v/>
      </c>
      <c r="C220" s="25"/>
      <c r="D220" s="25"/>
      <c r="E220" s="255"/>
      <c r="F220" s="25"/>
      <c r="G220" s="25"/>
    </row>
    <row r="221" spans="2:7">
      <c r="B221" s="25" t="str">
        <f>IF(C221="","","PID-"&amp;TEXT(ROW()-2,"0000"))</f>
        <v/>
      </c>
      <c r="C221" s="25"/>
      <c r="D221" s="25"/>
      <c r="E221" s="255"/>
      <c r="F221" s="25"/>
      <c r="G221" s="25"/>
    </row>
    <row r="222" spans="2:7">
      <c r="B222" s="25" t="str">
        <f>IF(C222="","","PID-"&amp;TEXT(ROW()-2,"0000"))</f>
        <v/>
      </c>
      <c r="C222" s="25"/>
      <c r="D222" s="25"/>
      <c r="E222" s="255"/>
      <c r="F222" s="25"/>
      <c r="G222" s="25"/>
    </row>
    <row r="223" spans="2:7">
      <c r="B223" s="25" t="str">
        <f>IF(C223="","","PID-"&amp;TEXT(ROW()-2,"0000"))</f>
        <v/>
      </c>
      <c r="C223" s="25"/>
      <c r="D223" s="25"/>
      <c r="E223" s="255"/>
      <c r="F223" s="25"/>
      <c r="G223" s="25"/>
    </row>
    <row r="224" spans="2:7">
      <c r="B224" s="25" t="str">
        <f>IF(C224="","","PID-"&amp;TEXT(ROW()-2,"0000"))</f>
        <v/>
      </c>
      <c r="C224" s="25"/>
      <c r="D224" s="25"/>
      <c r="E224" s="255"/>
      <c r="F224" s="25"/>
      <c r="G224" s="25"/>
    </row>
    <row r="225" spans="2:7">
      <c r="B225" s="25" t="str">
        <f>IF(C225="","","PID-"&amp;TEXT(ROW()-2,"0000"))</f>
        <v/>
      </c>
      <c r="C225" s="25"/>
      <c r="D225" s="25"/>
      <c r="E225" s="255"/>
      <c r="F225" s="25"/>
      <c r="G225" s="25"/>
    </row>
    <row r="226" spans="2:7">
      <c r="B226" s="25" t="str">
        <f>IF(C226="","","PID-"&amp;TEXT(ROW()-2,"0000"))</f>
        <v/>
      </c>
      <c r="C226" s="25"/>
      <c r="D226" s="25"/>
      <c r="E226" s="255"/>
      <c r="F226" s="25"/>
      <c r="G226" s="25"/>
    </row>
    <row r="227" spans="2:7">
      <c r="B227" s="25" t="str">
        <f>IF(C227="","","PID-"&amp;TEXT(ROW()-2,"0000"))</f>
        <v/>
      </c>
      <c r="C227" s="25"/>
      <c r="D227" s="25"/>
      <c r="E227" s="255"/>
      <c r="F227" s="25"/>
      <c r="G227" s="25"/>
    </row>
    <row r="228" spans="2:7">
      <c r="B228" s="25" t="str">
        <f>IF(C228="","","PID-"&amp;TEXT(ROW()-2,"0000"))</f>
        <v/>
      </c>
      <c r="C228" s="25"/>
      <c r="D228" s="25"/>
      <c r="E228" s="255"/>
      <c r="F228" s="25"/>
      <c r="G228" s="25"/>
    </row>
    <row r="229" spans="2:7">
      <c r="B229" s="25" t="str">
        <f>IF(C229="","","PID-"&amp;TEXT(ROW()-2,"0000"))</f>
        <v/>
      </c>
      <c r="C229" s="25"/>
      <c r="D229" s="25"/>
      <c r="E229" s="255"/>
      <c r="F229" s="25"/>
      <c r="G229" s="25"/>
    </row>
    <row r="230" spans="2:7">
      <c r="B230" s="25" t="str">
        <f>IF(C230="","","PID-"&amp;TEXT(ROW()-2,"0000"))</f>
        <v/>
      </c>
      <c r="C230" s="25"/>
      <c r="D230" s="25"/>
      <c r="E230" s="255"/>
      <c r="F230" s="25"/>
      <c r="G230" s="25"/>
    </row>
    <row r="231" spans="2:7">
      <c r="B231" s="25" t="str">
        <f>IF(C231="","","PID-"&amp;TEXT(ROW()-2,"0000"))</f>
        <v/>
      </c>
      <c r="C231" s="25"/>
      <c r="D231" s="25"/>
      <c r="E231" s="255"/>
      <c r="F231" s="25"/>
      <c r="G231" s="25"/>
    </row>
    <row r="232" spans="2:7">
      <c r="B232" s="25" t="str">
        <f>IF(C232="","","PID-"&amp;TEXT(ROW()-2,"0000"))</f>
        <v/>
      </c>
      <c r="C232" s="25"/>
      <c r="D232" s="25"/>
      <c r="E232" s="255"/>
      <c r="F232" s="25"/>
      <c r="G232" s="25"/>
    </row>
    <row r="233" spans="2:7">
      <c r="B233" s="25" t="str">
        <f>IF(C233="","","PID-"&amp;TEXT(ROW()-2,"0000"))</f>
        <v/>
      </c>
      <c r="C233" s="25"/>
      <c r="D233" s="25"/>
      <c r="E233" s="255"/>
      <c r="F233" s="25"/>
      <c r="G233" s="25"/>
    </row>
    <row r="234" spans="2:7">
      <c r="B234" s="25" t="str">
        <f>IF(C234="","","PID-"&amp;TEXT(ROW()-2,"0000"))</f>
        <v/>
      </c>
      <c r="C234" s="25"/>
      <c r="D234" s="25"/>
      <c r="E234" s="255"/>
      <c r="F234" s="25"/>
      <c r="G234" s="25"/>
    </row>
    <row r="235" spans="2:7">
      <c r="B235" s="25" t="str">
        <f>IF(C235="","","PID-"&amp;TEXT(ROW()-2,"0000"))</f>
        <v/>
      </c>
      <c r="C235" s="25"/>
      <c r="D235" s="25"/>
      <c r="E235" s="255"/>
      <c r="F235" s="25"/>
      <c r="G235" s="25"/>
    </row>
    <row r="236" spans="2:7">
      <c r="B236" s="25" t="str">
        <f>IF(C236="","","PID-"&amp;TEXT(ROW()-2,"0000"))</f>
        <v/>
      </c>
      <c r="C236" s="25"/>
      <c r="D236" s="25"/>
      <c r="E236" s="255"/>
      <c r="F236" s="25"/>
      <c r="G236" s="25"/>
    </row>
    <row r="237" spans="2:7">
      <c r="B237" s="25" t="str">
        <f>IF(C237="","","PID-"&amp;TEXT(ROW()-2,"0000"))</f>
        <v/>
      </c>
      <c r="C237" s="25"/>
      <c r="D237" s="25"/>
      <c r="E237" s="255"/>
      <c r="F237" s="25"/>
      <c r="G237" s="25"/>
    </row>
    <row r="238" spans="2:7">
      <c r="B238" s="25" t="str">
        <f>IF(C238="","","PID-"&amp;TEXT(ROW()-2,"0000"))</f>
        <v/>
      </c>
      <c r="C238" s="25"/>
      <c r="D238" s="25"/>
      <c r="E238" s="255"/>
      <c r="F238" s="25"/>
      <c r="G238" s="25"/>
    </row>
    <row r="239" spans="2:7">
      <c r="B239" s="25" t="str">
        <f>IF(C239="","","PID-"&amp;TEXT(ROW()-2,"0000"))</f>
        <v/>
      </c>
      <c r="C239" s="25"/>
      <c r="D239" s="25"/>
      <c r="E239" s="255"/>
      <c r="F239" s="25"/>
      <c r="G239" s="25"/>
    </row>
    <row r="240" spans="2:7">
      <c r="B240" s="25" t="str">
        <f>IF(C240="","","PID-"&amp;TEXT(ROW()-2,"0000"))</f>
        <v/>
      </c>
      <c r="C240" s="25"/>
      <c r="D240" s="25"/>
      <c r="E240" s="255"/>
      <c r="F240" s="25"/>
      <c r="G240" s="25"/>
    </row>
    <row r="241" spans="2:7">
      <c r="B241" s="25" t="str">
        <f>IF(C241="","","PID-"&amp;TEXT(ROW()-2,"0000"))</f>
        <v/>
      </c>
      <c r="C241" s="25"/>
      <c r="D241" s="25"/>
      <c r="E241" s="255"/>
      <c r="F241" s="25"/>
      <c r="G241" s="25"/>
    </row>
    <row r="242" spans="2:7">
      <c r="B242" s="25" t="str">
        <f>IF(C242="","","PID-"&amp;TEXT(ROW()-2,"0000"))</f>
        <v/>
      </c>
      <c r="C242" s="25"/>
      <c r="D242" s="25"/>
      <c r="E242" s="255"/>
      <c r="F242" s="25"/>
      <c r="G242" s="25"/>
    </row>
    <row r="243" spans="2:7">
      <c r="B243" s="25" t="str">
        <f>IF(C243="","","PID-"&amp;TEXT(ROW()-2,"0000"))</f>
        <v/>
      </c>
      <c r="C243" s="25"/>
      <c r="D243" s="25"/>
      <c r="E243" s="255"/>
      <c r="F243" s="25"/>
      <c r="G243" s="25"/>
    </row>
    <row r="244" spans="2:7">
      <c r="B244" s="25" t="str">
        <f>IF(C244="","","PID-"&amp;TEXT(ROW()-2,"0000"))</f>
        <v/>
      </c>
      <c r="C244" s="25"/>
      <c r="D244" s="25"/>
      <c r="E244" s="255"/>
      <c r="F244" s="25"/>
      <c r="G244" s="25"/>
    </row>
    <row r="245" spans="2:7">
      <c r="B245" s="25" t="str">
        <f>IF(C245="","","PID-"&amp;TEXT(ROW()-2,"0000"))</f>
        <v/>
      </c>
      <c r="C245" s="25"/>
      <c r="D245" s="25"/>
      <c r="E245" s="255"/>
      <c r="F245" s="25"/>
      <c r="G245" s="25"/>
    </row>
    <row r="246" spans="2:7">
      <c r="B246" s="25" t="str">
        <f>IF(C246="","","PID-"&amp;TEXT(ROW()-2,"0000"))</f>
        <v/>
      </c>
      <c r="C246" s="25"/>
      <c r="D246" s="25"/>
      <c r="E246" s="255"/>
      <c r="F246" s="25"/>
      <c r="G246" s="25"/>
    </row>
    <row r="247" spans="2:7">
      <c r="B247" s="25" t="str">
        <f>IF(C247="","","PID-"&amp;TEXT(ROW()-2,"0000"))</f>
        <v/>
      </c>
      <c r="C247" s="25"/>
      <c r="D247" s="25"/>
      <c r="E247" s="255"/>
      <c r="F247" s="25"/>
      <c r="G247" s="25"/>
    </row>
    <row r="248" spans="2:7">
      <c r="B248" s="25" t="str">
        <f>IF(C248="","","PID-"&amp;TEXT(ROW()-2,"0000"))</f>
        <v/>
      </c>
      <c r="C248" s="25"/>
      <c r="D248" s="25"/>
      <c r="E248" s="255"/>
      <c r="F248" s="25"/>
      <c r="G248" s="25"/>
    </row>
    <row r="249" spans="2:7">
      <c r="B249" s="25" t="str">
        <f>IF(C249="","","PID-"&amp;TEXT(ROW()-2,"0000"))</f>
        <v/>
      </c>
      <c r="C249" s="25"/>
      <c r="D249" s="25"/>
      <c r="E249" s="255"/>
      <c r="F249" s="25"/>
      <c r="G249" s="25"/>
    </row>
    <row r="250" spans="2:7">
      <c r="B250" s="25" t="str">
        <f>IF(C250="","","PID-"&amp;TEXT(ROW()-2,"0000"))</f>
        <v/>
      </c>
      <c r="C250" s="25"/>
      <c r="D250" s="25"/>
      <c r="E250" s="255"/>
      <c r="F250" s="25"/>
      <c r="G250" s="25"/>
    </row>
    <row r="251" spans="2:7">
      <c r="B251" s="25" t="str">
        <f>IF(C251="","","PID-"&amp;TEXT(ROW()-2,"0000"))</f>
        <v/>
      </c>
      <c r="C251" s="25"/>
      <c r="D251" s="25"/>
      <c r="E251" s="255"/>
      <c r="F251" s="25"/>
      <c r="G251" s="25"/>
    </row>
    <row r="252" spans="2:7">
      <c r="B252" s="25" t="str">
        <f>IF(C252="","","PID-"&amp;TEXT(ROW()-2,"0000"))</f>
        <v/>
      </c>
      <c r="C252" s="25"/>
      <c r="D252" s="25"/>
      <c r="E252" s="255"/>
      <c r="F252" s="25"/>
      <c r="G252" s="25"/>
    </row>
    <row r="253" spans="2:7">
      <c r="B253" s="25" t="str">
        <f>IF(C253="","","PID-"&amp;TEXT(ROW()-2,"0000"))</f>
        <v/>
      </c>
      <c r="C253" s="25"/>
      <c r="D253" s="25"/>
      <c r="E253" s="255"/>
      <c r="F253" s="25"/>
      <c r="G253" s="25"/>
    </row>
    <row r="254" spans="2:7">
      <c r="B254" s="25" t="str">
        <f>IF(C254="","","PID-"&amp;TEXT(ROW()-2,"0000"))</f>
        <v/>
      </c>
      <c r="C254" s="25"/>
      <c r="D254" s="25"/>
      <c r="E254" s="255"/>
      <c r="F254" s="25"/>
      <c r="G254" s="25"/>
    </row>
    <row r="255" spans="2:7">
      <c r="B255" s="25" t="str">
        <f>IF(C255="","","PID-"&amp;TEXT(ROW()-2,"0000"))</f>
        <v/>
      </c>
      <c r="C255" s="25"/>
      <c r="D255" s="25"/>
      <c r="E255" s="255"/>
      <c r="F255" s="25"/>
      <c r="G255" s="25"/>
    </row>
    <row r="256" spans="2:7">
      <c r="B256" s="25" t="str">
        <f>IF(C256="","","PID-"&amp;TEXT(ROW()-2,"0000"))</f>
        <v/>
      </c>
      <c r="C256" s="25"/>
      <c r="D256" s="25"/>
      <c r="E256" s="255"/>
      <c r="F256" s="25"/>
      <c r="G256" s="25"/>
    </row>
    <row r="257" spans="2:7">
      <c r="B257" s="25" t="str">
        <f>IF(C257="","","PID-"&amp;TEXT(ROW()-2,"0000"))</f>
        <v/>
      </c>
      <c r="C257" s="25"/>
      <c r="D257" s="25"/>
      <c r="E257" s="255"/>
      <c r="F257" s="25"/>
      <c r="G257" s="25"/>
    </row>
    <row r="258" spans="2:7">
      <c r="B258" s="25" t="str">
        <f>IF(C258="","","PID-"&amp;TEXT(ROW()-2,"0000"))</f>
        <v/>
      </c>
      <c r="C258" s="25"/>
      <c r="D258" s="25"/>
      <c r="E258" s="255"/>
      <c r="F258" s="25"/>
      <c r="G258" s="25"/>
    </row>
    <row r="259" spans="2:7">
      <c r="B259" s="25" t="str">
        <f>IF(C259="","","PID-"&amp;TEXT(ROW()-2,"0000"))</f>
        <v/>
      </c>
      <c r="C259" s="25"/>
      <c r="D259" s="25"/>
      <c r="E259" s="255"/>
      <c r="F259" s="25"/>
      <c r="G259" s="25"/>
    </row>
    <row r="260" spans="2:7">
      <c r="B260" s="25" t="str">
        <f>IF(C260="","","PID-"&amp;TEXT(ROW()-2,"0000"))</f>
        <v/>
      </c>
      <c r="C260" s="25"/>
      <c r="D260" s="25"/>
      <c r="E260" s="255"/>
      <c r="F260" s="25"/>
      <c r="G260" s="25"/>
    </row>
    <row r="261" spans="2:7">
      <c r="B261" s="25" t="str">
        <f>IF(C261="","","PID-"&amp;TEXT(ROW()-2,"0000"))</f>
        <v/>
      </c>
      <c r="C261" s="25"/>
      <c r="D261" s="25"/>
      <c r="E261" s="255"/>
      <c r="F261" s="25"/>
      <c r="G261" s="25"/>
    </row>
    <row r="262" spans="2:7">
      <c r="B262" s="25" t="str">
        <f>IF(C262="","","PID-"&amp;TEXT(ROW()-2,"0000"))</f>
        <v/>
      </c>
      <c r="C262" s="25"/>
      <c r="D262" s="25"/>
      <c r="E262" s="255"/>
      <c r="F262" s="25"/>
      <c r="G262" s="25"/>
    </row>
    <row r="263" spans="2:7">
      <c r="B263" s="25" t="str">
        <f>IF(C263="","","PID-"&amp;TEXT(ROW()-2,"0000"))</f>
        <v/>
      </c>
      <c r="C263" s="25"/>
      <c r="D263" s="25"/>
      <c r="E263" s="255"/>
      <c r="F263" s="25"/>
      <c r="G263" s="25"/>
    </row>
    <row r="264" spans="2:7">
      <c r="B264" s="25" t="str">
        <f>IF(C264="","","PID-"&amp;TEXT(ROW()-2,"0000"))</f>
        <v/>
      </c>
      <c r="C264" s="25"/>
      <c r="D264" s="25"/>
      <c r="E264" s="255"/>
      <c r="F264" s="25"/>
      <c r="G264" s="25"/>
    </row>
    <row r="265" spans="2:7">
      <c r="B265" s="25" t="str">
        <f>IF(C265="","","PID-"&amp;TEXT(ROW()-2,"0000"))</f>
        <v/>
      </c>
      <c r="C265" s="25"/>
      <c r="D265" s="25"/>
      <c r="E265" s="255"/>
      <c r="F265" s="25"/>
      <c r="G265" s="25"/>
    </row>
    <row r="266" spans="2:7">
      <c r="B266" s="25" t="str">
        <f>IF(C266="","","PID-"&amp;TEXT(ROW()-2,"0000"))</f>
        <v/>
      </c>
      <c r="C266" s="25"/>
      <c r="D266" s="25"/>
      <c r="E266" s="255"/>
      <c r="F266" s="25"/>
      <c r="G266" s="25"/>
    </row>
    <row r="267" spans="2:7">
      <c r="B267" s="25" t="str">
        <f>IF(C267="","","PID-"&amp;TEXT(ROW()-2,"0000"))</f>
        <v/>
      </c>
      <c r="C267" s="25"/>
      <c r="D267" s="25"/>
      <c r="E267" s="255"/>
      <c r="F267" s="25"/>
      <c r="G267" s="25"/>
    </row>
    <row r="268" spans="2:7">
      <c r="B268" s="25" t="str">
        <f>IF(C268="","","PID-"&amp;TEXT(ROW()-2,"0000"))</f>
        <v/>
      </c>
      <c r="C268" s="25"/>
      <c r="D268" s="25"/>
      <c r="E268" s="255"/>
      <c r="F268" s="25"/>
      <c r="G268" s="25"/>
    </row>
    <row r="269" spans="2:7">
      <c r="B269" s="25" t="str">
        <f>IF(C269="","","PID-"&amp;TEXT(ROW()-2,"0000"))</f>
        <v/>
      </c>
      <c r="C269" s="25"/>
      <c r="D269" s="25"/>
      <c r="E269" s="255"/>
      <c r="F269" s="25"/>
      <c r="G269" s="25"/>
    </row>
    <row r="270" spans="2:7">
      <c r="B270" s="25" t="str">
        <f>IF(C270="","","PID-"&amp;TEXT(ROW()-2,"0000"))</f>
        <v/>
      </c>
      <c r="C270" s="25"/>
      <c r="D270" s="25"/>
      <c r="E270" s="255"/>
      <c r="F270" s="25"/>
      <c r="G270" s="25"/>
    </row>
    <row r="271" spans="2:7">
      <c r="B271" s="25" t="str">
        <f>IF(C271="","","PID-"&amp;TEXT(ROW()-2,"0000"))</f>
        <v/>
      </c>
      <c r="C271" s="25"/>
      <c r="D271" s="25"/>
      <c r="E271" s="255"/>
      <c r="F271" s="25"/>
      <c r="G271" s="25"/>
    </row>
    <row r="272" spans="2:7">
      <c r="B272" s="25" t="str">
        <f>IF(C272="","","PID-"&amp;TEXT(ROW()-2,"0000"))</f>
        <v/>
      </c>
      <c r="C272" s="25"/>
      <c r="D272" s="25"/>
      <c r="E272" s="255"/>
      <c r="F272" s="25"/>
      <c r="G272" s="25"/>
    </row>
    <row r="273" spans="2:7">
      <c r="B273" s="25" t="str">
        <f>IF(C273="","","PID-"&amp;TEXT(ROW()-2,"0000"))</f>
        <v/>
      </c>
      <c r="C273" s="25"/>
      <c r="D273" s="25"/>
      <c r="E273" s="255"/>
      <c r="F273" s="25"/>
      <c r="G273" s="25"/>
    </row>
    <row r="274" spans="2:7">
      <c r="B274" s="25" t="str">
        <f>IF(C274="","","PID-"&amp;TEXT(ROW()-2,"0000"))</f>
        <v/>
      </c>
      <c r="C274" s="25"/>
      <c r="D274" s="25"/>
      <c r="E274" s="255"/>
      <c r="F274" s="25"/>
      <c r="G274" s="25"/>
    </row>
    <row r="275" spans="2:7">
      <c r="B275" s="25" t="str">
        <f>IF(C275="","","PID-"&amp;TEXT(ROW()-2,"0000"))</f>
        <v/>
      </c>
      <c r="C275" s="25"/>
      <c r="D275" s="25"/>
      <c r="E275" s="255"/>
      <c r="F275" s="25"/>
      <c r="G275" s="25"/>
    </row>
    <row r="276" spans="2:7">
      <c r="B276" s="25" t="str">
        <f>IF(C276="","","PID-"&amp;TEXT(ROW()-2,"0000"))</f>
        <v/>
      </c>
      <c r="C276" s="25"/>
      <c r="D276" s="25"/>
      <c r="E276" s="255"/>
      <c r="F276" s="25"/>
      <c r="G276" s="25"/>
    </row>
    <row r="277" spans="2:7">
      <c r="B277" s="25" t="str">
        <f>IF(C277="","","PID-"&amp;TEXT(ROW()-2,"0000"))</f>
        <v/>
      </c>
      <c r="C277" s="25"/>
      <c r="D277" s="25"/>
      <c r="E277" s="255"/>
      <c r="F277" s="25"/>
      <c r="G277" s="25"/>
    </row>
    <row r="278" spans="2:7">
      <c r="B278" s="25" t="str">
        <f>IF(C278="","","PID-"&amp;TEXT(ROW()-2,"0000"))</f>
        <v/>
      </c>
      <c r="C278" s="25"/>
      <c r="D278" s="25"/>
      <c r="E278" s="255"/>
      <c r="F278" s="25"/>
      <c r="G278" s="25"/>
    </row>
    <row r="279" spans="2:7">
      <c r="B279" s="25" t="str">
        <f>IF(C279="","","PID-"&amp;TEXT(ROW()-2,"0000"))</f>
        <v/>
      </c>
      <c r="C279" s="25"/>
      <c r="D279" s="25"/>
      <c r="E279" s="255"/>
      <c r="F279" s="25"/>
      <c r="G279" s="25"/>
    </row>
    <row r="280" spans="2:7">
      <c r="B280" s="25" t="str">
        <f>IF(C280="","","PID-"&amp;TEXT(ROW()-2,"0000"))</f>
        <v/>
      </c>
      <c r="C280" s="25"/>
      <c r="D280" s="25"/>
      <c r="E280" s="255"/>
      <c r="F280" s="25"/>
      <c r="G280" s="25"/>
    </row>
    <row r="281" spans="2:7">
      <c r="B281" s="25" t="str">
        <f>IF(C281="","","PID-"&amp;TEXT(ROW()-2,"0000"))</f>
        <v/>
      </c>
      <c r="C281" s="25"/>
      <c r="D281" s="25"/>
      <c r="E281" s="255"/>
      <c r="F281" s="25"/>
      <c r="G281" s="25"/>
    </row>
    <row r="282" spans="2:7">
      <c r="B282" s="25" t="str">
        <f>IF(C282="","","PID-"&amp;TEXT(ROW()-2,"0000"))</f>
        <v/>
      </c>
      <c r="C282" s="25"/>
      <c r="D282" s="25"/>
      <c r="E282" s="255"/>
      <c r="F282" s="25"/>
      <c r="G282" s="25"/>
    </row>
    <row r="283" spans="2:7">
      <c r="B283" s="25" t="str">
        <f>IF(C283="","","PID-"&amp;TEXT(ROW()-2,"0000"))</f>
        <v/>
      </c>
      <c r="C283" s="25"/>
      <c r="D283" s="25"/>
      <c r="E283" s="255"/>
      <c r="F283" s="25"/>
      <c r="G283" s="25"/>
    </row>
    <row r="284" spans="2:7">
      <c r="B284" s="25" t="str">
        <f>IF(C284="","","PID-"&amp;TEXT(ROW()-2,"0000"))</f>
        <v/>
      </c>
      <c r="C284" s="25"/>
      <c r="D284" s="25"/>
      <c r="E284" s="255"/>
      <c r="F284" s="25"/>
      <c r="G284" s="25"/>
    </row>
    <row r="285" spans="2:7">
      <c r="B285" s="25" t="str">
        <f>IF(C285="","","PID-"&amp;TEXT(ROW()-2,"0000"))</f>
        <v/>
      </c>
      <c r="C285" s="25"/>
      <c r="D285" s="25"/>
      <c r="E285" s="255"/>
      <c r="F285" s="25"/>
      <c r="G285" s="25"/>
    </row>
    <row r="286" spans="2:7">
      <c r="B286" s="25" t="str">
        <f>IF(C286="","","PID-"&amp;TEXT(ROW()-2,"0000"))</f>
        <v/>
      </c>
      <c r="C286" s="25"/>
      <c r="D286" s="25"/>
      <c r="E286" s="255"/>
      <c r="F286" s="25"/>
      <c r="G286" s="25"/>
    </row>
    <row r="287" spans="2:7">
      <c r="B287" s="25" t="str">
        <f>IF(C287="","","PID-"&amp;TEXT(ROW()-2,"0000"))</f>
        <v/>
      </c>
      <c r="C287" s="25"/>
      <c r="D287" s="25"/>
      <c r="E287" s="255"/>
      <c r="F287" s="25"/>
      <c r="G287" s="25"/>
    </row>
    <row r="288" spans="2:7">
      <c r="B288" s="25" t="str">
        <f>IF(C288="","","PID-"&amp;TEXT(ROW()-2,"0000"))</f>
        <v/>
      </c>
      <c r="C288" s="25"/>
      <c r="D288" s="25"/>
      <c r="E288" s="255"/>
      <c r="F288" s="25"/>
      <c r="G288" s="25"/>
    </row>
    <row r="289" spans="2:7">
      <c r="B289" s="25" t="str">
        <f>IF(C289="","","PID-"&amp;TEXT(ROW()-2,"0000"))</f>
        <v/>
      </c>
      <c r="C289" s="25"/>
      <c r="D289" s="25"/>
      <c r="E289" s="255"/>
      <c r="F289" s="25"/>
      <c r="G289" s="25"/>
    </row>
    <row r="290" spans="2:7">
      <c r="B290" s="25" t="str">
        <f>IF(C290="","","PID-"&amp;TEXT(ROW()-2,"0000"))</f>
        <v/>
      </c>
      <c r="C290" s="25"/>
      <c r="D290" s="25"/>
      <c r="E290" s="255"/>
      <c r="F290" s="25"/>
      <c r="G290" s="25"/>
    </row>
    <row r="291" spans="2:7">
      <c r="B291" s="25" t="str">
        <f>IF(C291="","","PID-"&amp;TEXT(ROW()-2,"0000"))</f>
        <v/>
      </c>
      <c r="C291" s="25"/>
      <c r="D291" s="25"/>
      <c r="E291" s="255"/>
      <c r="F291" s="25"/>
      <c r="G291" s="25"/>
    </row>
    <row r="292" spans="2:7">
      <c r="B292" s="25" t="str">
        <f>IF(C292="","","PID-"&amp;TEXT(ROW()-2,"0000"))</f>
        <v/>
      </c>
      <c r="C292" s="25"/>
      <c r="D292" s="25"/>
      <c r="E292" s="255"/>
      <c r="F292" s="25"/>
      <c r="G292" s="25"/>
    </row>
    <row r="293" spans="2:7">
      <c r="B293" s="25" t="str">
        <f>IF(C293="","","PID-"&amp;TEXT(ROW()-2,"0000"))</f>
        <v/>
      </c>
      <c r="C293" s="25"/>
      <c r="D293" s="25"/>
      <c r="E293" s="255"/>
      <c r="F293" s="25"/>
      <c r="G293" s="25"/>
    </row>
    <row r="294" spans="2:7">
      <c r="B294" s="25" t="str">
        <f>IF(C294="","","PID-"&amp;TEXT(ROW()-2,"0000"))</f>
        <v/>
      </c>
      <c r="C294" s="25"/>
      <c r="D294" s="25"/>
      <c r="E294" s="255"/>
      <c r="F294" s="25"/>
      <c r="G294" s="25"/>
    </row>
    <row r="295" spans="2:7">
      <c r="B295" s="25" t="str">
        <f>IF(C295="","","PID-"&amp;TEXT(ROW()-2,"0000"))</f>
        <v/>
      </c>
      <c r="C295" s="25"/>
      <c r="D295" s="25"/>
      <c r="E295" s="255"/>
      <c r="F295" s="25"/>
      <c r="G295" s="25"/>
    </row>
    <row r="296" spans="2:7">
      <c r="B296" s="25" t="str">
        <f>IF(C296="","","PID-"&amp;TEXT(ROW()-2,"0000"))</f>
        <v/>
      </c>
      <c r="C296" s="25"/>
      <c r="D296" s="25"/>
      <c r="E296" s="255"/>
      <c r="F296" s="25"/>
      <c r="G296" s="25"/>
    </row>
    <row r="297" spans="2:7">
      <c r="B297" s="25" t="str">
        <f>IF(C297="","","PID-"&amp;TEXT(ROW()-2,"0000"))</f>
        <v/>
      </c>
      <c r="C297" s="25"/>
      <c r="D297" s="25"/>
      <c r="E297" s="255"/>
      <c r="F297" s="25"/>
      <c r="G297" s="25"/>
    </row>
    <row r="298" spans="2:7">
      <c r="B298" s="25" t="str">
        <f>IF(C298="","","PID-"&amp;TEXT(ROW()-2,"0000"))</f>
        <v/>
      </c>
      <c r="C298" s="25"/>
      <c r="D298" s="25"/>
      <c r="E298" s="255"/>
      <c r="F298" s="25"/>
      <c r="G298" s="25"/>
    </row>
    <row r="299" spans="2:7">
      <c r="B299" s="25" t="str">
        <f>IF(C299="","","PID-"&amp;TEXT(ROW()-2,"0000"))</f>
        <v/>
      </c>
      <c r="C299" s="25"/>
      <c r="D299" s="25"/>
      <c r="E299" s="255"/>
      <c r="F299" s="25"/>
      <c r="G299" s="25"/>
    </row>
    <row r="300" spans="2:7">
      <c r="B300" s="25" t="str">
        <f>IF(C300="","","PID-"&amp;TEXT(ROW()-2,"0000"))</f>
        <v/>
      </c>
      <c r="C300" s="25"/>
      <c r="D300" s="25"/>
      <c r="E300" s="255"/>
      <c r="F300" s="25"/>
      <c r="G300" s="25"/>
    </row>
    <row r="301" spans="2:7">
      <c r="B301" s="25" t="str">
        <f>IF(C301="","","PID-"&amp;TEXT(ROW()-2,"0000"))</f>
        <v/>
      </c>
      <c r="C301" s="25"/>
      <c r="D301" s="25"/>
      <c r="E301" s="255"/>
      <c r="F301" s="25"/>
      <c r="G301" s="25"/>
    </row>
    <row r="302" spans="2:7">
      <c r="B302" s="25" t="str">
        <f>IF(C302="","","PID-"&amp;TEXT(ROW()-2,"0000"))</f>
        <v/>
      </c>
      <c r="C302" s="25"/>
      <c r="D302" s="25"/>
      <c r="E302" s="255"/>
      <c r="F302" s="25"/>
      <c r="G302" s="25"/>
    </row>
    <row r="303" spans="2:7">
      <c r="B303" s="25" t="str">
        <f>IF(C303="","","PID-"&amp;TEXT(ROW()-2,"0000"))</f>
        <v/>
      </c>
      <c r="C303" s="25"/>
      <c r="D303" s="25"/>
      <c r="E303" s="255"/>
      <c r="F303" s="25"/>
      <c r="G303" s="25"/>
    </row>
    <row r="304" spans="2:7">
      <c r="B304" s="25" t="str">
        <f>IF(C304="","","PID-"&amp;TEXT(ROW()-2,"0000"))</f>
        <v/>
      </c>
      <c r="C304" s="25"/>
      <c r="D304" s="25"/>
      <c r="E304" s="255"/>
      <c r="F304" s="25"/>
      <c r="G304" s="25"/>
    </row>
    <row r="305" spans="2:7">
      <c r="B305" s="25" t="str">
        <f>IF(C305="","","PID-"&amp;TEXT(ROW()-2,"0000"))</f>
        <v/>
      </c>
      <c r="C305" s="25"/>
      <c r="D305" s="25"/>
      <c r="E305" s="255"/>
      <c r="F305" s="25"/>
      <c r="G305" s="25"/>
    </row>
    <row r="306" spans="2:7">
      <c r="B306" s="25" t="str">
        <f>IF(C306="","","PID-"&amp;TEXT(ROW()-2,"0000"))</f>
        <v/>
      </c>
      <c r="C306" s="25"/>
      <c r="D306" s="25"/>
      <c r="E306" s="255"/>
      <c r="F306" s="25"/>
      <c r="G306" s="25"/>
    </row>
    <row r="307" spans="2:7">
      <c r="B307" s="25" t="str">
        <f>IF(C307="","","PID-"&amp;TEXT(ROW()-2,"0000"))</f>
        <v/>
      </c>
      <c r="C307" s="25"/>
      <c r="D307" s="25"/>
      <c r="E307" s="255"/>
      <c r="F307" s="25"/>
      <c r="G307" s="25"/>
    </row>
    <row r="308" spans="2:7">
      <c r="B308" s="25" t="str">
        <f>IF(C308="","","PID-"&amp;TEXT(ROW()-2,"0000"))</f>
        <v/>
      </c>
      <c r="C308" s="25"/>
      <c r="D308" s="25"/>
      <c r="E308" s="255"/>
      <c r="F308" s="25"/>
      <c r="G308" s="25"/>
    </row>
    <row r="309" spans="2:7">
      <c r="B309" s="25" t="str">
        <f>IF(C309="","","PID-"&amp;TEXT(ROW()-2,"0000"))</f>
        <v/>
      </c>
      <c r="C309" s="25"/>
      <c r="D309" s="25"/>
      <c r="E309" s="255"/>
      <c r="F309" s="25"/>
      <c r="G309" s="25"/>
    </row>
    <row r="310" spans="2:7">
      <c r="B310" s="25" t="str">
        <f>IF(C310="","","PID-"&amp;TEXT(ROW()-2,"0000"))</f>
        <v/>
      </c>
      <c r="C310" s="25"/>
      <c r="D310" s="25"/>
      <c r="E310" s="255"/>
      <c r="F310" s="25"/>
      <c r="G310" s="25"/>
    </row>
    <row r="311" spans="2:7">
      <c r="B311" s="25" t="str">
        <f>IF(C311="","","PID-"&amp;TEXT(ROW()-2,"0000"))</f>
        <v/>
      </c>
      <c r="C311" s="25"/>
      <c r="D311" s="25"/>
      <c r="E311" s="255"/>
      <c r="F311" s="25"/>
      <c r="G311" s="25"/>
    </row>
    <row r="312" spans="2:7">
      <c r="B312" s="25" t="str">
        <f>IF(C312="","","PID-"&amp;TEXT(ROW()-2,"0000"))</f>
        <v/>
      </c>
      <c r="C312" s="25"/>
      <c r="D312" s="25"/>
      <c r="E312" s="255"/>
      <c r="F312" s="25"/>
      <c r="G312" s="25"/>
    </row>
    <row r="313" spans="2:7">
      <c r="B313" s="25" t="str">
        <f>IF(C313="","","PID-"&amp;TEXT(ROW()-2,"0000"))</f>
        <v/>
      </c>
      <c r="C313" s="25"/>
      <c r="D313" s="25"/>
      <c r="E313" s="255"/>
      <c r="F313" s="25"/>
      <c r="G313" s="25"/>
    </row>
    <row r="314" spans="2:7">
      <c r="B314" s="25" t="str">
        <f>IF(C314="","","PID-"&amp;TEXT(ROW()-2,"0000"))</f>
        <v/>
      </c>
      <c r="C314" s="25"/>
      <c r="D314" s="25"/>
      <c r="E314" s="255"/>
      <c r="F314" s="25"/>
      <c r="G314" s="25"/>
    </row>
    <row r="315" spans="2:7">
      <c r="B315" s="25" t="str">
        <f>IF(C315="","","PID-"&amp;TEXT(ROW()-2,"0000"))</f>
        <v/>
      </c>
      <c r="C315" s="25"/>
      <c r="D315" s="25"/>
      <c r="E315" s="255"/>
      <c r="F315" s="25"/>
      <c r="G315" s="25"/>
    </row>
    <row r="316" spans="2:7">
      <c r="B316" s="25" t="str">
        <f>IF(C316="","","PID-"&amp;TEXT(ROW()-2,"0000"))</f>
        <v/>
      </c>
      <c r="C316" s="25"/>
      <c r="D316" s="25"/>
      <c r="E316" s="255"/>
      <c r="F316" s="25"/>
      <c r="G316" s="25"/>
    </row>
    <row r="317" spans="2:7">
      <c r="B317" s="25" t="str">
        <f>IF(C317="","","PID-"&amp;TEXT(ROW()-2,"0000"))</f>
        <v/>
      </c>
      <c r="C317" s="25"/>
      <c r="D317" s="25"/>
      <c r="E317" s="255"/>
      <c r="F317" s="25"/>
      <c r="G317" s="25"/>
    </row>
    <row r="318" spans="2:7">
      <c r="B318" s="25" t="str">
        <f>IF(C318="","","PID-"&amp;TEXT(ROW()-2,"0000"))</f>
        <v/>
      </c>
      <c r="C318" s="25"/>
      <c r="D318" s="25"/>
      <c r="E318" s="255"/>
      <c r="F318" s="25"/>
      <c r="G318" s="25"/>
    </row>
    <row r="319" spans="2:7">
      <c r="B319" s="25" t="str">
        <f>IF(C319="","","PID-"&amp;TEXT(ROW()-2,"0000"))</f>
        <v/>
      </c>
      <c r="C319" s="25"/>
      <c r="D319" s="25"/>
      <c r="E319" s="255"/>
      <c r="F319" s="25"/>
      <c r="G319" s="25"/>
    </row>
  </sheetData>
  <mergeCells count="12">
    <mergeCell ref="A134:A145"/>
    <mergeCell ref="A2:A13"/>
    <mergeCell ref="A14:A25"/>
    <mergeCell ref="A26:A37"/>
    <mergeCell ref="A38:A49"/>
    <mergeCell ref="A50:A61"/>
    <mergeCell ref="A62:A73"/>
    <mergeCell ref="A74:A84"/>
    <mergeCell ref="A86:A97"/>
    <mergeCell ref="A98:A109"/>
    <mergeCell ref="A110:A121"/>
    <mergeCell ref="A122:A133"/>
  </mergeCells>
  <conditionalFormatting sqref="D152:E319 E2 E4 E18 E20 E22 E29 E37 E39 E47 E61 E63 E65 E67 E69 E71 E87 E89 E91 E93 E95 E97 E99 E101 E103 E105 E107 E109 E111 E113 E115 E117 E119 E121 E123 E125 E127 E129 E131 E133 E135 E137 E139 D26 E49 E75 E77 E79 E81:E82 E41 E85 E73 BC33 E33">
    <cfRule type="expression" dxfId="32" priority="9">
      <formula>AND($C2&lt;&gt;"",D2="")</formula>
    </cfRule>
  </conditionalFormatting>
  <conditionalFormatting sqref="I26">
    <cfRule type="expression" dxfId="31" priority="8">
      <formula>AND($C26&lt;&gt;"",I26="")</formula>
    </cfRule>
  </conditionalFormatting>
  <conditionalFormatting sqref="E43">
    <cfRule type="expression" dxfId="30" priority="7">
      <formula>AND($C43&lt;&gt;"",E43="")</formula>
    </cfRule>
  </conditionalFormatting>
  <conditionalFormatting sqref="E45">
    <cfRule type="expression" dxfId="29" priority="6">
      <formula>AND($C45&lt;&gt;"",E45="")</formula>
    </cfRule>
  </conditionalFormatting>
  <conditionalFormatting sqref="I31">
    <cfRule type="expression" dxfId="28" priority="5">
      <formula>AND($C31&lt;&gt;"",I31="")</formula>
    </cfRule>
  </conditionalFormatting>
  <conditionalFormatting sqref="BD33">
    <cfRule type="expression" dxfId="27" priority="4">
      <formula>AND($C35&lt;&gt;"",BD33="")</formula>
    </cfRule>
  </conditionalFormatting>
  <conditionalFormatting sqref="I14">
    <cfRule type="expression" dxfId="26" priority="3">
      <formula>AND($C14&lt;&gt;"",I14="")</formula>
    </cfRule>
  </conditionalFormatting>
  <conditionalFormatting sqref="I21">
    <cfRule type="expression" dxfId="25" priority="2">
      <formula>AND($C21&lt;&gt;"",I21="")</formula>
    </cfRule>
  </conditionalFormatting>
  <conditionalFormatting sqref="C152:C319">
    <cfRule type="expression" dxfId="24" priority="574">
      <formula>AND(C152&lt;&gt;"",COUNTIF($C$2:$C$319,C152)&gt;1)</formula>
    </cfRule>
    <cfRule type="expression" dxfId="23" priority="575">
      <formula>AND($C152&lt;&gt;"",C152="")</formula>
    </cfRule>
  </conditionalFormatting>
  <conditionalFormatting sqref="F141 F152:F319">
    <cfRule type="expression" dxfId="22" priority="576">
      <formula>AND(F141&lt;&gt;"",COUNTIF($F$2:$F$319,F141)&gt;1)</formula>
    </cfRule>
    <cfRule type="expression" dxfId="21" priority="577">
      <formula>AND(C141&lt;&gt;"",F141="")</formula>
    </cfRule>
  </conditionalFormatting>
  <conditionalFormatting sqref="E16">
    <cfRule type="expression" dxfId="20" priority="1">
      <formula>AND($C16&lt;&gt;"",E16="")</formula>
    </cfRule>
  </conditionalFormatting>
  <dataValidations count="1">
    <dataValidation type="whole" allowBlank="1" errorTitle="Invalid year" error="Enter a year between 2014 and 2030." promptTitle="Publication Year" prompt="Enter the publication year (numeric)." sqref="D152:D319" xr:uid="{21DCEAF4-2393-4C68-AF93-7F485422A9EF}">
      <formula1>2014</formula1>
      <formula2>2030</formula2>
    </dataValidation>
  </dataValidations>
  <hyperlinks>
    <hyperlink ref="B49" r:id="rId1" xr:uid="{8DBD1FC2-1190-4C14-850B-22271D6490F5}"/>
    <hyperlink ref="F61" r:id="rId2" xr:uid="{60C37BC4-38D9-4AEB-8116-821F05DB30EF}"/>
    <hyperlink ref="B50" r:id="rId3" xr:uid="{C32261D8-5FCE-44B5-BA16-E9A24EC511C9}"/>
    <hyperlink ref="B51" r:id="rId4" xr:uid="{C9E56E36-C1BB-46F9-A6C9-DE1BF1144053}"/>
    <hyperlink ref="F49" r:id="rId5" xr:uid="{F86582F8-ED19-42FB-95B5-FC9FD54577C2}"/>
    <hyperlink ref="F50" r:id="rId6" xr:uid="{77BD0581-FE12-4759-A50E-D3462BDA2972}"/>
    <hyperlink ref="F51" r:id="rId7" xr:uid="{8A2A9AB7-71F5-40BF-91B8-92CFB5311EF3}"/>
    <hyperlink ref="F52" r:id="rId8" xr:uid="{B1FBCA58-D1AC-4A51-9C58-35D9EDDF6989}"/>
    <hyperlink ref="B52" r:id="rId9" xr:uid="{60FF5159-580B-445E-9C8A-246F2E12AD7D}"/>
    <hyperlink ref="F73" r:id="rId10" xr:uid="{8D50782F-AA53-4CD4-9806-554B3316DF10}"/>
    <hyperlink ref="F53" r:id="rId11" xr:uid="{2E97208D-1B96-4E74-8E80-24B3A0BD57FD}"/>
    <hyperlink ref="B53" r:id="rId12" xr:uid="{95F44E90-3805-456C-AD7E-0C800F93E14B}"/>
    <hyperlink ref="F54" r:id="rId13" xr:uid="{59384189-9683-4D77-829E-3AB64F7AC172}"/>
    <hyperlink ref="B54" r:id="rId14" xr:uid="{CD452CEE-7E2A-4B82-8737-C88E859505D3}"/>
    <hyperlink ref="F26" r:id="rId15" xr:uid="{FE66F3FF-6CD4-4ABB-ABBA-4ECDC64E359D}"/>
    <hyperlink ref="F55" r:id="rId16" xr:uid="{081C5E1F-986D-4155-B333-D143393A89D3}"/>
    <hyperlink ref="B55" r:id="rId17" display="10.1177/10711813251360704" xr:uid="{089C1D75-D7AE-45A0-A4BF-AFC84AC6AAA8}"/>
    <hyperlink ref="F74" r:id="rId18" xr:uid="{8A97DA99-079F-43D5-AD69-030AE9BB1A99}"/>
    <hyperlink ref="F56" r:id="rId19" xr:uid="{9944C501-BA04-41B2-AEB8-239542BFCB71}"/>
    <hyperlink ref="F57" r:id="rId20" xr:uid="{82B89117-3095-4A36-95B9-250DA7A6CEE4}"/>
    <hyperlink ref="B57" r:id="rId21" xr:uid="{BB6BF938-316C-4641-A1A8-549BF0F83D21}"/>
    <hyperlink ref="B37" r:id="rId22" xr:uid="{14093BB4-2D68-431B-89C7-51DD3CF591B9}"/>
    <hyperlink ref="B58" r:id="rId23" xr:uid="{684784F9-9D37-4E6B-B07B-8666610A68F6}"/>
    <hyperlink ref="F58" r:id="rId24" xr:uid="{2D39C07B-850C-4438-885D-1A5125087B2D}"/>
    <hyperlink ref="F59" r:id="rId25" xr:uid="{90523EDD-0165-4CE1-9894-8DCF758A0DC0}"/>
    <hyperlink ref="F37" r:id="rId26" xr:uid="{42C24B1C-7CBC-443B-B921-4A0D3244F0C2}"/>
    <hyperlink ref="B59" r:id="rId27" xr:uid="{50219509-91EE-4C58-BD5B-9EC48C0D6AC2}"/>
    <hyperlink ref="B60" r:id="rId28" xr:uid="{2B2A564B-3DDD-4DAF-9B32-E4F3E768656F}"/>
    <hyperlink ref="F60" r:id="rId29" xr:uid="{25DE9994-5E2E-41DC-9277-32AB0320938D}"/>
    <hyperlink ref="F75" r:id="rId30" xr:uid="{AFDB5C4D-B1D0-48B5-9B52-93C018EF0949}"/>
    <hyperlink ref="F76" r:id="rId31" xr:uid="{3676F740-8C1C-4C66-BE2C-3C7DF03AE34E}"/>
    <hyperlink ref="F77" r:id="rId32" xr:uid="{436E27D5-451A-4CF8-AEBD-76149567CBC3}"/>
    <hyperlink ref="F78" r:id="rId33" xr:uid="{1AB42373-8F4A-4C4A-88F9-31D33E3394C1}"/>
    <hyperlink ref="D62" r:id="rId34" display="10.1016/j.neubiorev.2007.05.010" xr:uid="{69820DFF-6200-4ABC-9DF0-3FEA94FABDB0}"/>
    <hyperlink ref="F62" r:id="rId35" xr:uid="{9F54B684-7ACF-4881-9218-EECB00608F4A}"/>
    <hyperlink ref="F63" r:id="rId36" xr:uid="{B00AFC65-2EF5-4AE6-B6AB-904779AF1312}"/>
    <hyperlink ref="F79" r:id="rId37" xr:uid="{2460A745-1ECE-46DB-BA2A-3936F1E67D00}"/>
    <hyperlink ref="B38" r:id="rId38" xr:uid="{4CDB870D-732F-46E7-9122-497262431B8F}"/>
    <hyperlink ref="F38" r:id="rId39" xr:uid="{94C6027B-D801-4FD9-B3F0-37BED1A5FC50}"/>
    <hyperlink ref="F64" r:id="rId40" xr:uid="{A866F87A-E50C-4C2A-B382-93ABEE96AB42}"/>
    <hyperlink ref="F80" r:id="rId41" xr:uid="{A173002B-E320-42C0-8252-878EB5F18DA3}"/>
    <hyperlink ref="F81" r:id="rId42" xr:uid="{00668C54-68A1-4AAA-933A-539E217FB4FA}"/>
    <hyperlink ref="B67" r:id="rId43" xr:uid="{7C912353-E491-44AB-A13F-57399B810FCE}"/>
    <hyperlink ref="F67" r:id="rId44" xr:uid="{DA49CA8D-1C3C-4AF0-BE5E-BFA457384973}"/>
    <hyperlink ref="B39" r:id="rId45" xr:uid="{CEA79D95-FB14-43D5-8F5A-FAD8837D347E}"/>
    <hyperlink ref="F39" r:id="rId46" xr:uid="{F8C46DB5-4F9E-4346-B770-047C1701E23D}"/>
    <hyperlink ref="B131" r:id="rId47" xr:uid="{07BBBC3B-8D5C-466D-A184-714602CD1747}"/>
    <hyperlink ref="F40" r:id="rId48" xr:uid="{B7340C29-F557-4900-A32B-962D3714548E}"/>
    <hyperlink ref="F131" r:id="rId49" xr:uid="{1B0BA30D-6A48-4359-B6BD-F39FEC29F383}"/>
    <hyperlink ref="F133" r:id="rId50" xr:uid="{BE042E72-8C0B-43D7-A2BA-710DAD0C8B0C}"/>
    <hyperlink ref="F134" r:id="rId51" xr:uid="{AA5BE913-E3A2-46B5-9947-BF10A7CE88A1}"/>
    <hyperlink ref="B135" r:id="rId52" xr:uid="{A689FE78-15C0-4212-B1F4-7C304D9627C8}"/>
    <hyperlink ref="F135" r:id="rId53" xr:uid="{061DC6AA-B477-4898-B492-E5640E99277A}"/>
    <hyperlink ref="F136" r:id="rId54" xr:uid="{853E7EA0-A18E-4ADA-929D-E41FF1DA6971}"/>
    <hyperlink ref="F82" r:id="rId55" xr:uid="{A4767399-72FB-4A78-8AB4-9D0D49D3155C}"/>
    <hyperlink ref="F41" r:id="rId56" xr:uid="{D3E770FC-BC78-4A33-8F9B-0A0764CDDFCD}"/>
    <hyperlink ref="F2" r:id="rId57" xr:uid="{2F5ABCD8-89BE-4F09-8DC7-DE9121DC7C94}"/>
    <hyperlink ref="B3" r:id="rId58" xr:uid="{87EF8F21-4F98-4637-B1D3-C3AC242E33F2}"/>
    <hyperlink ref="F3" r:id="rId59" xr:uid="{CB3ACE5E-4020-4B08-B5B2-DFFCCF3AD2DF}"/>
    <hyperlink ref="B4" r:id="rId60" xr:uid="{67DBCBE2-E3C9-4559-879A-126C40712280}"/>
    <hyperlink ref="F4" r:id="rId61" xr:uid="{EF2C8980-4969-4485-A135-309CDFC34B5B}"/>
    <hyperlink ref="B5" r:id="rId62" xr:uid="{A181364B-FBCE-4C03-80AD-B8B8CBFC8F89}"/>
    <hyperlink ref="F5" r:id="rId63" xr:uid="{D1BA6DDE-3CC2-4869-B826-09038258F062}"/>
    <hyperlink ref="F29" r:id="rId64" xr:uid="{656629EF-D68E-40B2-A885-DDC313FFC502}"/>
    <hyperlink ref="F31" r:id="rId65" xr:uid="{0FDBEBD0-AD23-4131-AB0E-88D77872AB62}"/>
    <hyperlink ref="F19" r:id="rId66" xr:uid="{6CA2625D-0276-475F-BC65-44F95634088A}"/>
    <hyperlink ref="B20" r:id="rId67" xr:uid="{43600219-1173-4C8A-A5A9-C5DF08F7044C}"/>
    <hyperlink ref="F20" r:id="rId68" xr:uid="{29DEB159-7AC9-4884-834D-49E60642AC28}"/>
    <hyperlink ref="B22" r:id="rId69" xr:uid="{9743CC8B-B910-4483-83F7-31957F5BA53A}"/>
    <hyperlink ref="F22" r:id="rId70" xr:uid="{4ECBCB3B-C7CD-43A5-80D6-4E511178FFEF}"/>
    <hyperlink ref="F28" r:id="rId71" xr:uid="{58BA1321-B460-43EF-A649-7953C032E225}"/>
    <hyperlink ref="F23" r:id="rId72" xr:uid="{B122F55E-00B8-4F41-A374-E55ED7973B53}"/>
    <hyperlink ref="B42" r:id="rId73" xr:uid="{E935C67F-B26B-4251-A346-5A85DF8118CC}"/>
    <hyperlink ref="F42" r:id="rId74" xr:uid="{62F23F2C-DD03-4181-A501-8CDC92C2C25F}"/>
    <hyperlink ref="F43" r:id="rId75" xr:uid="{7AA3CAD8-4083-4106-BD24-EA2AABE874B0}"/>
    <hyperlink ref="B44" r:id="rId76" xr:uid="{2E96B747-D7C6-465A-8174-7FEF8060FB65}"/>
    <hyperlink ref="F44" r:id="rId77" xr:uid="{889D208D-4989-4D6A-99C5-49FB85557714}"/>
    <hyperlink ref="B45" r:id="rId78" xr:uid="{FF6C4102-942A-4280-9EAD-10E2CC664A1E}"/>
    <hyperlink ref="F45" r:id="rId79" xr:uid="{4382C39C-D33E-4835-BAF7-62E4EF85E704}"/>
    <hyperlink ref="F83" r:id="rId80" xr:uid="{7DB1332E-2153-4081-8638-2B90BD233D25}"/>
    <hyperlink ref="B109" r:id="rId81" xr:uid="{5E942D72-FED4-4C0B-BB0D-7C6E33852702}"/>
    <hyperlink ref="B120" r:id="rId82" xr:uid="{55F6864A-CCD5-4236-BA07-D39A2B6B3B80}"/>
    <hyperlink ref="F120" r:id="rId83" xr:uid="{2FE9ED67-001F-4E88-B8CA-DDF6FAC7D21D}"/>
    <hyperlink ref="B85" r:id="rId84" xr:uid="{CBAB6D04-AB59-4F65-B00B-D551206FC229}"/>
    <hyperlink ref="F85" r:id="rId85" xr:uid="{0E17030C-6599-492A-A3D5-CAB01D27AAA9}"/>
    <hyperlink ref="B86" r:id="rId86" xr:uid="{011B1EC8-BE9E-46FB-BCA5-1CDA34C25E8E}"/>
    <hyperlink ref="F86" r:id="rId87" xr:uid="{78FF70D2-377C-4A0E-861B-93BFAAFF28B2}"/>
    <hyperlink ref="F87" r:id="rId88" xr:uid="{6A454976-59B6-40A8-B779-F09B15F77512}"/>
    <hyperlink ref="F88" r:id="rId89" xr:uid="{BE3ED3FF-6C4E-4F4E-9411-04B065981E1F}"/>
    <hyperlink ref="F89" r:id="rId90" xr:uid="{4F5AC532-3DE4-4074-BAE1-81EDBA5FA9A5}"/>
    <hyperlink ref="B46" r:id="rId91" xr:uid="{A152017E-7F5B-4E83-9235-2DE7CAB559C6}"/>
    <hyperlink ref="B47" r:id="rId92" xr:uid="{D33A9201-9467-4A20-B7E1-F7B45B96BFEC}"/>
    <hyperlink ref="F47" r:id="rId93" xr:uid="{B271F5CA-97AC-4DBA-B239-4F0F6EDD5A9C}"/>
    <hyperlink ref="B48" r:id="rId94" xr:uid="{78C92254-D530-472E-B6CB-0522007FEFF3}"/>
    <hyperlink ref="F48" r:id="rId95" xr:uid="{0554A695-B1BE-4332-AB05-DF6F3DB71CA5}"/>
    <hyperlink ref="F14" r:id="rId96" xr:uid="{9E9CB1AC-1F82-4E62-AFAF-1693095E05F6}"/>
    <hyperlink ref="B32" r:id="rId97" display="https://doi.org/10.1007/s11042-022-12577-w" xr:uid="{6B9ADD36-8D80-4509-9E84-5FED30E53411}"/>
    <hyperlink ref="F32" r:id="rId98" xr:uid="{86FBA2F1-B264-499F-BAA2-3C4732070116}"/>
    <hyperlink ref="F33" r:id="rId99" xr:uid="{0F41CCCE-5009-487E-9AC6-3C4895068DBD}"/>
    <hyperlink ref="F34" r:id="rId100" xr:uid="{E051B6C8-2641-42B5-B70A-207E813FFD5C}"/>
    <hyperlink ref="F36" r:id="rId101" xr:uid="{CD043A12-9585-4954-8A5A-0FAFA73B981B}"/>
    <hyperlink ref="F21" r:id="rId102" xr:uid="{BED3CB0D-B6FD-45B7-994A-03509F16B127}"/>
    <hyperlink ref="F98" r:id="rId103" xr:uid="{81AA2C0B-C6ED-4E8E-B1C9-A3015207A3AE}"/>
    <hyperlink ref="B98" r:id="rId104" xr:uid="{EFCC3912-6EEC-46FB-929A-ABDD2105406E}"/>
    <hyperlink ref="B99" r:id="rId105" xr:uid="{6277DE60-AA86-43C1-A498-FED6A1C1CB64}"/>
    <hyperlink ref="F99" r:id="rId106" xr:uid="{0D17CDBD-F9A6-429B-A21D-29804E2FAF73}"/>
    <hyperlink ref="F100" r:id="rId107" xr:uid="{02F1F1B8-6ACB-4456-90AF-771ECD8E4B06}"/>
    <hyperlink ref="F101" r:id="rId108" xr:uid="{F5F19F54-C012-4BAA-84F9-ADDEAED7FDAA}"/>
    <hyperlink ref="F15" r:id="rId109" xr:uid="{B7385803-1FF7-42A6-86E9-B93F4F1DCF2A}"/>
    <hyperlink ref="B110" r:id="rId110" xr:uid="{7FDC0519-C4EF-4774-9F1D-3FC055861632}"/>
    <hyperlink ref="F110" r:id="rId111" xr:uid="{02637347-5A04-4493-9991-B6C59A8AC291}"/>
    <hyperlink ref="B111" r:id="rId112" xr:uid="{03C72B61-F05D-46AD-980B-5BF14676533F}"/>
    <hyperlink ref="F111" r:id="rId113" location="Sec12" xr:uid="{45FE567D-4527-4A53-85CE-715D7436476A}"/>
    <hyperlink ref="B112" r:id="rId114" xr:uid="{7DFE4E4D-B473-46B2-A370-477526E297DA}"/>
    <hyperlink ref="F112" r:id="rId115" location="Abs1" xr:uid="{79EA4B42-30D3-40B3-9C86-4BE978493514}"/>
    <hyperlink ref="B6" r:id="rId116" display="https://journals.sagepub.com/doi/10.1177/0145482X19842491" xr:uid="{6C26CCDB-AB65-4D4D-8E02-B8AC18DBF548}"/>
    <hyperlink ref="B7" r:id="rId117" display="https://pdfs.semanticscholar.org/9dc6/62fe1c66d32fd96ad040285a9ec3af56c912.pdf/1000" xr:uid="{D1F07153-8E48-414E-AAB7-D41BECCEED23}"/>
    <hyperlink ref="B8" r:id="rId118" display="https://ojs.aaai.org/index.php/AAAI/article/view/25233?utm_source=chatgpt.com" xr:uid="{80075D10-9B09-41FF-A112-2F7BD846E9F1}"/>
    <hyperlink ref="B9" r:id="rId119" display="https://ieeexplore.ieee.org/document/6611022" xr:uid="{3FAE26DC-E1AA-4DF5-AB24-8A49C158561F}"/>
    <hyperlink ref="B10" r:id="rId120" display="https://ecasp.ece.iit.edu/publications/2012-present/2021-10.pdf" xr:uid="{14CBC8CB-1398-46B8-ABCA-760E5E9BC8B3}"/>
    <hyperlink ref="B11" r:id="rId121" display="https://arxiv.org/abs/2108.09174" xr:uid="{CC0C83A7-8D18-484F-85B4-377078FF6808}"/>
    <hyperlink ref="B12" r:id="rId122" display="https://arxiv.org/abs/2201.03036" xr:uid="{32E1A69F-5EDC-460B-80C4-F227CD779979}"/>
    <hyperlink ref="B13" r:id="rId123" display="https://arxiv.org/abs/2201.04453like " xr:uid="{17D44323-4DF7-4FF9-9D68-78A91E002E5F}"/>
    <hyperlink ref="F6" r:id="rId124" xr:uid="{EF27EDAD-76CE-47EE-B5D5-8BDCC6673F5C}"/>
    <hyperlink ref="F7" r:id="rId125" xr:uid="{9351A750-DFB8-43A0-96B5-35AEBD7E2A3E}"/>
    <hyperlink ref="F8" r:id="rId126" xr:uid="{F47B26D4-6B92-4067-A1A3-943279B0E1B1}"/>
    <hyperlink ref="F9" r:id="rId127" xr:uid="{AC660BCF-706C-4D1A-ACBB-F602FB6D43CC}"/>
    <hyperlink ref="F10" r:id="rId128" xr:uid="{8C6E6BA0-7CCC-413C-AA91-39A71918ED87}"/>
    <hyperlink ref="F11" r:id="rId129" xr:uid="{E62CC712-69B8-4CAE-ADE0-EC3E45487DB9}"/>
    <hyperlink ref="B113" r:id="rId130" xr:uid="{0091CE22-035B-447C-97A7-11D8615262CF}"/>
    <hyperlink ref="F13" r:id="rId131" xr:uid="{091217D2-986B-4AB5-BB4B-2AFCCB2A89BB}"/>
    <hyperlink ref="F113" r:id="rId132" location="Abs1" xr:uid="{ACF4C309-8716-4ECD-834D-0FD6E33BF855}"/>
    <hyperlink ref="F12" r:id="rId133" xr:uid="{7C6EF9D7-2685-4EA5-9E44-A0EDB3426FE0}"/>
    <hyperlink ref="F114" r:id="rId134" location="Abs1" xr:uid="{DBDFD3E5-DC1A-43FE-94C2-F40A4069CB3C}"/>
    <hyperlink ref="F115" r:id="rId135" location="Abs1" xr:uid="{08142E61-C301-4E89-8348-A9AB2C33DBED}"/>
    <hyperlink ref="B114" r:id="rId136" xr:uid="{46E15F55-475E-4940-8114-5B4CDE2DFA26}"/>
    <hyperlink ref="B116" r:id="rId137" xr:uid="{7A097697-9C08-4805-99B8-88235FA29458}"/>
    <hyperlink ref="B117" r:id="rId138" xr:uid="{CEE4F209-1696-4EAD-BB08-19C9F2A03FD7}"/>
    <hyperlink ref="F117" r:id="rId139" location="Abs1" xr:uid="{6E375F50-CF91-4E0B-BFA8-7DDDBCD293F5}"/>
    <hyperlink ref="B118" r:id="rId140" xr:uid="{370021F9-9C8F-4904-9078-7315EC9CFA41}"/>
    <hyperlink ref="F118" r:id="rId141" location="Abs1" xr:uid="{2FCCE4DE-4BF2-4C7B-B8A1-D3BE8C6135B6}"/>
    <hyperlink ref="F18" r:id="rId142" xr:uid="{55A65CB6-84DC-4529-B144-72B18F5C7B6D}"/>
    <hyperlink ref="B18" r:id="rId143" xr:uid="{3FEB41F7-5507-4742-98A3-9B282594F3C2}"/>
    <hyperlink ref="B24" r:id="rId144" xr:uid="{E6612924-FF1C-4186-A41C-B73CAE256624}"/>
    <hyperlink ref="B16" r:id="rId145" xr:uid="{DCEFD8A2-371A-4BF9-8354-83ECB76DB2BE}"/>
    <hyperlink ref="F16" r:id="rId146" xr:uid="{B9895871-A076-4EDC-95C5-622F7E3313E1}"/>
    <hyperlink ref="B25" r:id="rId147" xr:uid="{A10038F8-B619-4EB1-807E-DC09D21B1D7C}"/>
    <hyperlink ref="F24" r:id="rId148" xr:uid="{48E9766F-B621-4024-816F-2692E8FE79A6}"/>
    <hyperlink ref="F25" r:id="rId149" xr:uid="{8F4484AF-AF3E-4D08-9A50-E2052E5B18EF}"/>
  </hyperlinks>
  <pageMargins left="0.75" right="0.75" top="1" bottom="1" header="0.511811023622047" footer="0.511811023622047"/>
  <pageSetup paperSize="9" orientation="portrait" horizontalDpi="300" verticalDpi="300"/>
  <tableParts count="1">
    <tablePart r:id="rId150"/>
  </tableParts>
  <extLst>
    <ext xmlns:x14="http://schemas.microsoft.com/office/spreadsheetml/2009/9/main" uri="{CCE6A557-97BC-4b89-ADB6-D9C93CAAB3DF}">
      <x14:dataValidations xmlns:xm="http://schemas.microsoft.com/office/excel/2006/main" count="1">
        <x14:dataValidation type="list" allowBlank="1" errorTitle="Invalid entry" error="Please choose a value from the dropdown list." promptTitle="Publisher" prompt="Select the publisher." xr:uid="{D4C451EB-E004-4C32-94EB-07C3CC2CDA21}">
          <x14:formula1>
            <xm:f>Lists!$B$2:$B$11</xm:f>
          </x14:formula1>
          <x14:formula2>
            <xm:f>0</xm:f>
          </x14:formula2>
          <xm:sqref>E139 E2 E4 E137 E135 E133 E131 E14 E16 E18 E20 E22 E85 E26 E119 E29 E31 BC33 E35 E37 E39 E41 E43 E45 E47 E49 E121 E123 E125 E127 E129 E61 E63 E65 E67 E69 E71 E74 E76 E78 E80 E82 E152:E319 E87 E89 E91 E93 E95 E97 E99 E101 E103 E105 E107 E109 E111 E113 E115 E117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B2B6-DA0F-4DED-9B82-721532D87E0E}">
  <sheetPr>
    <tabColor rgb="FF003C71"/>
  </sheetPr>
  <dimension ref="A1:M183"/>
  <sheetViews>
    <sheetView zoomScaleNormal="100" workbookViewId="0">
      <pane xSplit="1" topLeftCell="I1" activePane="topRight" state="frozen"/>
      <selection pane="topRight" activeCell="L1" sqref="L1"/>
      <selection activeCell="A3" sqref="A3"/>
    </sheetView>
  </sheetViews>
  <sheetFormatPr defaultColWidth="13.42578125" defaultRowHeight="15"/>
  <cols>
    <col min="1" max="1" width="6.5703125" style="56" bestFit="1" customWidth="1"/>
    <col min="2" max="2" width="33.28515625" style="56" customWidth="1"/>
    <col min="3" max="3" width="122.28515625" style="56" bestFit="1" customWidth="1"/>
    <col min="4" max="4" width="15.85546875" style="56" bestFit="1" customWidth="1"/>
    <col min="5" max="5" width="17" style="77" bestFit="1" customWidth="1"/>
    <col min="6" max="6" width="78" style="56" bestFit="1" customWidth="1"/>
    <col min="7" max="7" width="37.140625" style="56" bestFit="1" customWidth="1"/>
    <col min="8" max="8" width="19.5703125" style="56" bestFit="1" customWidth="1"/>
    <col min="9" max="9" width="133" style="56" bestFit="1" customWidth="1"/>
    <col min="10" max="10" width="99.140625" style="56" bestFit="1" customWidth="1"/>
    <col min="11" max="11" width="221.7109375" style="56" bestFit="1" customWidth="1"/>
    <col min="12" max="12" width="19.85546875" style="56" customWidth="1"/>
    <col min="13" max="13" width="26.42578125" style="56" customWidth="1"/>
    <col min="14" max="14" width="15" style="56" customWidth="1"/>
    <col min="15" max="15" width="18" style="56" customWidth="1"/>
    <col min="16" max="16384" width="13.42578125" style="56"/>
  </cols>
  <sheetData>
    <row r="1" spans="1:13">
      <c r="B1" s="38" t="s">
        <v>0</v>
      </c>
      <c r="C1" s="38" t="s">
        <v>1</v>
      </c>
      <c r="D1" s="38" t="s">
        <v>2</v>
      </c>
      <c r="E1" s="38" t="s">
        <v>3</v>
      </c>
      <c r="F1" s="38" t="s">
        <v>4</v>
      </c>
      <c r="G1" s="38" t="s">
        <v>5</v>
      </c>
      <c r="H1" s="38" t="s">
        <v>6</v>
      </c>
      <c r="I1" s="38" t="s">
        <v>7</v>
      </c>
      <c r="J1" s="38" t="s">
        <v>8</v>
      </c>
      <c r="K1" s="38" t="s">
        <v>9</v>
      </c>
      <c r="L1" s="38" t="s">
        <v>10</v>
      </c>
      <c r="M1" s="38" t="s">
        <v>11</v>
      </c>
    </row>
    <row r="2" spans="1:13" ht="144">
      <c r="A2" s="354" t="s">
        <v>15</v>
      </c>
      <c r="B2" s="56" t="s">
        <v>16</v>
      </c>
      <c r="C2" s="200" t="s">
        <v>17</v>
      </c>
      <c r="D2" s="77">
        <v>2025</v>
      </c>
      <c r="E2" s="132" t="s">
        <v>18</v>
      </c>
      <c r="F2" s="201" t="s">
        <v>19</v>
      </c>
      <c r="G2" s="215" t="s">
        <v>20</v>
      </c>
      <c r="H2" s="105" t="s">
        <v>21</v>
      </c>
      <c r="I2" s="287"/>
      <c r="J2" s="262" t="s">
        <v>22</v>
      </c>
      <c r="K2" s="262" t="s">
        <v>23</v>
      </c>
      <c r="L2" s="262"/>
      <c r="M2" s="262"/>
    </row>
    <row r="3" spans="1:13" ht="86.25">
      <c r="A3" s="354"/>
      <c r="B3" s="191" t="s">
        <v>26</v>
      </c>
      <c r="C3" s="202" t="s">
        <v>27</v>
      </c>
      <c r="D3" s="97">
        <v>2025</v>
      </c>
      <c r="E3" s="97" t="s">
        <v>18</v>
      </c>
      <c r="F3" s="127" t="s">
        <v>28</v>
      </c>
      <c r="G3" s="158" t="s">
        <v>29</v>
      </c>
      <c r="H3" s="105" t="s">
        <v>21</v>
      </c>
      <c r="I3" s="288"/>
      <c r="J3" s="158" t="s">
        <v>30</v>
      </c>
      <c r="K3" s="158" t="s">
        <v>31</v>
      </c>
      <c r="L3" s="158"/>
      <c r="M3" s="158"/>
    </row>
    <row r="4" spans="1:13" ht="86.25">
      <c r="A4" s="354"/>
      <c r="B4" s="190" t="s">
        <v>32</v>
      </c>
      <c r="C4" s="139" t="s">
        <v>33</v>
      </c>
      <c r="D4" s="77">
        <v>2021</v>
      </c>
      <c r="E4" s="77" t="s">
        <v>18</v>
      </c>
      <c r="F4" s="112" t="s">
        <v>34</v>
      </c>
      <c r="G4" s="164" t="s">
        <v>35</v>
      </c>
      <c r="H4" s="105" t="s">
        <v>21</v>
      </c>
      <c r="J4" s="252" t="s">
        <v>36</v>
      </c>
      <c r="K4" s="286" t="s">
        <v>37</v>
      </c>
      <c r="L4" s="286"/>
      <c r="M4" s="252"/>
    </row>
    <row r="5" spans="1:13" ht="86.25">
      <c r="A5" s="354"/>
      <c r="B5" s="191" t="s">
        <v>38</v>
      </c>
      <c r="C5" s="158" t="s">
        <v>39</v>
      </c>
      <c r="D5" s="97">
        <v>2024</v>
      </c>
      <c r="E5" s="97" t="s">
        <v>18</v>
      </c>
      <c r="F5" s="127" t="s">
        <v>40</v>
      </c>
      <c r="G5" s="158" t="s">
        <v>41</v>
      </c>
      <c r="H5" s="105" t="s">
        <v>21</v>
      </c>
      <c r="I5" s="288"/>
      <c r="J5" s="158" t="s">
        <v>42</v>
      </c>
      <c r="K5" s="158" t="s">
        <v>43</v>
      </c>
      <c r="L5" s="158"/>
      <c r="M5" s="158"/>
    </row>
    <row r="6" spans="1:13" ht="86.25">
      <c r="A6" s="354"/>
      <c r="B6" s="190" t="s">
        <v>44</v>
      </c>
      <c r="C6" s="77" t="s">
        <v>45</v>
      </c>
      <c r="D6" s="77">
        <v>2019</v>
      </c>
      <c r="E6" s="77" t="s">
        <v>46</v>
      </c>
      <c r="F6" s="112" t="s">
        <v>47</v>
      </c>
      <c r="G6" s="164" t="s">
        <v>48</v>
      </c>
      <c r="H6" s="198" t="s">
        <v>21</v>
      </c>
      <c r="J6" s="252" t="s">
        <v>49</v>
      </c>
      <c r="K6" s="286" t="s">
        <v>50</v>
      </c>
      <c r="L6" s="286"/>
      <c r="M6" s="252"/>
    </row>
    <row r="7" spans="1:13" ht="16.5">
      <c r="A7" s="354"/>
      <c r="B7" s="191" t="s">
        <v>51</v>
      </c>
      <c r="C7" s="77" t="s">
        <v>52</v>
      </c>
      <c r="D7" s="97">
        <v>2018</v>
      </c>
      <c r="E7" s="180" t="s">
        <v>53</v>
      </c>
      <c r="F7" s="127" t="s">
        <v>54</v>
      </c>
      <c r="G7" s="97"/>
      <c r="H7" s="104" t="s">
        <v>55</v>
      </c>
      <c r="I7" s="289" t="s">
        <v>56</v>
      </c>
      <c r="J7" s="97"/>
      <c r="K7" s="97"/>
      <c r="L7" s="97"/>
      <c r="M7" s="97"/>
    </row>
    <row r="8" spans="1:13" ht="16.5">
      <c r="A8" s="354"/>
      <c r="B8" s="190" t="s">
        <v>57</v>
      </c>
      <c r="C8" s="77" t="s">
        <v>58</v>
      </c>
      <c r="D8" s="77">
        <v>2023</v>
      </c>
      <c r="E8" s="180" t="s">
        <v>59</v>
      </c>
      <c r="F8" s="112" t="s">
        <v>60</v>
      </c>
      <c r="G8" s="165"/>
      <c r="H8" s="104" t="s">
        <v>55</v>
      </c>
      <c r="I8" s="77" t="s">
        <v>61</v>
      </c>
      <c r="J8" s="252"/>
      <c r="K8" s="252"/>
      <c r="L8" s="252"/>
      <c r="M8" s="252"/>
    </row>
    <row r="9" spans="1:13" ht="16.5">
      <c r="A9" s="354"/>
      <c r="B9" s="194" t="s">
        <v>62</v>
      </c>
      <c r="C9" s="290" t="s">
        <v>63</v>
      </c>
      <c r="D9" s="195">
        <v>2013</v>
      </c>
      <c r="E9" s="196" t="s">
        <v>64</v>
      </c>
      <c r="F9" s="127" t="s">
        <v>65</v>
      </c>
      <c r="G9" s="158"/>
      <c r="H9" s="293" t="s">
        <v>55</v>
      </c>
      <c r="I9" s="77" t="s">
        <v>66</v>
      </c>
      <c r="J9" s="97"/>
      <c r="K9" s="97"/>
      <c r="L9" s="97"/>
      <c r="M9" s="97"/>
    </row>
    <row r="10" spans="1:13" ht="159">
      <c r="A10" s="354"/>
      <c r="B10" s="193" t="s">
        <v>67</v>
      </c>
      <c r="C10" s="56" t="s">
        <v>68</v>
      </c>
      <c r="D10" s="77">
        <v>2021</v>
      </c>
      <c r="E10" s="77" t="s">
        <v>64</v>
      </c>
      <c r="F10" s="112" t="s">
        <v>69</v>
      </c>
      <c r="G10" s="164" t="s">
        <v>70</v>
      </c>
      <c r="H10" s="293" t="s">
        <v>55</v>
      </c>
      <c r="I10" s="77" t="s">
        <v>722</v>
      </c>
      <c r="J10" s="252" t="s">
        <v>71</v>
      </c>
      <c r="K10" s="286" t="s">
        <v>72</v>
      </c>
      <c r="L10" s="286"/>
      <c r="M10" s="252"/>
    </row>
    <row r="11" spans="1:13" ht="115.5">
      <c r="A11" s="354"/>
      <c r="B11" s="191" t="s">
        <v>73</v>
      </c>
      <c r="C11" s="77" t="s">
        <v>74</v>
      </c>
      <c r="D11" s="97">
        <v>2021</v>
      </c>
      <c r="E11" s="77" t="s">
        <v>75</v>
      </c>
      <c r="F11" s="127" t="s">
        <v>76</v>
      </c>
      <c r="G11" s="158" t="s">
        <v>77</v>
      </c>
      <c r="H11" s="293" t="s">
        <v>55</v>
      </c>
      <c r="I11" s="294" t="s">
        <v>722</v>
      </c>
      <c r="J11" s="252" t="s">
        <v>78</v>
      </c>
      <c r="K11" s="158" t="s">
        <v>79</v>
      </c>
      <c r="L11" s="291"/>
      <c r="M11" s="252"/>
    </row>
    <row r="12" spans="1:13" ht="16.5">
      <c r="A12" s="354"/>
      <c r="B12" s="190" t="s">
        <v>80</v>
      </c>
      <c r="C12" s="77" t="s">
        <v>81</v>
      </c>
      <c r="D12" s="77">
        <v>2022</v>
      </c>
      <c r="E12" s="77" t="s">
        <v>75</v>
      </c>
      <c r="F12" s="128" t="s">
        <v>82</v>
      </c>
      <c r="G12" s="165"/>
      <c r="H12" s="104" t="s">
        <v>55</v>
      </c>
      <c r="I12" s="77" t="s">
        <v>83</v>
      </c>
      <c r="J12" s="252"/>
      <c r="K12" s="252"/>
      <c r="L12" s="252"/>
      <c r="M12" s="252"/>
    </row>
    <row r="13" spans="1:13" ht="115.5">
      <c r="A13" s="354"/>
      <c r="B13" s="192" t="s">
        <v>84</v>
      </c>
      <c r="C13" s="77" t="s">
        <v>85</v>
      </c>
      <c r="D13" s="188">
        <v>2022</v>
      </c>
      <c r="E13" s="56" t="s">
        <v>86</v>
      </c>
      <c r="F13" s="112" t="s">
        <v>87</v>
      </c>
      <c r="G13" s="216" t="s">
        <v>88</v>
      </c>
      <c r="H13" s="198" t="s">
        <v>21</v>
      </c>
      <c r="I13" s="292"/>
      <c r="J13" s="216" t="s">
        <v>89</v>
      </c>
      <c r="K13" s="274" t="s">
        <v>90</v>
      </c>
      <c r="L13" s="188"/>
      <c r="M13" s="216"/>
    </row>
    <row r="16" spans="1:13">
      <c r="B16" s="25" t="str">
        <f>IF(C16="","","PID-"&amp;TEXT(ROW()-2,"0000"))</f>
        <v/>
      </c>
      <c r="D16" s="25"/>
      <c r="F16" s="25"/>
      <c r="G16" s="25"/>
    </row>
    <row r="17" spans="2:7">
      <c r="B17" s="25" t="str">
        <f>IF(C17="","","PID-"&amp;TEXT(ROW()-2,"0000"))</f>
        <v/>
      </c>
      <c r="D17" s="25"/>
      <c r="F17" s="25"/>
      <c r="G17" s="25"/>
    </row>
    <row r="18" spans="2:7">
      <c r="B18" s="25" t="str">
        <f>IF(C18="","","PID-"&amp;TEXT(ROW()-2,"0000"))</f>
        <v/>
      </c>
      <c r="D18" s="25"/>
      <c r="F18" s="25"/>
      <c r="G18" s="25"/>
    </row>
    <row r="19" spans="2:7">
      <c r="B19" s="25" t="str">
        <f>IF(C19="","","PID-"&amp;TEXT(ROW()-2,"0000"))</f>
        <v/>
      </c>
      <c r="D19" s="25"/>
      <c r="F19" s="25"/>
      <c r="G19" s="25"/>
    </row>
    <row r="20" spans="2:7">
      <c r="B20" s="25" t="str">
        <f>IF(C20="","","PID-"&amp;TEXT(ROW()-2,"0000"))</f>
        <v/>
      </c>
      <c r="D20" s="25"/>
      <c r="F20" s="25"/>
      <c r="G20" s="25"/>
    </row>
    <row r="21" spans="2:7">
      <c r="B21" s="25" t="str">
        <f>IF(C21="","","PID-"&amp;TEXT(ROW()-2,"0000"))</f>
        <v/>
      </c>
      <c r="D21" s="25"/>
      <c r="F21" s="25"/>
      <c r="G21" s="25"/>
    </row>
    <row r="22" spans="2:7">
      <c r="B22" s="25" t="str">
        <f>IF(C22="","","PID-"&amp;TEXT(ROW()-2,"0000"))</f>
        <v/>
      </c>
      <c r="C22" s="25"/>
      <c r="D22" s="25"/>
      <c r="F22" s="25"/>
      <c r="G22" s="25"/>
    </row>
    <row r="23" spans="2:7">
      <c r="B23" s="25" t="str">
        <f>IF(C23="","","PID-"&amp;TEXT(ROW()-2,"0000"))</f>
        <v/>
      </c>
      <c r="C23" s="25"/>
      <c r="D23" s="25"/>
      <c r="E23" s="255"/>
      <c r="F23" s="25"/>
      <c r="G23" s="25"/>
    </row>
    <row r="24" spans="2:7">
      <c r="B24" s="25" t="str">
        <f>IF(C24="","","PID-"&amp;TEXT(ROW()-2,"0000"))</f>
        <v/>
      </c>
      <c r="C24" s="25"/>
      <c r="D24" s="25"/>
      <c r="E24" s="255"/>
      <c r="F24" s="25"/>
      <c r="G24" s="25"/>
    </row>
    <row r="25" spans="2:7">
      <c r="B25" s="25" t="str">
        <f>IF(C25="","","PID-"&amp;TEXT(ROW()-2,"0000"))</f>
        <v/>
      </c>
      <c r="C25" s="25"/>
      <c r="D25" s="25"/>
      <c r="E25" s="255"/>
      <c r="F25" s="25"/>
      <c r="G25" s="25"/>
    </row>
    <row r="26" spans="2:7">
      <c r="B26" s="25" t="str">
        <f>IF(C26="","","PID-"&amp;TEXT(ROW()-2,"0000"))</f>
        <v/>
      </c>
      <c r="C26" s="25"/>
      <c r="D26" s="25"/>
      <c r="E26" s="255"/>
      <c r="F26" s="25"/>
      <c r="G26" s="25"/>
    </row>
    <row r="27" spans="2:7">
      <c r="B27" s="25" t="str">
        <f>IF(C27="","","PID-"&amp;TEXT(ROW()-2,"0000"))</f>
        <v/>
      </c>
      <c r="C27" s="25"/>
      <c r="D27" s="25"/>
      <c r="E27" s="255"/>
      <c r="F27" s="25"/>
      <c r="G27" s="25"/>
    </row>
    <row r="28" spans="2:7">
      <c r="B28" s="25" t="str">
        <f>IF(C28="","","PID-"&amp;TEXT(ROW()-2,"0000"))</f>
        <v/>
      </c>
      <c r="C28" s="25"/>
      <c r="D28" s="25"/>
      <c r="E28" s="255"/>
      <c r="F28" s="25"/>
      <c r="G28" s="25"/>
    </row>
    <row r="29" spans="2:7">
      <c r="B29" s="25" t="str">
        <f>IF(C29="","","PID-"&amp;TEXT(ROW()-2,"0000"))</f>
        <v/>
      </c>
      <c r="C29" s="25"/>
      <c r="D29" s="25"/>
      <c r="E29" s="255"/>
      <c r="F29" s="25"/>
      <c r="G29" s="25"/>
    </row>
    <row r="30" spans="2:7">
      <c r="B30" s="25" t="str">
        <f>IF(C30="","","PID-"&amp;TEXT(ROW()-2,"0000"))</f>
        <v/>
      </c>
      <c r="C30" s="25"/>
      <c r="D30" s="25"/>
      <c r="E30" s="255"/>
      <c r="F30" s="25"/>
      <c r="G30" s="25"/>
    </row>
    <row r="31" spans="2:7">
      <c r="B31" s="25" t="str">
        <f>IF(C31="","","PID-"&amp;TEXT(ROW()-2,"0000"))</f>
        <v/>
      </c>
      <c r="C31" s="25"/>
      <c r="D31" s="25"/>
      <c r="E31" s="255"/>
      <c r="F31" s="25"/>
      <c r="G31" s="25"/>
    </row>
    <row r="32" spans="2:7">
      <c r="B32" s="25" t="str">
        <f>IF(C32="","","PID-"&amp;TEXT(ROW()-2,"0000"))</f>
        <v/>
      </c>
      <c r="C32" s="25"/>
      <c r="D32" s="25"/>
      <c r="E32" s="255"/>
      <c r="F32" s="25"/>
      <c r="G32" s="25"/>
    </row>
    <row r="33" spans="2:7">
      <c r="B33" s="25" t="str">
        <f>IF(C33="","","PID-"&amp;TEXT(ROW()-2,"0000"))</f>
        <v/>
      </c>
      <c r="C33" s="25"/>
      <c r="D33" s="25"/>
      <c r="E33" s="255"/>
      <c r="F33" s="25"/>
      <c r="G33" s="25"/>
    </row>
    <row r="34" spans="2:7">
      <c r="B34" s="25" t="str">
        <f>IF(C34="","","PID-"&amp;TEXT(ROW()-2,"0000"))</f>
        <v/>
      </c>
      <c r="C34" s="25"/>
      <c r="D34" s="25"/>
      <c r="E34" s="255"/>
      <c r="F34" s="25"/>
      <c r="G34" s="25"/>
    </row>
    <row r="35" spans="2:7">
      <c r="B35" s="25" t="str">
        <f>IF(C35="","","PID-"&amp;TEXT(ROW()-2,"0000"))</f>
        <v/>
      </c>
      <c r="C35" s="25"/>
      <c r="D35" s="25"/>
      <c r="E35" s="255"/>
      <c r="F35" s="25"/>
      <c r="G35" s="25"/>
    </row>
    <row r="36" spans="2:7">
      <c r="B36" s="25" t="str">
        <f>IF(C36="","","PID-"&amp;TEXT(ROW()-2,"0000"))</f>
        <v/>
      </c>
      <c r="C36" s="25"/>
      <c r="D36" s="25"/>
      <c r="E36" s="255"/>
      <c r="F36" s="25"/>
      <c r="G36" s="25"/>
    </row>
    <row r="37" spans="2:7">
      <c r="B37" s="25" t="str">
        <f>IF(C37="","","PID-"&amp;TEXT(ROW()-2,"0000"))</f>
        <v/>
      </c>
      <c r="C37" s="25"/>
      <c r="D37" s="25"/>
      <c r="E37" s="255"/>
      <c r="F37" s="25"/>
      <c r="G37" s="25"/>
    </row>
    <row r="38" spans="2:7">
      <c r="B38" s="25" t="str">
        <f>IF(C38="","","PID-"&amp;TEXT(ROW()-2,"0000"))</f>
        <v/>
      </c>
      <c r="C38" s="25"/>
      <c r="D38" s="25"/>
      <c r="E38" s="255"/>
      <c r="F38" s="25"/>
      <c r="G38" s="25"/>
    </row>
    <row r="39" spans="2:7">
      <c r="B39" s="25" t="str">
        <f>IF(C39="","","PID-"&amp;TEXT(ROW()-2,"0000"))</f>
        <v/>
      </c>
      <c r="C39" s="25"/>
      <c r="D39" s="25"/>
      <c r="E39" s="255"/>
      <c r="F39" s="25"/>
      <c r="G39" s="25"/>
    </row>
    <row r="40" spans="2:7">
      <c r="B40" s="25" t="str">
        <f>IF(C40="","","PID-"&amp;TEXT(ROW()-2,"0000"))</f>
        <v/>
      </c>
      <c r="C40" s="25"/>
      <c r="D40" s="25"/>
      <c r="E40" s="255"/>
      <c r="F40" s="25"/>
      <c r="G40" s="25"/>
    </row>
    <row r="41" spans="2:7">
      <c r="B41" s="25" t="str">
        <f>IF(C41="","","PID-"&amp;TEXT(ROW()-2,"0000"))</f>
        <v/>
      </c>
      <c r="C41" s="25"/>
      <c r="D41" s="25"/>
      <c r="E41" s="255"/>
      <c r="F41" s="25"/>
      <c r="G41" s="25"/>
    </row>
    <row r="42" spans="2:7">
      <c r="B42" s="25" t="str">
        <f>IF(C42="","","PID-"&amp;TEXT(ROW()-2,"0000"))</f>
        <v/>
      </c>
      <c r="C42" s="25"/>
      <c r="D42" s="25"/>
      <c r="E42" s="255"/>
      <c r="F42" s="25"/>
      <c r="G42" s="25"/>
    </row>
    <row r="43" spans="2:7">
      <c r="B43" s="25" t="str">
        <f>IF(C43="","","PID-"&amp;TEXT(ROW()-2,"0000"))</f>
        <v/>
      </c>
      <c r="C43" s="25"/>
      <c r="D43" s="25"/>
      <c r="E43" s="255"/>
      <c r="F43" s="25"/>
      <c r="G43" s="25"/>
    </row>
    <row r="44" spans="2:7">
      <c r="B44" s="25" t="str">
        <f>IF(C44="","","PID-"&amp;TEXT(ROW()-2,"0000"))</f>
        <v/>
      </c>
      <c r="C44" s="25"/>
      <c r="D44" s="25"/>
      <c r="E44" s="255"/>
      <c r="F44" s="25"/>
      <c r="G44" s="25"/>
    </row>
    <row r="45" spans="2:7">
      <c r="B45" s="25" t="str">
        <f>IF(C45="","","PID-"&amp;TEXT(ROW()-2,"0000"))</f>
        <v/>
      </c>
      <c r="C45" s="25"/>
      <c r="D45" s="25"/>
      <c r="E45" s="255"/>
      <c r="F45" s="25"/>
      <c r="G45" s="25"/>
    </row>
    <row r="46" spans="2:7">
      <c r="B46" s="25" t="str">
        <f>IF(C46="","","PID-"&amp;TEXT(ROW()-2,"0000"))</f>
        <v/>
      </c>
      <c r="C46" s="25"/>
      <c r="D46" s="25"/>
      <c r="E46" s="255"/>
      <c r="F46" s="25"/>
      <c r="G46" s="25"/>
    </row>
    <row r="47" spans="2:7">
      <c r="B47" s="25" t="str">
        <f>IF(C47="","","PID-"&amp;TEXT(ROW()-2,"0000"))</f>
        <v/>
      </c>
      <c r="C47" s="25"/>
      <c r="D47" s="25"/>
      <c r="E47" s="255"/>
      <c r="F47" s="25"/>
      <c r="G47" s="25"/>
    </row>
    <row r="48" spans="2:7">
      <c r="B48" s="25" t="str">
        <f>IF(C48="","","PID-"&amp;TEXT(ROW()-2,"0000"))</f>
        <v/>
      </c>
      <c r="C48" s="25"/>
      <c r="D48" s="25"/>
      <c r="E48" s="255"/>
      <c r="F48" s="25"/>
      <c r="G48" s="25"/>
    </row>
    <row r="49" spans="2:7">
      <c r="B49" s="25" t="str">
        <f>IF(C49="","","PID-"&amp;TEXT(ROW()-2,"0000"))</f>
        <v/>
      </c>
      <c r="C49" s="25"/>
      <c r="D49" s="25"/>
      <c r="E49" s="255"/>
      <c r="F49" s="25"/>
      <c r="G49" s="25"/>
    </row>
    <row r="50" spans="2:7">
      <c r="B50" s="25" t="str">
        <f>IF(C50="","","PID-"&amp;TEXT(ROW()-2,"0000"))</f>
        <v/>
      </c>
      <c r="C50" s="25"/>
      <c r="D50" s="25"/>
      <c r="E50" s="255"/>
      <c r="F50" s="25"/>
      <c r="G50" s="25"/>
    </row>
    <row r="51" spans="2:7">
      <c r="B51" s="25" t="str">
        <f>IF(C51="","","PID-"&amp;TEXT(ROW()-2,"0000"))</f>
        <v/>
      </c>
      <c r="C51" s="25"/>
      <c r="D51" s="25"/>
      <c r="E51" s="255"/>
      <c r="F51" s="25"/>
      <c r="G51" s="25"/>
    </row>
    <row r="52" spans="2:7">
      <c r="B52" s="25" t="str">
        <f>IF(C52="","","PID-"&amp;TEXT(ROW()-2,"0000"))</f>
        <v/>
      </c>
      <c r="C52" s="25"/>
      <c r="D52" s="25"/>
      <c r="E52" s="255"/>
      <c r="F52" s="25"/>
      <c r="G52" s="25"/>
    </row>
    <row r="53" spans="2:7">
      <c r="B53" s="25" t="str">
        <f>IF(C53="","","PID-"&amp;TEXT(ROW()-2,"0000"))</f>
        <v/>
      </c>
      <c r="C53" s="25"/>
      <c r="D53" s="25"/>
      <c r="E53" s="255"/>
      <c r="F53" s="25"/>
      <c r="G53" s="25"/>
    </row>
    <row r="54" spans="2:7">
      <c r="B54" s="25" t="str">
        <f>IF(C54="","","PID-"&amp;TEXT(ROW()-2,"0000"))</f>
        <v/>
      </c>
      <c r="C54" s="25"/>
      <c r="D54" s="25"/>
      <c r="E54" s="255"/>
      <c r="F54" s="25"/>
      <c r="G54" s="25"/>
    </row>
    <row r="55" spans="2:7">
      <c r="B55" s="25" t="str">
        <f>IF(C55="","","PID-"&amp;TEXT(ROW()-2,"0000"))</f>
        <v/>
      </c>
      <c r="C55" s="25"/>
      <c r="D55" s="25"/>
      <c r="E55" s="255"/>
      <c r="F55" s="25"/>
      <c r="G55" s="25"/>
    </row>
    <row r="56" spans="2:7">
      <c r="B56" s="25" t="str">
        <f>IF(C56="","","PID-"&amp;TEXT(ROW()-2,"0000"))</f>
        <v/>
      </c>
      <c r="C56" s="25"/>
      <c r="D56" s="25"/>
      <c r="E56" s="255"/>
      <c r="F56" s="25"/>
      <c r="G56" s="25"/>
    </row>
    <row r="57" spans="2:7">
      <c r="B57" s="25" t="str">
        <f>IF(C57="","","PID-"&amp;TEXT(ROW()-2,"0000"))</f>
        <v/>
      </c>
      <c r="C57" s="25"/>
      <c r="D57" s="25"/>
      <c r="E57" s="255"/>
      <c r="F57" s="25"/>
      <c r="G57" s="25"/>
    </row>
    <row r="58" spans="2:7">
      <c r="B58" s="25" t="str">
        <f>IF(C58="","","PID-"&amp;TEXT(ROW()-2,"0000"))</f>
        <v/>
      </c>
      <c r="C58" s="25"/>
      <c r="D58" s="25"/>
      <c r="E58" s="255"/>
      <c r="F58" s="25"/>
      <c r="G58" s="25"/>
    </row>
    <row r="59" spans="2:7">
      <c r="B59" s="25" t="str">
        <f>IF(C59="","","PID-"&amp;TEXT(ROW()-2,"0000"))</f>
        <v/>
      </c>
      <c r="C59" s="25"/>
      <c r="D59" s="25"/>
      <c r="E59" s="255"/>
      <c r="F59" s="25"/>
      <c r="G59" s="25"/>
    </row>
    <row r="60" spans="2:7">
      <c r="B60" s="25" t="str">
        <f>IF(C60="","","PID-"&amp;TEXT(ROW()-2,"0000"))</f>
        <v/>
      </c>
      <c r="C60" s="25"/>
      <c r="D60" s="25"/>
      <c r="E60" s="255"/>
      <c r="F60" s="25"/>
      <c r="G60" s="25"/>
    </row>
    <row r="61" spans="2:7">
      <c r="B61" s="25" t="str">
        <f>IF(C61="","","PID-"&amp;TEXT(ROW()-2,"0000"))</f>
        <v/>
      </c>
      <c r="C61" s="25"/>
      <c r="D61" s="25"/>
      <c r="E61" s="255"/>
      <c r="F61" s="25"/>
      <c r="G61" s="25"/>
    </row>
    <row r="62" spans="2:7">
      <c r="B62" s="25" t="str">
        <f>IF(C62="","","PID-"&amp;TEXT(ROW()-2,"0000"))</f>
        <v/>
      </c>
      <c r="C62" s="25"/>
      <c r="D62" s="25"/>
      <c r="E62" s="255"/>
      <c r="F62" s="25"/>
      <c r="G62" s="25"/>
    </row>
    <row r="63" spans="2:7">
      <c r="B63" s="25" t="str">
        <f>IF(C63="","","PID-"&amp;TEXT(ROW()-2,"0000"))</f>
        <v/>
      </c>
      <c r="C63" s="25"/>
      <c r="D63" s="25"/>
      <c r="E63" s="255"/>
      <c r="F63" s="25"/>
      <c r="G63" s="25"/>
    </row>
    <row r="64" spans="2:7">
      <c r="B64" s="25" t="str">
        <f>IF(C64="","","PID-"&amp;TEXT(ROW()-2,"0000"))</f>
        <v/>
      </c>
      <c r="C64" s="25"/>
      <c r="D64" s="25"/>
      <c r="E64" s="255"/>
      <c r="F64" s="25"/>
      <c r="G64" s="25"/>
    </row>
    <row r="65" spans="2:7">
      <c r="B65" s="25" t="str">
        <f>IF(C65="","","PID-"&amp;TEXT(ROW()-2,"0000"))</f>
        <v/>
      </c>
      <c r="C65" s="25"/>
      <c r="D65" s="25"/>
      <c r="E65" s="255"/>
      <c r="F65" s="25"/>
      <c r="G65" s="25"/>
    </row>
    <row r="66" spans="2:7">
      <c r="B66" s="25" t="str">
        <f>IF(C66="","","PID-"&amp;TEXT(ROW()-2,"0000"))</f>
        <v/>
      </c>
      <c r="C66" s="25"/>
      <c r="D66" s="25"/>
      <c r="E66" s="255"/>
      <c r="F66" s="25"/>
      <c r="G66" s="25"/>
    </row>
    <row r="67" spans="2:7">
      <c r="B67" s="25" t="str">
        <f>IF(C67="","","PID-"&amp;TEXT(ROW()-2,"0000"))</f>
        <v/>
      </c>
      <c r="C67" s="25"/>
      <c r="D67" s="25"/>
      <c r="E67" s="255"/>
      <c r="F67" s="25"/>
      <c r="G67" s="25"/>
    </row>
    <row r="68" spans="2:7">
      <c r="B68" s="25" t="str">
        <f>IF(C68="","","PID-"&amp;TEXT(ROW()-2,"0000"))</f>
        <v/>
      </c>
      <c r="C68" s="25"/>
      <c r="D68" s="25"/>
      <c r="E68" s="255"/>
      <c r="F68" s="25"/>
      <c r="G68" s="25"/>
    </row>
    <row r="69" spans="2:7">
      <c r="B69" s="25" t="str">
        <f>IF(C69="","","PID-"&amp;TEXT(ROW()-2,"0000"))</f>
        <v/>
      </c>
      <c r="C69" s="25"/>
      <c r="D69" s="25"/>
      <c r="E69" s="255"/>
      <c r="F69" s="25"/>
      <c r="G69" s="25"/>
    </row>
    <row r="70" spans="2:7">
      <c r="B70" s="25" t="str">
        <f>IF(C70="","","PID-"&amp;TEXT(ROW()-2,"0000"))</f>
        <v/>
      </c>
      <c r="C70" s="25"/>
      <c r="D70" s="25"/>
      <c r="E70" s="255"/>
      <c r="F70" s="25"/>
      <c r="G70" s="25"/>
    </row>
    <row r="71" spans="2:7">
      <c r="B71" s="25" t="str">
        <f>IF(C71="","","PID-"&amp;TEXT(ROW()-2,"0000"))</f>
        <v/>
      </c>
      <c r="C71" s="25"/>
      <c r="D71" s="25"/>
      <c r="E71" s="255"/>
      <c r="F71" s="25"/>
      <c r="G71" s="25"/>
    </row>
    <row r="72" spans="2:7">
      <c r="B72" s="25" t="str">
        <f>IF(C72="","","PID-"&amp;TEXT(ROW()-2,"0000"))</f>
        <v/>
      </c>
      <c r="C72" s="25"/>
      <c r="D72" s="25"/>
      <c r="E72" s="255"/>
      <c r="F72" s="25"/>
      <c r="G72" s="25"/>
    </row>
    <row r="73" spans="2:7">
      <c r="B73" s="25" t="str">
        <f>IF(C73="","","PID-"&amp;TEXT(ROW()-2,"0000"))</f>
        <v/>
      </c>
      <c r="C73" s="25"/>
      <c r="D73" s="25"/>
      <c r="E73" s="255"/>
      <c r="F73" s="25"/>
      <c r="G73" s="25"/>
    </row>
    <row r="74" spans="2:7">
      <c r="B74" s="25" t="str">
        <f>IF(C74="","","PID-"&amp;TEXT(ROW()-2,"0000"))</f>
        <v/>
      </c>
      <c r="C74" s="25"/>
      <c r="D74" s="25"/>
      <c r="E74" s="255"/>
      <c r="F74" s="25"/>
      <c r="G74" s="25"/>
    </row>
    <row r="75" spans="2:7">
      <c r="B75" s="25" t="str">
        <f>IF(C75="","","PID-"&amp;TEXT(ROW()-2,"0000"))</f>
        <v/>
      </c>
      <c r="C75" s="25"/>
      <c r="D75" s="25"/>
      <c r="E75" s="255"/>
      <c r="F75" s="25"/>
      <c r="G75" s="25"/>
    </row>
    <row r="76" spans="2:7">
      <c r="B76" s="25" t="str">
        <f>IF(C76="","","PID-"&amp;TEXT(ROW()-2,"0000"))</f>
        <v/>
      </c>
      <c r="C76" s="25"/>
      <c r="D76" s="25"/>
      <c r="E76" s="255"/>
      <c r="F76" s="25"/>
      <c r="G76" s="25"/>
    </row>
    <row r="77" spans="2:7">
      <c r="B77" s="25" t="str">
        <f>IF(C77="","","PID-"&amp;TEXT(ROW()-2,"0000"))</f>
        <v/>
      </c>
      <c r="C77" s="25"/>
      <c r="D77" s="25"/>
      <c r="E77" s="255"/>
      <c r="F77" s="25"/>
      <c r="G77" s="25"/>
    </row>
    <row r="78" spans="2:7">
      <c r="B78" s="25" t="str">
        <f>IF(C78="","","PID-"&amp;TEXT(ROW()-2,"0000"))</f>
        <v/>
      </c>
      <c r="C78" s="25"/>
      <c r="D78" s="25"/>
      <c r="E78" s="255"/>
      <c r="F78" s="25"/>
      <c r="G78" s="25"/>
    </row>
    <row r="79" spans="2:7">
      <c r="B79" s="25" t="str">
        <f>IF(C79="","","PID-"&amp;TEXT(ROW()-2,"0000"))</f>
        <v/>
      </c>
      <c r="C79" s="25"/>
      <c r="D79" s="25"/>
      <c r="E79" s="255"/>
      <c r="F79" s="25"/>
      <c r="G79" s="25"/>
    </row>
    <row r="80" spans="2:7">
      <c r="B80" s="25" t="str">
        <f>IF(C80="","","PID-"&amp;TEXT(ROW()-2,"0000"))</f>
        <v/>
      </c>
      <c r="C80" s="25"/>
      <c r="D80" s="25"/>
      <c r="E80" s="255"/>
      <c r="F80" s="25"/>
      <c r="G80" s="25"/>
    </row>
    <row r="81" spans="2:7">
      <c r="B81" s="25" t="str">
        <f>IF(C81="","","PID-"&amp;TEXT(ROW()-2,"0000"))</f>
        <v/>
      </c>
      <c r="C81" s="25"/>
      <c r="D81" s="25"/>
      <c r="E81" s="255"/>
      <c r="F81" s="25"/>
      <c r="G81" s="25"/>
    </row>
    <row r="82" spans="2:7">
      <c r="B82" s="25" t="str">
        <f>IF(C82="","","PID-"&amp;TEXT(ROW()-2,"0000"))</f>
        <v/>
      </c>
      <c r="C82" s="25"/>
      <c r="D82" s="25"/>
      <c r="E82" s="255"/>
      <c r="F82" s="25"/>
      <c r="G82" s="25"/>
    </row>
    <row r="83" spans="2:7">
      <c r="B83" s="25" t="str">
        <f>IF(C83="","","PID-"&amp;TEXT(ROW()-2,"0000"))</f>
        <v/>
      </c>
      <c r="C83" s="25"/>
      <c r="D83" s="25"/>
      <c r="E83" s="255"/>
      <c r="F83" s="25"/>
      <c r="G83" s="25"/>
    </row>
    <row r="84" spans="2:7">
      <c r="B84" s="25" t="str">
        <f>IF(C84="","","PID-"&amp;TEXT(ROW()-2,"0000"))</f>
        <v/>
      </c>
      <c r="C84" s="25"/>
      <c r="D84" s="25"/>
      <c r="E84" s="255"/>
      <c r="F84" s="25"/>
      <c r="G84" s="25"/>
    </row>
    <row r="85" spans="2:7">
      <c r="B85" s="25" t="str">
        <f>IF(C85="","","PID-"&amp;TEXT(ROW()-2,"0000"))</f>
        <v/>
      </c>
      <c r="C85" s="25"/>
      <c r="D85" s="25"/>
      <c r="E85" s="255"/>
      <c r="F85" s="25"/>
      <c r="G85" s="25"/>
    </row>
    <row r="86" spans="2:7">
      <c r="B86" s="25" t="str">
        <f>IF(C86="","","PID-"&amp;TEXT(ROW()-2,"0000"))</f>
        <v/>
      </c>
      <c r="C86" s="25"/>
      <c r="D86" s="25"/>
      <c r="E86" s="255"/>
      <c r="F86" s="25"/>
      <c r="G86" s="25"/>
    </row>
    <row r="87" spans="2:7">
      <c r="B87" s="25" t="str">
        <f>IF(C87="","","PID-"&amp;TEXT(ROW()-2,"0000"))</f>
        <v/>
      </c>
      <c r="C87" s="25"/>
      <c r="D87" s="25"/>
      <c r="E87" s="255"/>
      <c r="F87" s="25"/>
      <c r="G87" s="25"/>
    </row>
    <row r="88" spans="2:7">
      <c r="B88" s="25" t="str">
        <f>IF(C88="","","PID-"&amp;TEXT(ROW()-2,"0000"))</f>
        <v/>
      </c>
      <c r="C88" s="25"/>
      <c r="D88" s="25"/>
      <c r="E88" s="255"/>
      <c r="F88" s="25"/>
      <c r="G88" s="25"/>
    </row>
    <row r="89" spans="2:7">
      <c r="B89" s="25" t="str">
        <f>IF(C89="","","PID-"&amp;TEXT(ROW()-2,"0000"))</f>
        <v/>
      </c>
      <c r="C89" s="25"/>
      <c r="D89" s="25"/>
      <c r="E89" s="255"/>
      <c r="F89" s="25"/>
      <c r="G89" s="25"/>
    </row>
    <row r="90" spans="2:7">
      <c r="B90" s="25" t="str">
        <f>IF(C90="","","PID-"&amp;TEXT(ROW()-2,"0000"))</f>
        <v/>
      </c>
      <c r="C90" s="25"/>
      <c r="D90" s="25"/>
      <c r="E90" s="255"/>
      <c r="F90" s="25"/>
      <c r="G90" s="25"/>
    </row>
    <row r="91" spans="2:7">
      <c r="B91" s="25" t="str">
        <f>IF(C91="","","PID-"&amp;TEXT(ROW()-2,"0000"))</f>
        <v/>
      </c>
      <c r="C91" s="25"/>
      <c r="D91" s="25"/>
      <c r="E91" s="255"/>
      <c r="F91" s="25"/>
      <c r="G91" s="25"/>
    </row>
    <row r="92" spans="2:7">
      <c r="B92" s="25" t="str">
        <f>IF(C92="","","PID-"&amp;TEXT(ROW()-2,"0000"))</f>
        <v/>
      </c>
      <c r="C92" s="25"/>
      <c r="D92" s="25"/>
      <c r="E92" s="255"/>
      <c r="F92" s="25"/>
      <c r="G92" s="25"/>
    </row>
    <row r="93" spans="2:7">
      <c r="B93" s="25" t="str">
        <f>IF(C93="","","PID-"&amp;TEXT(ROW()-2,"0000"))</f>
        <v/>
      </c>
      <c r="C93" s="25"/>
      <c r="D93" s="25"/>
      <c r="E93" s="255"/>
      <c r="F93" s="25"/>
      <c r="G93" s="25"/>
    </row>
    <row r="94" spans="2:7">
      <c r="B94" s="25" t="str">
        <f>IF(C94="","","PID-"&amp;TEXT(ROW()-2,"0000"))</f>
        <v/>
      </c>
      <c r="C94" s="25"/>
      <c r="D94" s="25"/>
      <c r="E94" s="255"/>
      <c r="F94" s="25"/>
      <c r="G94" s="25"/>
    </row>
    <row r="95" spans="2:7">
      <c r="B95" s="25" t="str">
        <f>IF(C95="","","PID-"&amp;TEXT(ROW()-2,"0000"))</f>
        <v/>
      </c>
      <c r="C95" s="25"/>
      <c r="D95" s="25"/>
      <c r="E95" s="255"/>
      <c r="F95" s="25"/>
      <c r="G95" s="25"/>
    </row>
    <row r="96" spans="2:7">
      <c r="B96" s="25" t="str">
        <f>IF(C96="","","PID-"&amp;TEXT(ROW()-2,"0000"))</f>
        <v/>
      </c>
      <c r="C96" s="25"/>
      <c r="D96" s="25"/>
      <c r="E96" s="255"/>
      <c r="F96" s="25"/>
      <c r="G96" s="25"/>
    </row>
    <row r="97" spans="2:7">
      <c r="B97" s="25" t="str">
        <f>IF(C97="","","PID-"&amp;TEXT(ROW()-2,"0000"))</f>
        <v/>
      </c>
      <c r="C97" s="25"/>
      <c r="D97" s="25"/>
      <c r="E97" s="255"/>
      <c r="F97" s="25"/>
      <c r="G97" s="25"/>
    </row>
    <row r="98" spans="2:7">
      <c r="B98" s="25" t="str">
        <f>IF(C98="","","PID-"&amp;TEXT(ROW()-2,"0000"))</f>
        <v/>
      </c>
      <c r="C98" s="25"/>
      <c r="D98" s="25"/>
      <c r="E98" s="255"/>
      <c r="F98" s="25"/>
      <c r="G98" s="25"/>
    </row>
    <row r="99" spans="2:7">
      <c r="B99" s="25" t="str">
        <f>IF(C99="","","PID-"&amp;TEXT(ROW()-2,"0000"))</f>
        <v/>
      </c>
      <c r="C99" s="25"/>
      <c r="D99" s="25"/>
      <c r="E99" s="255"/>
      <c r="F99" s="25"/>
      <c r="G99" s="25"/>
    </row>
    <row r="100" spans="2:7">
      <c r="B100" s="25" t="str">
        <f>IF(C100="","","PID-"&amp;TEXT(ROW()-2,"0000"))</f>
        <v/>
      </c>
      <c r="C100" s="25"/>
      <c r="D100" s="25"/>
      <c r="E100" s="255"/>
      <c r="F100" s="25"/>
      <c r="G100" s="25"/>
    </row>
    <row r="101" spans="2:7">
      <c r="B101" s="25" t="str">
        <f>IF(C101="","","PID-"&amp;TEXT(ROW()-2,"0000"))</f>
        <v/>
      </c>
      <c r="C101" s="25"/>
      <c r="D101" s="25"/>
      <c r="E101" s="255"/>
      <c r="F101" s="25"/>
      <c r="G101" s="25"/>
    </row>
    <row r="102" spans="2:7">
      <c r="B102" s="25" t="str">
        <f>IF(C102="","","PID-"&amp;TEXT(ROW()-2,"0000"))</f>
        <v/>
      </c>
      <c r="C102" s="25"/>
      <c r="D102" s="25"/>
      <c r="E102" s="255"/>
      <c r="F102" s="25"/>
      <c r="G102" s="25"/>
    </row>
    <row r="103" spans="2:7">
      <c r="B103" s="25" t="str">
        <f>IF(C103="","","PID-"&amp;TEXT(ROW()-2,"0000"))</f>
        <v/>
      </c>
      <c r="C103" s="25"/>
      <c r="D103" s="25"/>
      <c r="E103" s="255"/>
      <c r="F103" s="25"/>
      <c r="G103" s="25"/>
    </row>
    <row r="104" spans="2:7">
      <c r="B104" s="25" t="str">
        <f>IF(C104="","","PID-"&amp;TEXT(ROW()-2,"0000"))</f>
        <v/>
      </c>
      <c r="C104" s="25"/>
      <c r="D104" s="25"/>
      <c r="E104" s="255"/>
      <c r="F104" s="25"/>
      <c r="G104" s="25"/>
    </row>
    <row r="105" spans="2:7">
      <c r="B105" s="25" t="str">
        <f>IF(C105="","","PID-"&amp;TEXT(ROW()-2,"0000"))</f>
        <v/>
      </c>
      <c r="C105" s="25"/>
      <c r="D105" s="25"/>
      <c r="E105" s="255"/>
      <c r="F105" s="25"/>
      <c r="G105" s="25"/>
    </row>
    <row r="106" spans="2:7">
      <c r="B106" s="25" t="str">
        <f>IF(C106="","","PID-"&amp;TEXT(ROW()-2,"0000"))</f>
        <v/>
      </c>
      <c r="C106" s="25"/>
      <c r="D106" s="25"/>
      <c r="E106" s="255"/>
      <c r="F106" s="25"/>
      <c r="G106" s="25"/>
    </row>
    <row r="107" spans="2:7">
      <c r="B107" s="25" t="str">
        <f>IF(C107="","","PID-"&amp;TEXT(ROW()-2,"0000"))</f>
        <v/>
      </c>
      <c r="C107" s="25"/>
      <c r="D107" s="25"/>
      <c r="E107" s="255"/>
      <c r="F107" s="25"/>
      <c r="G107" s="25"/>
    </row>
    <row r="108" spans="2:7">
      <c r="B108" s="25" t="str">
        <f>IF(C108="","","PID-"&amp;TEXT(ROW()-2,"0000"))</f>
        <v/>
      </c>
      <c r="C108" s="25"/>
      <c r="D108" s="25"/>
      <c r="E108" s="255"/>
      <c r="F108" s="25"/>
      <c r="G108" s="25"/>
    </row>
    <row r="109" spans="2:7">
      <c r="B109" s="25" t="str">
        <f>IF(C109="","","PID-"&amp;TEXT(ROW()-2,"0000"))</f>
        <v/>
      </c>
      <c r="C109" s="25"/>
      <c r="D109" s="25"/>
      <c r="E109" s="255"/>
      <c r="F109" s="25"/>
      <c r="G109" s="25"/>
    </row>
    <row r="110" spans="2:7">
      <c r="B110" s="25" t="str">
        <f>IF(C110="","","PID-"&amp;TEXT(ROW()-2,"0000"))</f>
        <v/>
      </c>
      <c r="C110" s="25"/>
      <c r="D110" s="25"/>
      <c r="E110" s="255"/>
      <c r="F110" s="25"/>
      <c r="G110" s="25"/>
    </row>
    <row r="111" spans="2:7">
      <c r="B111" s="25" t="str">
        <f>IF(C111="","","PID-"&amp;TEXT(ROW()-2,"0000"))</f>
        <v/>
      </c>
      <c r="C111" s="25"/>
      <c r="D111" s="25"/>
      <c r="E111" s="255"/>
      <c r="F111" s="25"/>
      <c r="G111" s="25"/>
    </row>
    <row r="112" spans="2:7">
      <c r="B112" s="25" t="str">
        <f>IF(C112="","","PID-"&amp;TEXT(ROW()-2,"0000"))</f>
        <v/>
      </c>
      <c r="C112" s="25"/>
      <c r="D112" s="25"/>
      <c r="E112" s="255"/>
      <c r="F112" s="25"/>
      <c r="G112" s="25"/>
    </row>
    <row r="113" spans="2:7">
      <c r="B113" s="25" t="str">
        <f>IF(C113="","","PID-"&amp;TEXT(ROW()-2,"0000"))</f>
        <v/>
      </c>
      <c r="C113" s="25"/>
      <c r="D113" s="25"/>
      <c r="E113" s="255"/>
      <c r="F113" s="25"/>
      <c r="G113" s="25"/>
    </row>
    <row r="114" spans="2:7">
      <c r="B114" s="25" t="str">
        <f>IF(C114="","","PID-"&amp;TEXT(ROW()-2,"0000"))</f>
        <v/>
      </c>
      <c r="C114" s="25"/>
      <c r="D114" s="25"/>
      <c r="E114" s="255"/>
      <c r="F114" s="25"/>
      <c r="G114" s="25"/>
    </row>
    <row r="115" spans="2:7">
      <c r="B115" s="25" t="str">
        <f>IF(C115="","","PID-"&amp;TEXT(ROW()-2,"0000"))</f>
        <v/>
      </c>
      <c r="C115" s="25"/>
      <c r="D115" s="25"/>
      <c r="E115" s="255"/>
      <c r="F115" s="25"/>
      <c r="G115" s="25"/>
    </row>
    <row r="116" spans="2:7">
      <c r="B116" s="25" t="str">
        <f>IF(C116="","","PID-"&amp;TEXT(ROW()-2,"0000"))</f>
        <v/>
      </c>
      <c r="C116" s="25"/>
      <c r="D116" s="25"/>
      <c r="E116" s="255"/>
      <c r="F116" s="25"/>
      <c r="G116" s="25"/>
    </row>
    <row r="117" spans="2:7">
      <c r="B117" s="25" t="str">
        <f>IF(C117="","","PID-"&amp;TEXT(ROW()-2,"0000"))</f>
        <v/>
      </c>
      <c r="C117" s="25"/>
      <c r="D117" s="25"/>
      <c r="E117" s="255"/>
      <c r="F117" s="25"/>
      <c r="G117" s="25"/>
    </row>
    <row r="118" spans="2:7">
      <c r="B118" s="25" t="str">
        <f>IF(C118="","","PID-"&amp;TEXT(ROW()-2,"0000"))</f>
        <v/>
      </c>
      <c r="C118" s="25"/>
      <c r="D118" s="25"/>
      <c r="E118" s="255"/>
      <c r="F118" s="25"/>
      <c r="G118" s="25"/>
    </row>
    <row r="119" spans="2:7">
      <c r="B119" s="25" t="str">
        <f>IF(C119="","","PID-"&amp;TEXT(ROW()-2,"0000"))</f>
        <v/>
      </c>
      <c r="C119" s="25"/>
      <c r="D119" s="25"/>
      <c r="E119" s="255"/>
      <c r="F119" s="25"/>
      <c r="G119" s="25"/>
    </row>
    <row r="120" spans="2:7">
      <c r="B120" s="25" t="str">
        <f>IF(C120="","","PID-"&amp;TEXT(ROW()-2,"0000"))</f>
        <v/>
      </c>
      <c r="C120" s="25"/>
      <c r="D120" s="25"/>
      <c r="E120" s="255"/>
      <c r="F120" s="25"/>
      <c r="G120" s="25"/>
    </row>
    <row r="121" spans="2:7">
      <c r="B121" s="25" t="str">
        <f>IF(C121="","","PID-"&amp;TEXT(ROW()-2,"0000"))</f>
        <v/>
      </c>
      <c r="C121" s="25"/>
      <c r="D121" s="25"/>
      <c r="E121" s="255"/>
      <c r="F121" s="25"/>
      <c r="G121" s="25"/>
    </row>
    <row r="122" spans="2:7">
      <c r="B122" s="25" t="str">
        <f>IF(C122="","","PID-"&amp;TEXT(ROW()-2,"0000"))</f>
        <v/>
      </c>
      <c r="C122" s="25"/>
      <c r="D122" s="25"/>
      <c r="E122" s="255"/>
      <c r="F122" s="25"/>
      <c r="G122" s="25"/>
    </row>
    <row r="123" spans="2:7">
      <c r="B123" s="25" t="str">
        <f>IF(C123="","","PID-"&amp;TEXT(ROW()-2,"0000"))</f>
        <v/>
      </c>
      <c r="C123" s="25"/>
      <c r="D123" s="25"/>
      <c r="E123" s="255"/>
      <c r="F123" s="25"/>
      <c r="G123" s="25"/>
    </row>
    <row r="124" spans="2:7">
      <c r="B124" s="25" t="str">
        <f>IF(C124="","","PID-"&amp;TEXT(ROW()-2,"0000"))</f>
        <v/>
      </c>
      <c r="C124" s="25"/>
      <c r="D124" s="25"/>
      <c r="E124" s="255"/>
      <c r="F124" s="25"/>
      <c r="G124" s="25"/>
    </row>
    <row r="125" spans="2:7">
      <c r="B125" s="25" t="str">
        <f>IF(C125="","","PID-"&amp;TEXT(ROW()-2,"0000"))</f>
        <v/>
      </c>
      <c r="C125" s="25"/>
      <c r="D125" s="25"/>
      <c r="E125" s="255"/>
      <c r="F125" s="25"/>
      <c r="G125" s="25"/>
    </row>
    <row r="126" spans="2:7">
      <c r="B126" s="25" t="str">
        <f>IF(C126="","","PID-"&amp;TEXT(ROW()-2,"0000"))</f>
        <v/>
      </c>
      <c r="C126" s="25"/>
      <c r="D126" s="25"/>
      <c r="E126" s="255"/>
      <c r="F126" s="25"/>
      <c r="G126" s="25"/>
    </row>
    <row r="127" spans="2:7">
      <c r="B127" s="25" t="str">
        <f>IF(C127="","","PID-"&amp;TEXT(ROW()-2,"0000"))</f>
        <v/>
      </c>
      <c r="C127" s="25"/>
      <c r="D127" s="25"/>
      <c r="E127" s="255"/>
      <c r="F127" s="25"/>
      <c r="G127" s="25"/>
    </row>
    <row r="128" spans="2:7">
      <c r="B128" s="25" t="str">
        <f>IF(C128="","","PID-"&amp;TEXT(ROW()-2,"0000"))</f>
        <v/>
      </c>
      <c r="C128" s="25"/>
      <c r="D128" s="25"/>
      <c r="E128" s="255"/>
      <c r="F128" s="25"/>
      <c r="G128" s="25"/>
    </row>
    <row r="129" spans="2:7">
      <c r="B129" s="25" t="str">
        <f>IF(C129="","","PID-"&amp;TEXT(ROW()-2,"0000"))</f>
        <v/>
      </c>
      <c r="C129" s="25"/>
      <c r="D129" s="25"/>
      <c r="E129" s="255"/>
      <c r="F129" s="25"/>
      <c r="G129" s="25"/>
    </row>
    <row r="130" spans="2:7">
      <c r="B130" s="25" t="str">
        <f>IF(C130="","","PID-"&amp;TEXT(ROW()-2,"0000"))</f>
        <v/>
      </c>
      <c r="C130" s="25"/>
      <c r="D130" s="25"/>
      <c r="E130" s="255"/>
      <c r="F130" s="25"/>
      <c r="G130" s="25"/>
    </row>
    <row r="131" spans="2:7">
      <c r="B131" s="25" t="str">
        <f>IF(C131="","","PID-"&amp;TEXT(ROW()-2,"0000"))</f>
        <v/>
      </c>
      <c r="C131" s="25"/>
      <c r="D131" s="25"/>
      <c r="E131" s="255"/>
      <c r="F131" s="25"/>
      <c r="G131" s="25"/>
    </row>
    <row r="132" spans="2:7">
      <c r="B132" s="25" t="str">
        <f>IF(C132="","","PID-"&amp;TEXT(ROW()-2,"0000"))</f>
        <v/>
      </c>
      <c r="C132" s="25"/>
      <c r="D132" s="25"/>
      <c r="E132" s="255"/>
      <c r="F132" s="25"/>
      <c r="G132" s="25"/>
    </row>
    <row r="133" spans="2:7">
      <c r="B133" s="25" t="str">
        <f>IF(C133="","","PID-"&amp;TEXT(ROW()-2,"0000"))</f>
        <v/>
      </c>
      <c r="C133" s="25"/>
      <c r="D133" s="25"/>
      <c r="E133" s="255"/>
      <c r="F133" s="25"/>
      <c r="G133" s="25"/>
    </row>
    <row r="134" spans="2:7">
      <c r="B134" s="25" t="str">
        <f>IF(C134="","","PID-"&amp;TEXT(ROW()-2,"0000"))</f>
        <v/>
      </c>
      <c r="C134" s="25"/>
      <c r="D134" s="25"/>
      <c r="E134" s="255"/>
      <c r="F134" s="25"/>
      <c r="G134" s="25"/>
    </row>
    <row r="135" spans="2:7">
      <c r="B135" s="25" t="str">
        <f>IF(C135="","","PID-"&amp;TEXT(ROW()-2,"0000"))</f>
        <v/>
      </c>
      <c r="C135" s="25"/>
      <c r="D135" s="25"/>
      <c r="E135" s="255"/>
      <c r="F135" s="25"/>
      <c r="G135" s="25"/>
    </row>
    <row r="136" spans="2:7">
      <c r="B136" s="25" t="str">
        <f>IF(C136="","","PID-"&amp;TEXT(ROW()-2,"0000"))</f>
        <v/>
      </c>
      <c r="C136" s="25"/>
      <c r="D136" s="25"/>
      <c r="E136" s="255"/>
      <c r="F136" s="25"/>
      <c r="G136" s="25"/>
    </row>
    <row r="137" spans="2:7">
      <c r="B137" s="25" t="str">
        <f>IF(C137="","","PID-"&amp;TEXT(ROW()-2,"0000"))</f>
        <v/>
      </c>
      <c r="C137" s="25"/>
      <c r="D137" s="25"/>
      <c r="E137" s="255"/>
      <c r="F137" s="25"/>
      <c r="G137" s="25"/>
    </row>
    <row r="138" spans="2:7">
      <c r="B138" s="25" t="str">
        <f>IF(C138="","","PID-"&amp;TEXT(ROW()-2,"0000"))</f>
        <v/>
      </c>
      <c r="C138" s="25"/>
      <c r="D138" s="25"/>
      <c r="E138" s="255"/>
      <c r="F138" s="25"/>
      <c r="G138" s="25"/>
    </row>
    <row r="139" spans="2:7">
      <c r="B139" s="25" t="str">
        <f>IF(C139="","","PID-"&amp;TEXT(ROW()-2,"0000"))</f>
        <v/>
      </c>
      <c r="C139" s="25"/>
      <c r="D139" s="25"/>
      <c r="E139" s="255"/>
      <c r="F139" s="25"/>
      <c r="G139" s="25"/>
    </row>
    <row r="140" spans="2:7">
      <c r="B140" s="25" t="str">
        <f>IF(C140="","","PID-"&amp;TEXT(ROW()-2,"0000"))</f>
        <v/>
      </c>
      <c r="C140" s="25"/>
      <c r="D140" s="25"/>
      <c r="E140" s="255"/>
      <c r="F140" s="25"/>
      <c r="G140" s="25"/>
    </row>
    <row r="141" spans="2:7">
      <c r="B141" s="25" t="str">
        <f>IF(C141="","","PID-"&amp;TEXT(ROW()-2,"0000"))</f>
        <v/>
      </c>
      <c r="C141" s="25"/>
      <c r="D141" s="25"/>
      <c r="E141" s="255"/>
      <c r="F141" s="25"/>
      <c r="G141" s="25"/>
    </row>
    <row r="142" spans="2:7">
      <c r="B142" s="25" t="str">
        <f>IF(C142="","","PID-"&amp;TEXT(ROW()-2,"0000"))</f>
        <v/>
      </c>
      <c r="C142" s="25"/>
      <c r="D142" s="25"/>
      <c r="E142" s="255"/>
      <c r="F142" s="25"/>
      <c r="G142" s="25"/>
    </row>
    <row r="143" spans="2:7">
      <c r="B143" s="25" t="str">
        <f>IF(C143="","","PID-"&amp;TEXT(ROW()-2,"0000"))</f>
        <v/>
      </c>
      <c r="C143" s="25"/>
      <c r="D143" s="25"/>
      <c r="E143" s="255"/>
      <c r="F143" s="25"/>
      <c r="G143" s="25"/>
    </row>
    <row r="144" spans="2:7">
      <c r="B144" s="25" t="str">
        <f>IF(C144="","","PID-"&amp;TEXT(ROW()-2,"0000"))</f>
        <v/>
      </c>
      <c r="C144" s="25"/>
      <c r="D144" s="25"/>
      <c r="E144" s="255"/>
      <c r="F144" s="25"/>
      <c r="G144" s="25"/>
    </row>
    <row r="145" spans="2:7">
      <c r="B145" s="25" t="str">
        <f>IF(C145="","","PID-"&amp;TEXT(ROW()-2,"0000"))</f>
        <v/>
      </c>
      <c r="C145" s="25"/>
      <c r="D145" s="25"/>
      <c r="E145" s="255"/>
      <c r="F145" s="25"/>
      <c r="G145" s="25"/>
    </row>
    <row r="146" spans="2:7">
      <c r="B146" s="25" t="str">
        <f>IF(C146="","","PID-"&amp;TEXT(ROW()-2,"0000"))</f>
        <v/>
      </c>
      <c r="C146" s="25"/>
      <c r="D146" s="25"/>
      <c r="E146" s="255"/>
      <c r="F146" s="25"/>
      <c r="G146" s="25"/>
    </row>
    <row r="147" spans="2:7">
      <c r="B147" s="25" t="str">
        <f>IF(C147="","","PID-"&amp;TEXT(ROW()-2,"0000"))</f>
        <v/>
      </c>
      <c r="C147" s="25"/>
      <c r="D147" s="25"/>
      <c r="E147" s="255"/>
      <c r="F147" s="25"/>
      <c r="G147" s="25"/>
    </row>
    <row r="148" spans="2:7">
      <c r="B148" s="25" t="str">
        <f>IF(C148="","","PID-"&amp;TEXT(ROW()-2,"0000"))</f>
        <v/>
      </c>
      <c r="C148" s="25"/>
      <c r="D148" s="25"/>
      <c r="E148" s="255"/>
      <c r="F148" s="25"/>
      <c r="G148" s="25"/>
    </row>
    <row r="149" spans="2:7">
      <c r="B149" s="25" t="str">
        <f>IF(C149="","","PID-"&amp;TEXT(ROW()-2,"0000"))</f>
        <v/>
      </c>
      <c r="C149" s="25"/>
      <c r="D149" s="25"/>
      <c r="E149" s="255"/>
      <c r="F149" s="25"/>
      <c r="G149" s="25"/>
    </row>
    <row r="150" spans="2:7">
      <c r="B150" s="25" t="str">
        <f>IF(C150="","","PID-"&amp;TEXT(ROW()-2,"0000"))</f>
        <v/>
      </c>
      <c r="C150" s="25"/>
      <c r="D150" s="25"/>
      <c r="E150" s="255"/>
      <c r="F150" s="25"/>
      <c r="G150" s="25"/>
    </row>
    <row r="151" spans="2:7">
      <c r="B151" s="25" t="str">
        <f>IF(C151="","","PID-"&amp;TEXT(ROW()-2,"0000"))</f>
        <v/>
      </c>
      <c r="C151" s="25"/>
      <c r="D151" s="25"/>
      <c r="E151" s="255"/>
      <c r="F151" s="25"/>
      <c r="G151" s="25"/>
    </row>
    <row r="152" spans="2:7">
      <c r="B152" s="25" t="str">
        <f>IF(C152="","","PID-"&amp;TEXT(ROW()-2,"0000"))</f>
        <v/>
      </c>
      <c r="C152" s="25"/>
      <c r="D152" s="25"/>
      <c r="E152" s="255"/>
      <c r="F152" s="25"/>
      <c r="G152" s="25"/>
    </row>
    <row r="153" spans="2:7">
      <c r="B153" s="25" t="str">
        <f>IF(C153="","","PID-"&amp;TEXT(ROW()-2,"0000"))</f>
        <v/>
      </c>
      <c r="C153" s="25"/>
      <c r="D153" s="25"/>
      <c r="E153" s="255"/>
      <c r="F153" s="25"/>
      <c r="G153" s="25"/>
    </row>
    <row r="154" spans="2:7">
      <c r="B154" s="25" t="str">
        <f>IF(C154="","","PID-"&amp;TEXT(ROW()-2,"0000"))</f>
        <v/>
      </c>
      <c r="C154" s="25"/>
      <c r="D154" s="25"/>
      <c r="E154" s="255"/>
      <c r="F154" s="25"/>
      <c r="G154" s="25"/>
    </row>
    <row r="155" spans="2:7">
      <c r="B155" s="25" t="str">
        <f>IF(C155="","","PID-"&amp;TEXT(ROW()-2,"0000"))</f>
        <v/>
      </c>
      <c r="C155" s="25"/>
      <c r="D155" s="25"/>
      <c r="E155" s="255"/>
      <c r="F155" s="25"/>
      <c r="G155" s="25"/>
    </row>
    <row r="156" spans="2:7">
      <c r="B156" s="25" t="str">
        <f>IF(C156="","","PID-"&amp;TEXT(ROW()-2,"0000"))</f>
        <v/>
      </c>
      <c r="C156" s="25"/>
      <c r="D156" s="25"/>
      <c r="E156" s="255"/>
      <c r="F156" s="25"/>
      <c r="G156" s="25"/>
    </row>
    <row r="157" spans="2:7">
      <c r="B157" s="25" t="str">
        <f>IF(C157="","","PID-"&amp;TEXT(ROW()-2,"0000"))</f>
        <v/>
      </c>
      <c r="C157" s="25"/>
      <c r="D157" s="25"/>
      <c r="E157" s="255"/>
      <c r="F157" s="25"/>
      <c r="G157" s="25"/>
    </row>
    <row r="158" spans="2:7">
      <c r="B158" s="25" t="str">
        <f>IF(C158="","","PID-"&amp;TEXT(ROW()-2,"0000"))</f>
        <v/>
      </c>
      <c r="C158" s="25"/>
      <c r="D158" s="25"/>
      <c r="E158" s="255"/>
      <c r="F158" s="25"/>
      <c r="G158" s="25"/>
    </row>
    <row r="159" spans="2:7">
      <c r="B159" s="25" t="str">
        <f>IF(C159="","","PID-"&amp;TEXT(ROW()-2,"0000"))</f>
        <v/>
      </c>
      <c r="C159" s="25"/>
      <c r="D159" s="25"/>
      <c r="E159" s="255"/>
      <c r="F159" s="25"/>
      <c r="G159" s="25"/>
    </row>
    <row r="160" spans="2:7">
      <c r="B160" s="25" t="str">
        <f>IF(C160="","","PID-"&amp;TEXT(ROW()-2,"0000"))</f>
        <v/>
      </c>
      <c r="C160" s="25"/>
      <c r="D160" s="25"/>
      <c r="E160" s="255"/>
      <c r="F160" s="25"/>
      <c r="G160" s="25"/>
    </row>
    <row r="161" spans="2:7">
      <c r="B161" s="25" t="str">
        <f>IF(C161="","","PID-"&amp;TEXT(ROW()-2,"0000"))</f>
        <v/>
      </c>
      <c r="C161" s="25"/>
      <c r="D161" s="25"/>
      <c r="E161" s="255"/>
      <c r="F161" s="25"/>
      <c r="G161" s="25"/>
    </row>
    <row r="162" spans="2:7">
      <c r="B162" s="25" t="str">
        <f>IF(C162="","","PID-"&amp;TEXT(ROW()-2,"0000"))</f>
        <v/>
      </c>
      <c r="C162" s="25"/>
      <c r="D162" s="25"/>
      <c r="E162" s="255"/>
      <c r="F162" s="25"/>
      <c r="G162" s="25"/>
    </row>
    <row r="163" spans="2:7">
      <c r="B163" s="25" t="str">
        <f>IF(C163="","","PID-"&amp;TEXT(ROW()-2,"0000"))</f>
        <v/>
      </c>
      <c r="C163" s="25"/>
      <c r="D163" s="25"/>
      <c r="E163" s="255"/>
      <c r="F163" s="25"/>
      <c r="G163" s="25"/>
    </row>
    <row r="164" spans="2:7">
      <c r="B164" s="25" t="str">
        <f>IF(C164="","","PID-"&amp;TEXT(ROW()-2,"0000"))</f>
        <v/>
      </c>
      <c r="C164" s="25"/>
      <c r="D164" s="25"/>
      <c r="E164" s="255"/>
      <c r="F164" s="25"/>
      <c r="G164" s="25"/>
    </row>
    <row r="165" spans="2:7">
      <c r="B165" s="25" t="str">
        <f>IF(C165="","","PID-"&amp;TEXT(ROW()-2,"0000"))</f>
        <v/>
      </c>
      <c r="C165" s="25"/>
      <c r="D165" s="25"/>
      <c r="E165" s="255"/>
      <c r="F165" s="25"/>
      <c r="G165" s="25"/>
    </row>
    <row r="166" spans="2:7">
      <c r="B166" s="25" t="str">
        <f>IF(C166="","","PID-"&amp;TEXT(ROW()-2,"0000"))</f>
        <v/>
      </c>
      <c r="C166" s="25"/>
      <c r="D166" s="25"/>
      <c r="E166" s="255"/>
      <c r="F166" s="25"/>
      <c r="G166" s="25"/>
    </row>
    <row r="167" spans="2:7">
      <c r="B167" s="25" t="str">
        <f>IF(C167="","","PID-"&amp;TEXT(ROW()-2,"0000"))</f>
        <v/>
      </c>
      <c r="C167" s="25"/>
      <c r="D167" s="25"/>
      <c r="E167" s="255"/>
      <c r="F167" s="25"/>
      <c r="G167" s="25"/>
    </row>
    <row r="168" spans="2:7">
      <c r="B168" s="25" t="str">
        <f>IF(C168="","","PID-"&amp;TEXT(ROW()-2,"0000"))</f>
        <v/>
      </c>
      <c r="C168" s="25"/>
      <c r="D168" s="25"/>
      <c r="E168" s="255"/>
      <c r="F168" s="25"/>
      <c r="G168" s="25"/>
    </row>
    <row r="169" spans="2:7">
      <c r="B169" s="25" t="str">
        <f>IF(C169="","","PID-"&amp;TEXT(ROW()-2,"0000"))</f>
        <v/>
      </c>
      <c r="C169" s="25"/>
      <c r="D169" s="25"/>
      <c r="E169" s="255"/>
      <c r="F169" s="25"/>
      <c r="G169" s="25"/>
    </row>
    <row r="170" spans="2:7">
      <c r="B170" s="25" t="str">
        <f>IF(C170="","","PID-"&amp;TEXT(ROW()-2,"0000"))</f>
        <v/>
      </c>
      <c r="C170" s="25"/>
      <c r="D170" s="25"/>
      <c r="E170" s="255"/>
      <c r="F170" s="25"/>
      <c r="G170" s="25"/>
    </row>
    <row r="171" spans="2:7">
      <c r="B171" s="25" t="str">
        <f>IF(C171="","","PID-"&amp;TEXT(ROW()-2,"0000"))</f>
        <v/>
      </c>
      <c r="C171" s="25"/>
      <c r="D171" s="25"/>
      <c r="E171" s="255"/>
      <c r="F171" s="25"/>
      <c r="G171" s="25"/>
    </row>
    <row r="172" spans="2:7">
      <c r="B172" s="25" t="str">
        <f>IF(C172="","","PID-"&amp;TEXT(ROW()-2,"0000"))</f>
        <v/>
      </c>
      <c r="C172" s="25"/>
      <c r="D172" s="25"/>
      <c r="E172" s="255"/>
      <c r="F172" s="25"/>
      <c r="G172" s="25"/>
    </row>
    <row r="173" spans="2:7">
      <c r="B173" s="25" t="str">
        <f>IF(C173="","","PID-"&amp;TEXT(ROW()-2,"0000"))</f>
        <v/>
      </c>
      <c r="C173" s="25"/>
      <c r="D173" s="25"/>
      <c r="E173" s="255"/>
      <c r="F173" s="25"/>
      <c r="G173" s="25"/>
    </row>
    <row r="174" spans="2:7">
      <c r="B174" s="25" t="str">
        <f>IF(C174="","","PID-"&amp;TEXT(ROW()-2,"0000"))</f>
        <v/>
      </c>
      <c r="C174" s="25"/>
      <c r="D174" s="25"/>
      <c r="E174" s="255"/>
      <c r="F174" s="25"/>
      <c r="G174" s="25"/>
    </row>
    <row r="175" spans="2:7">
      <c r="B175" s="25" t="str">
        <f>IF(C175="","","PID-"&amp;TEXT(ROW()-2,"0000"))</f>
        <v/>
      </c>
      <c r="C175" s="25"/>
      <c r="D175" s="25"/>
      <c r="E175" s="255"/>
      <c r="F175" s="25"/>
      <c r="G175" s="25"/>
    </row>
    <row r="176" spans="2:7">
      <c r="B176" s="25" t="str">
        <f>IF(C176="","","PID-"&amp;TEXT(ROW()-2,"0000"))</f>
        <v/>
      </c>
      <c r="C176" s="25"/>
      <c r="D176" s="25"/>
      <c r="E176" s="255"/>
      <c r="F176" s="25"/>
      <c r="G176" s="25"/>
    </row>
    <row r="177" spans="2:7">
      <c r="B177" s="25" t="str">
        <f>IF(C177="","","PID-"&amp;TEXT(ROW()-2,"0000"))</f>
        <v/>
      </c>
      <c r="C177" s="25"/>
      <c r="D177" s="25"/>
      <c r="E177" s="255"/>
      <c r="F177" s="25"/>
      <c r="G177" s="25"/>
    </row>
    <row r="178" spans="2:7">
      <c r="B178" s="25" t="str">
        <f>IF(C178="","","PID-"&amp;TEXT(ROW()-2,"0000"))</f>
        <v/>
      </c>
      <c r="C178" s="25"/>
      <c r="D178" s="25"/>
      <c r="E178" s="255"/>
      <c r="F178" s="25"/>
      <c r="G178" s="25"/>
    </row>
    <row r="179" spans="2:7">
      <c r="B179" s="25" t="str">
        <f>IF(C179="","","PID-"&amp;TEXT(ROW()-2,"0000"))</f>
        <v/>
      </c>
      <c r="C179" s="25"/>
      <c r="D179" s="25"/>
      <c r="E179" s="255"/>
      <c r="F179" s="25"/>
      <c r="G179" s="25"/>
    </row>
    <row r="180" spans="2:7">
      <c r="B180" s="25" t="str">
        <f>IF(C180="","","PID-"&amp;TEXT(ROW()-2,"0000"))</f>
        <v/>
      </c>
      <c r="C180" s="25"/>
      <c r="D180" s="25"/>
      <c r="E180" s="255"/>
      <c r="F180" s="25"/>
      <c r="G180" s="25"/>
    </row>
    <row r="181" spans="2:7">
      <c r="B181" s="25" t="str">
        <f>IF(C181="","","PID-"&amp;TEXT(ROW()-2,"0000"))</f>
        <v/>
      </c>
      <c r="C181" s="25"/>
      <c r="D181" s="25"/>
      <c r="E181" s="255"/>
      <c r="F181" s="25"/>
      <c r="G181" s="25"/>
    </row>
    <row r="182" spans="2:7">
      <c r="B182" s="25" t="str">
        <f>IF(C182="","","PID-"&amp;TEXT(ROW()-2,"0000"))</f>
        <v/>
      </c>
      <c r="C182" s="25"/>
      <c r="D182" s="25"/>
      <c r="E182" s="255"/>
      <c r="F182" s="25"/>
      <c r="G182" s="25"/>
    </row>
    <row r="183" spans="2:7">
      <c r="B183" s="25" t="str">
        <f>IF(C183="","","PID-"&amp;TEXT(ROW()-2,"0000"))</f>
        <v/>
      </c>
      <c r="C183" s="25"/>
      <c r="D183" s="25"/>
      <c r="E183" s="255"/>
      <c r="F183" s="25"/>
      <c r="G183" s="25"/>
    </row>
  </sheetData>
  <mergeCells count="1">
    <mergeCell ref="A2:A13"/>
  </mergeCells>
  <conditionalFormatting sqref="D16:E183 E2 E4">
    <cfRule type="expression" dxfId="18" priority="8">
      <formula>AND($C2&lt;&gt;"",D2="")</formula>
    </cfRule>
  </conditionalFormatting>
  <conditionalFormatting sqref="C16:C183">
    <cfRule type="expression" dxfId="17" priority="569">
      <formula>AND(C16&lt;&gt;"",COUNTIF($C$2:$C$183,C16)&gt;1)</formula>
    </cfRule>
    <cfRule type="expression" dxfId="16" priority="570">
      <formula>AND($C16&lt;&gt;"",C16="")</formula>
    </cfRule>
  </conditionalFormatting>
  <conditionalFormatting sqref="F16:F183">
    <cfRule type="expression" dxfId="15" priority="571">
      <formula>AND(F16&lt;&gt;"",COUNTIF($F$2:$F$183,F16)&gt;1)</formula>
    </cfRule>
    <cfRule type="expression" dxfId="14" priority="572">
      <formula>AND(C16&lt;&gt;"",F16="")</formula>
    </cfRule>
  </conditionalFormatting>
  <dataValidations count="1">
    <dataValidation type="whole" allowBlank="1" errorTitle="Invalid year" error="Enter a year between 2014 and 2030." promptTitle="Publication Year" prompt="Enter the publication year (numeric)." sqref="D16:D183" xr:uid="{44849959-4E8A-4687-A2D1-FF94F00C3566}">
      <formula1>2014</formula1>
      <formula2>2030</formula2>
    </dataValidation>
  </dataValidations>
  <hyperlinks>
    <hyperlink ref="F2" r:id="rId1" xr:uid="{A4B93A90-69F9-4132-B0EE-03A50D53C3C2}"/>
    <hyperlink ref="B3" r:id="rId2" xr:uid="{57CCB092-3150-4137-AE97-3A8CEAA059B9}"/>
    <hyperlink ref="F3" r:id="rId3" xr:uid="{A4BEF051-7203-4463-A32B-8EAA6AA246AE}"/>
    <hyperlink ref="B4" r:id="rId4" xr:uid="{713B5886-CAB8-4D9F-8EB8-A6D3D98DCF78}"/>
    <hyperlink ref="F4" r:id="rId5" xr:uid="{EB1B26A2-CCE7-46F2-94E3-5D478D856D48}"/>
    <hyperlink ref="B5" r:id="rId6" xr:uid="{38327158-02BE-4A4A-92C4-725BCEE764B2}"/>
    <hyperlink ref="F5" r:id="rId7" xr:uid="{67E8A1EF-048E-441D-B7C9-BB865C40E684}"/>
    <hyperlink ref="B6" r:id="rId8" display="https://journals.sagepub.com/doi/10.1177/0145482X19842491" xr:uid="{BBE4E8C3-9160-4052-80BD-FE6BA5EC7293}"/>
    <hyperlink ref="B7" r:id="rId9" display="https://pdfs.semanticscholar.org/9dc6/62fe1c66d32fd96ad040285a9ec3af56c912.pdf/1000" xr:uid="{F2845803-4C09-45D9-9184-AD2AC6081FD1}"/>
    <hyperlink ref="B8" r:id="rId10" display="https://ojs.aaai.org/index.php/AAAI/article/view/25233?utm_source=chatgpt.com" xr:uid="{55E9A0F4-2338-43CC-907B-6FC34188E3D9}"/>
    <hyperlink ref="B9" r:id="rId11" display="https://ieeexplore.ieee.org/document/6611022" xr:uid="{544605B3-9BBE-4762-83E6-32BD2A2D35D3}"/>
    <hyperlink ref="B10" r:id="rId12" display="https://ecasp.ece.iit.edu/publications/2012-present/2021-10.pdf" xr:uid="{8897D00E-4650-44F2-9FC5-100A5504261A}"/>
    <hyperlink ref="B11" r:id="rId13" display="https://arxiv.org/abs/2108.09174" xr:uid="{5E70F3EB-8E12-441B-9488-43071FDA7435}"/>
    <hyperlink ref="B12" r:id="rId14" display="https://arxiv.org/abs/2201.03036" xr:uid="{2CACB234-0774-49C0-A2AE-79F7D9346E4D}"/>
    <hyperlink ref="B13" r:id="rId15" display="https://arxiv.org/abs/2201.04453like " xr:uid="{62373C69-EFCA-4CDC-A652-CFC6D7E68585}"/>
    <hyperlink ref="F6" r:id="rId16" xr:uid="{6E05C6D7-D780-46BF-B233-83FE5A03835E}"/>
    <hyperlink ref="F7" r:id="rId17" xr:uid="{D18786D6-A03C-4B0C-AEF3-AEC78B0CA2B4}"/>
    <hyperlink ref="F8" r:id="rId18" xr:uid="{6A9F42E0-9662-461E-B21E-806034271766}"/>
    <hyperlink ref="F9" r:id="rId19" xr:uid="{51C4FFCE-8A4D-437F-ADDD-031ADC6B17BE}"/>
    <hyperlink ref="F10" r:id="rId20" xr:uid="{6F21DF0C-7CB1-45A6-A531-DD22F9ABA552}"/>
    <hyperlink ref="F11" r:id="rId21" xr:uid="{E669D2BD-5952-4C21-8606-BE0106855300}"/>
    <hyperlink ref="F13" r:id="rId22" xr:uid="{79C24D5E-DFCC-46F3-A0C8-65E11B967762}"/>
    <hyperlink ref="F12" r:id="rId23" xr:uid="{08F91CFE-4666-4A7B-BE63-D8C2E34694E4}"/>
  </hyperlinks>
  <pageMargins left="0.75" right="0.75" top="1" bottom="1" header="0.511811023622047" footer="0.511811023622047"/>
  <pageSetup paperSize="9" orientation="portrait" horizontalDpi="300" verticalDpi="300"/>
  <tableParts count="1">
    <tablePart r:id="rId24"/>
  </tableParts>
  <extLst>
    <ext xmlns:x14="http://schemas.microsoft.com/office/spreadsheetml/2009/9/main" uri="{CCE6A557-97BC-4b89-ADB6-D9C93CAAB3DF}">
      <x14:dataValidations xmlns:xm="http://schemas.microsoft.com/office/excel/2006/main" count="1">
        <x14:dataValidation type="list" allowBlank="1" errorTitle="Invalid entry" error="Please choose a value from the dropdown list." promptTitle="Publisher" prompt="Select the publisher." xr:uid="{FA679EF6-9180-42F9-8CA2-FA7EE0CA4375}">
          <x14:formula1>
            <xm:f>Lists!$B$2:$B$11</xm:f>
          </x14:formula1>
          <x14:formula2>
            <xm:f>0</xm:f>
          </x14:formula2>
          <xm:sqref>E2 E4 E16:E183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B5394"/>
  </sheetPr>
  <dimension ref="B2:D25"/>
  <sheetViews>
    <sheetView showGridLines="0" zoomScaleNormal="100" workbookViewId="0">
      <selection activeCell="D13" sqref="D13"/>
    </sheetView>
  </sheetViews>
  <sheetFormatPr defaultColWidth="8.7109375" defaultRowHeight="15"/>
  <cols>
    <col min="1" max="1" width="3" customWidth="1"/>
    <col min="2" max="2" width="40" customWidth="1"/>
    <col min="3" max="3" width="16" customWidth="1"/>
    <col min="4" max="4" width="50" customWidth="1"/>
  </cols>
  <sheetData>
    <row r="2" spans="2:4" ht="21">
      <c r="B2" s="3" t="s">
        <v>723</v>
      </c>
    </row>
    <row r="3" spans="2:4">
      <c r="B3" s="4" t="s">
        <v>724</v>
      </c>
    </row>
    <row r="5" spans="2:4">
      <c r="B5" s="1" t="s">
        <v>725</v>
      </c>
      <c r="C5" s="1" t="s">
        <v>726</v>
      </c>
      <c r="D5" s="1" t="s">
        <v>727</v>
      </c>
    </row>
    <row r="6" spans="2:4">
      <c r="B6" s="5" t="s">
        <v>728</v>
      </c>
      <c r="C6" s="6">
        <v>141</v>
      </c>
      <c r="D6" s="7" t="s">
        <v>729</v>
      </c>
    </row>
    <row r="7" spans="2:4">
      <c r="B7" s="5" t="s">
        <v>730</v>
      </c>
      <c r="C7" s="6">
        <v>4</v>
      </c>
      <c r="D7" s="7" t="s">
        <v>731</v>
      </c>
    </row>
    <row r="8" spans="2:4">
      <c r="B8" s="5" t="s">
        <v>732</v>
      </c>
      <c r="C8" s="8">
        <f>C6-C7</f>
        <v>137</v>
      </c>
      <c r="D8" s="7" t="s">
        <v>733</v>
      </c>
    </row>
    <row r="9" spans="2:4">
      <c r="B9" s="5" t="s">
        <v>734</v>
      </c>
      <c r="C9" s="6">
        <v>2</v>
      </c>
      <c r="D9" s="7" t="s">
        <v>735</v>
      </c>
    </row>
    <row r="10" spans="2:4">
      <c r="B10" s="5" t="s">
        <v>736</v>
      </c>
      <c r="C10" s="8">
        <v>135</v>
      </c>
      <c r="D10" s="7" t="s">
        <v>737</v>
      </c>
    </row>
    <row r="11" spans="2:4">
      <c r="B11" s="5" t="s">
        <v>738</v>
      </c>
      <c r="C11" s="6">
        <v>0</v>
      </c>
      <c r="D11" s="7" t="s">
        <v>739</v>
      </c>
    </row>
    <row r="12" spans="2:4">
      <c r="B12" s="5" t="s">
        <v>740</v>
      </c>
      <c r="C12" s="8">
        <f>C10-C11</f>
        <v>135</v>
      </c>
      <c r="D12" s="7" t="s">
        <v>741</v>
      </c>
    </row>
    <row r="13" spans="2:4">
      <c r="C13" s="33"/>
    </row>
    <row r="16" spans="2:4" ht="15.75">
      <c r="B16" s="9"/>
    </row>
    <row r="17" spans="2:3">
      <c r="B17" s="10" t="s">
        <v>742</v>
      </c>
      <c r="C17" s="10" t="s">
        <v>726</v>
      </c>
    </row>
    <row r="18" spans="2:3">
      <c r="B18" s="5" t="s">
        <v>743</v>
      </c>
      <c r="C18" s="11">
        <v>0</v>
      </c>
    </row>
    <row r="19" spans="2:3">
      <c r="B19" s="5" t="s">
        <v>744</v>
      </c>
      <c r="C19" s="11">
        <v>0</v>
      </c>
    </row>
    <row r="20" spans="2:3">
      <c r="B20" s="5" t="s">
        <v>745</v>
      </c>
      <c r="C20" s="11">
        <v>0</v>
      </c>
    </row>
    <row r="21" spans="2:3">
      <c r="B21" s="5" t="s">
        <v>746</v>
      </c>
      <c r="C21" s="11">
        <v>0</v>
      </c>
    </row>
    <row r="22" spans="2:3">
      <c r="B22" s="5" t="s">
        <v>747</v>
      </c>
      <c r="C22" s="11">
        <v>0</v>
      </c>
    </row>
    <row r="23" spans="2:3">
      <c r="B23" s="5" t="s">
        <v>748</v>
      </c>
      <c r="C23" s="11">
        <v>0</v>
      </c>
    </row>
    <row r="25" spans="2:3">
      <c r="B25" s="12" t="s">
        <v>749</v>
      </c>
      <c r="C25" s="13">
        <f>SUM(C18:C23)</f>
        <v>0</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72C"/>
  </sheetPr>
  <dimension ref="B2:D117"/>
  <sheetViews>
    <sheetView showGridLines="0" topLeftCell="A65" zoomScaleNormal="100" workbookViewId="0">
      <selection activeCell="Y24" sqref="Y24"/>
    </sheetView>
  </sheetViews>
  <sheetFormatPr defaultColWidth="8.7109375" defaultRowHeight="15"/>
  <cols>
    <col min="1" max="1" width="3" customWidth="1"/>
    <col min="2" max="2" width="34" customWidth="1"/>
    <col min="3" max="3" width="3" customWidth="1"/>
    <col min="4" max="4" width="14" customWidth="1"/>
    <col min="5" max="5" width="3" customWidth="1"/>
  </cols>
  <sheetData>
    <row r="2" spans="2:4" ht="21">
      <c r="B2" s="3" t="s">
        <v>750</v>
      </c>
    </row>
    <row r="3" spans="2:4">
      <c r="B3" s="4" t="s">
        <v>751</v>
      </c>
    </row>
    <row r="5" spans="2:4" ht="15.75">
      <c r="B5" s="9" t="s">
        <v>752</v>
      </c>
    </row>
    <row r="6" spans="2:4" ht="15.75">
      <c r="B6" s="14" t="s">
        <v>753</v>
      </c>
      <c r="D6" s="239">
        <f>COUNTA('Main '!$C$2:$C$319)</f>
        <v>107</v>
      </c>
    </row>
    <row r="7" spans="2:4" ht="15.75">
      <c r="B7" s="14" t="s">
        <v>754</v>
      </c>
      <c r="D7" s="15" t="e">
        <f>COUNTIF('Main '!#REF!,"Completed")+COUNTIF('Main '!#REF!,"Verified")</f>
        <v>#REF!</v>
      </c>
    </row>
    <row r="8" spans="2:4" ht="15.75">
      <c r="B8" s="14" t="s">
        <v>755</v>
      </c>
      <c r="D8" s="15" t="e">
        <f>COUNTIF('Main '!#REF!,"Verified")</f>
        <v>#REF!</v>
      </c>
    </row>
    <row r="9" spans="2:4" ht="15.75">
      <c r="B9" s="14" t="s">
        <v>756</v>
      </c>
      <c r="D9" s="238">
        <f>IFERROR((COUNTIF('Main '!#REF!,"Completed")+COUNTIF('Main '!#REF!,"Verified"))/COUNTA('Main '!$C$2:$C$319),0)</f>
        <v>0</v>
      </c>
    </row>
    <row r="10" spans="2:4" ht="15.75">
      <c r="B10" s="14" t="s">
        <v>757</v>
      </c>
      <c r="D10" s="238">
        <f>IFERROR(COUNTIF('Main '!#REF!,"Verified")/COUNTA('Main '!$C$2:$C$319),0)</f>
        <v>0</v>
      </c>
    </row>
    <row r="13" spans="2:4" ht="15.75">
      <c r="B13" s="9" t="s">
        <v>758</v>
      </c>
    </row>
    <row r="14" spans="2:4">
      <c r="B14" s="16" t="s">
        <v>759</v>
      </c>
      <c r="D14" s="16" t="s">
        <v>760</v>
      </c>
    </row>
    <row r="15" spans="2:4">
      <c r="B15" s="5">
        <v>2014</v>
      </c>
      <c r="D15" s="237">
        <f>COUNTIF('Main '!$D$2:$D$319,"2014")</f>
        <v>2</v>
      </c>
    </row>
    <row r="16" spans="2:4">
      <c r="B16" s="5">
        <v>2015</v>
      </c>
      <c r="D16" s="237">
        <f>COUNTIF('Main '!$D$2:$D$319,"2015")</f>
        <v>1</v>
      </c>
    </row>
    <row r="17" spans="2:4">
      <c r="B17" s="5">
        <v>2016</v>
      </c>
      <c r="D17" s="237">
        <f>COUNTIF('Main '!$D$2:$D$319,"2016")</f>
        <v>0</v>
      </c>
    </row>
    <row r="18" spans="2:4">
      <c r="B18" s="5">
        <v>2017</v>
      </c>
      <c r="D18" s="237">
        <f>COUNTIF('Main '!$D$2:$D$319,"2017")</f>
        <v>0</v>
      </c>
    </row>
    <row r="19" spans="2:4">
      <c r="B19" s="5">
        <v>2018</v>
      </c>
      <c r="D19" s="237">
        <f>COUNTIF('Main '!$D$2:$D$319,"2018")</f>
        <v>1</v>
      </c>
    </row>
    <row r="20" spans="2:4">
      <c r="B20" s="5">
        <v>2019</v>
      </c>
      <c r="D20" s="237">
        <f>COUNTIF('Main '!$D$2:$D$319,"2019")</f>
        <v>3</v>
      </c>
    </row>
    <row r="21" spans="2:4">
      <c r="B21" s="5">
        <v>2020</v>
      </c>
      <c r="D21" s="237">
        <f>COUNTIF('Main '!$D$2:$D$319,"2020")</f>
        <v>4</v>
      </c>
    </row>
    <row r="22" spans="2:4">
      <c r="B22" s="5">
        <v>2021</v>
      </c>
      <c r="D22" s="237">
        <f>COUNTIF('Main '!$D$2:$D$319,"2021")</f>
        <v>9</v>
      </c>
    </row>
    <row r="23" spans="2:4">
      <c r="B23" s="5">
        <v>2022</v>
      </c>
      <c r="D23" s="237">
        <f>COUNTIF('Main '!$D$2:$D$319,"2022")</f>
        <v>5</v>
      </c>
    </row>
    <row r="24" spans="2:4">
      <c r="B24" s="5">
        <v>2023</v>
      </c>
      <c r="D24" s="237">
        <f>COUNTIF('Main '!$D$2:$D$319,"2023")</f>
        <v>15</v>
      </c>
    </row>
    <row r="25" spans="2:4">
      <c r="B25" s="5">
        <v>2024</v>
      </c>
      <c r="D25" s="237">
        <f>COUNTIF('Main '!$D$2:$D$319,"2024")</f>
        <v>9</v>
      </c>
    </row>
    <row r="26" spans="2:4">
      <c r="B26" s="5">
        <v>2025</v>
      </c>
      <c r="D26" s="237">
        <f>COUNTIF('Main '!$D$2:$D$319,"2025")</f>
        <v>11</v>
      </c>
    </row>
    <row r="27" spans="2:4">
      <c r="B27" s="5">
        <v>2026</v>
      </c>
      <c r="D27" s="237">
        <f>COUNTIF('Main '!$D$2:$D$319,"2026")</f>
        <v>12</v>
      </c>
    </row>
    <row r="28" spans="2:4">
      <c r="B28" s="5">
        <v>2027</v>
      </c>
      <c r="D28" s="237">
        <f>COUNTIF('Main '!$D$2:$D$319,"2027")</f>
        <v>0</v>
      </c>
    </row>
    <row r="31" spans="2:4" ht="15.75">
      <c r="B31" s="9" t="s">
        <v>761</v>
      </c>
    </row>
    <row r="32" spans="2:4">
      <c r="B32" s="16" t="s">
        <v>759</v>
      </c>
      <c r="D32" s="16" t="s">
        <v>760</v>
      </c>
    </row>
    <row r="33" spans="2:4">
      <c r="B33" s="5" t="s">
        <v>64</v>
      </c>
      <c r="D33" s="237">
        <f>COUNTIF('Main '!$E$2:$E$319,"IEEE")</f>
        <v>14</v>
      </c>
    </row>
    <row r="34" spans="2:4">
      <c r="B34" s="5" t="s">
        <v>107</v>
      </c>
      <c r="D34" s="237">
        <f>COUNTIF('Main '!$E$2:$E$319,"ACM")</f>
        <v>2</v>
      </c>
    </row>
    <row r="35" spans="2:4">
      <c r="B35" s="5" t="s">
        <v>135</v>
      </c>
      <c r="D35" s="237">
        <f>COUNTIF('Main '!$E$2:$E$319,"Springer")</f>
        <v>19</v>
      </c>
    </row>
    <row r="36" spans="2:4">
      <c r="B36" s="5" t="s">
        <v>18</v>
      </c>
      <c r="D36" s="237">
        <f>COUNTIF('Main '!$E$2:$E$319,"Elsevier")</f>
        <v>15</v>
      </c>
    </row>
    <row r="37" spans="2:4">
      <c r="B37" s="5" t="s">
        <v>762</v>
      </c>
      <c r="D37" s="237">
        <f>COUNTIF('Main '!$E$2:$E$319,"MDPI")</f>
        <v>1</v>
      </c>
    </row>
    <row r="38" spans="2:4">
      <c r="B38" s="5" t="s">
        <v>100</v>
      </c>
      <c r="D38" s="237">
        <f>COUNTIF('Main '!$E$2:$E$319,"Wiley")</f>
        <v>4</v>
      </c>
    </row>
    <row r="39" spans="2:4">
      <c r="B39" s="5" t="s">
        <v>94</v>
      </c>
      <c r="D39" s="17">
        <v>1</v>
      </c>
    </row>
    <row r="40" spans="2:4">
      <c r="B40" s="5" t="s">
        <v>150</v>
      </c>
      <c r="D40" s="237">
        <f>COUNTIF('Main '!$E$2:$E$319,"Nature")</f>
        <v>14</v>
      </c>
    </row>
    <row r="41" spans="2:4">
      <c r="B41" s="5" t="s">
        <v>75</v>
      </c>
      <c r="D41" s="237">
        <f>COUNTIF('Main '!$E$2:$E$319,"arXiv")</f>
        <v>3</v>
      </c>
    </row>
    <row r="42" spans="2:4">
      <c r="B42" s="5" t="s">
        <v>748</v>
      </c>
      <c r="D42" s="237">
        <f>COUNTIF('Main '!$E$2:$E$319,"Other")</f>
        <v>0</v>
      </c>
    </row>
    <row r="45" spans="2:4" ht="15.75">
      <c r="B45" s="9" t="s">
        <v>763</v>
      </c>
    </row>
    <row r="46" spans="2:4">
      <c r="B46" s="16" t="s">
        <v>759</v>
      </c>
      <c r="D46" s="16" t="s">
        <v>760</v>
      </c>
    </row>
    <row r="47" spans="2:4">
      <c r="B47" s="5" t="s">
        <v>764</v>
      </c>
      <c r="D47" s="17" t="e">
        <f>COUNTIF('Main '!#REF!,"SOC team")</f>
        <v>#REF!</v>
      </c>
    </row>
    <row r="48" spans="2:4">
      <c r="B48" s="5" t="s">
        <v>765</v>
      </c>
      <c r="D48" s="17" t="e">
        <f>COUNTIF('Main '!#REF!,"Penetration Team")</f>
        <v>#REF!</v>
      </c>
    </row>
    <row r="49" spans="2:4">
      <c r="B49" s="5" t="s">
        <v>766</v>
      </c>
      <c r="D49" s="17" t="e">
        <f>COUNTIF('Main '!#REF!,"Database team")</f>
        <v>#REF!</v>
      </c>
    </row>
    <row r="50" spans="2:4">
      <c r="B50" s="5" t="s">
        <v>767</v>
      </c>
      <c r="D50" s="17" t="e">
        <f>COUNTIF('Main '!#REF!,"Web")</f>
        <v>#REF!</v>
      </c>
    </row>
    <row r="53" spans="2:4" ht="15.75">
      <c r="B53" s="9" t="s">
        <v>768</v>
      </c>
    </row>
    <row r="54" spans="2:4">
      <c r="B54" s="16" t="s">
        <v>759</v>
      </c>
      <c r="D54" s="16" t="s">
        <v>760</v>
      </c>
    </row>
    <row r="55" spans="2:4">
      <c r="B55" s="5" t="s">
        <v>769</v>
      </c>
      <c r="D55" s="17" t="e">
        <f>COUNTIF('Main '!#REF!,"NSL-KDD")</f>
        <v>#REF!</v>
      </c>
    </row>
    <row r="56" spans="2:4">
      <c r="B56" s="5" t="s">
        <v>770</v>
      </c>
      <c r="D56" s="17" t="e">
        <f>COUNTIF('Main '!#REF!,"CICIDS2017")</f>
        <v>#REF!</v>
      </c>
    </row>
    <row r="57" spans="2:4">
      <c r="B57" s="5" t="s">
        <v>771</v>
      </c>
      <c r="D57" s="17" t="e">
        <f>COUNTIF('Main '!#REF!,"CICIDS2018")</f>
        <v>#REF!</v>
      </c>
    </row>
    <row r="58" spans="2:4">
      <c r="B58" s="5" t="s">
        <v>772</v>
      </c>
      <c r="D58" s="17" t="e">
        <f>COUNTIF('Main '!#REF!,"UNSW-NB15")</f>
        <v>#REF!</v>
      </c>
    </row>
    <row r="59" spans="2:4">
      <c r="B59" s="5" t="s">
        <v>773</v>
      </c>
      <c r="D59" s="17" t="e">
        <f>COUNTIF('Main '!#REF!,"KDD Cup 99")</f>
        <v>#REF!</v>
      </c>
    </row>
    <row r="60" spans="2:4">
      <c r="B60" s="5" t="s">
        <v>774</v>
      </c>
      <c r="D60" s="17" t="e">
        <f>COUNTIF('Main '!#REF!,"CSE-CIC-IDS2018")</f>
        <v>#REF!</v>
      </c>
    </row>
    <row r="61" spans="2:4">
      <c r="B61" s="5" t="s">
        <v>775</v>
      </c>
      <c r="D61" s="17" t="e">
        <f>COUNTIF('Main '!#REF!,"TON_IoT")</f>
        <v>#REF!</v>
      </c>
    </row>
    <row r="62" spans="2:4">
      <c r="B62" s="5" t="s">
        <v>776</v>
      </c>
      <c r="D62" s="17" t="e">
        <f>COUNTIF('Main '!#REF!,"OWASP Benchmark")</f>
        <v>#REF!</v>
      </c>
    </row>
    <row r="63" spans="2:4">
      <c r="B63" s="5" t="s">
        <v>777</v>
      </c>
      <c r="D63" s="17" t="e">
        <f>COUNTIF('Main '!#REF!,"Custom Dataset")</f>
        <v>#REF!</v>
      </c>
    </row>
    <row r="64" spans="2:4">
      <c r="B64" s="5" t="s">
        <v>778</v>
      </c>
      <c r="D64" s="17" t="e">
        <f>COUNTIF('Main '!#REF!,"Synthetic Dataset")</f>
        <v>#REF!</v>
      </c>
    </row>
    <row r="65" spans="2:4">
      <c r="B65" s="5" t="s">
        <v>748</v>
      </c>
      <c r="D65" s="17" t="e">
        <f>COUNTIF('Main '!#REF!,"Other")</f>
        <v>#REF!</v>
      </c>
    </row>
    <row r="68" spans="2:4" ht="15.75">
      <c r="B68" s="9" t="s">
        <v>779</v>
      </c>
    </row>
    <row r="69" spans="2:4">
      <c r="B69" s="16" t="s">
        <v>759</v>
      </c>
      <c r="D69" s="16" t="s">
        <v>760</v>
      </c>
    </row>
    <row r="70" spans="2:4">
      <c r="B70" s="5" t="s">
        <v>780</v>
      </c>
      <c r="D70" s="17">
        <v>22</v>
      </c>
    </row>
    <row r="71" spans="2:4">
      <c r="B71" s="5" t="s">
        <v>781</v>
      </c>
      <c r="D71" s="17">
        <v>18</v>
      </c>
    </row>
    <row r="72" spans="2:4">
      <c r="B72" s="5" t="s">
        <v>782</v>
      </c>
      <c r="D72" s="17">
        <v>15</v>
      </c>
    </row>
    <row r="73" spans="2:4">
      <c r="B73" s="5" t="s">
        <v>783</v>
      </c>
      <c r="D73" s="17">
        <v>15</v>
      </c>
    </row>
    <row r="74" spans="2:4">
      <c r="B74" s="5" t="s">
        <v>784</v>
      </c>
      <c r="D74" s="17">
        <v>28</v>
      </c>
    </row>
    <row r="75" spans="2:4">
      <c r="B75" s="5" t="s">
        <v>785</v>
      </c>
      <c r="D75" s="17">
        <v>8</v>
      </c>
    </row>
    <row r="76" spans="2:4">
      <c r="B76" s="5" t="s">
        <v>786</v>
      </c>
      <c r="D76" s="17">
        <v>10</v>
      </c>
    </row>
    <row r="77" spans="2:4">
      <c r="B77" s="5" t="s">
        <v>787</v>
      </c>
      <c r="D77" s="17">
        <v>7</v>
      </c>
    </row>
    <row r="78" spans="2:4">
      <c r="B78" s="5" t="s">
        <v>788</v>
      </c>
      <c r="D78" s="17">
        <v>6</v>
      </c>
    </row>
    <row r="79" spans="2:4">
      <c r="B79" s="5" t="s">
        <v>789</v>
      </c>
      <c r="D79" s="17">
        <v>5</v>
      </c>
    </row>
    <row r="80" spans="2:4">
      <c r="B80" s="5" t="s">
        <v>790</v>
      </c>
      <c r="D80" s="17">
        <v>4</v>
      </c>
    </row>
    <row r="81" spans="2:4">
      <c r="B81" s="5" t="s">
        <v>791</v>
      </c>
      <c r="D81" s="17">
        <v>3</v>
      </c>
    </row>
    <row r="84" spans="2:4" ht="15.75">
      <c r="B84" s="9" t="s">
        <v>792</v>
      </c>
    </row>
    <row r="85" spans="2:4">
      <c r="B85" s="16" t="s">
        <v>759</v>
      </c>
      <c r="D85" s="16" t="s">
        <v>760</v>
      </c>
    </row>
    <row r="86" spans="2:4">
      <c r="B86" s="5" t="s">
        <v>793</v>
      </c>
      <c r="D86" s="17" t="e">
        <f>COUNTIF('Main '!#REF!,"Application")</f>
        <v>#REF!</v>
      </c>
    </row>
    <row r="87" spans="2:4">
      <c r="B87" s="5" t="s">
        <v>794</v>
      </c>
      <c r="D87" s="17" t="e">
        <f>COUNTIF('Main '!#REF!,"Network")</f>
        <v>#REF!</v>
      </c>
    </row>
    <row r="88" spans="2:4">
      <c r="B88" s="5" t="s">
        <v>795</v>
      </c>
      <c r="D88" s="17" t="e">
        <f>COUNTIF('Main '!#REF!,"Host")</f>
        <v>#REF!</v>
      </c>
    </row>
    <row r="89" spans="2:4">
      <c r="B89" s="5" t="s">
        <v>796</v>
      </c>
      <c r="D89" s="17" t="e">
        <f>COUNTIF('Main '!#REF!,"Cloud")</f>
        <v>#REF!</v>
      </c>
    </row>
    <row r="90" spans="2:4">
      <c r="B90" s="5" t="s">
        <v>797</v>
      </c>
      <c r="D90" s="17" t="e">
        <f>COUNTIF('Main '!#REF!,"Database")</f>
        <v>#REF!</v>
      </c>
    </row>
    <row r="91" spans="2:4">
      <c r="B91" s="5" t="s">
        <v>798</v>
      </c>
      <c r="D91" s="17" t="e">
        <f>COUNTIF('Main '!#REF!,"Endpoint")</f>
        <v>#REF!</v>
      </c>
    </row>
    <row r="92" spans="2:4">
      <c r="B92" s="5" t="s">
        <v>799</v>
      </c>
      <c r="D92" s="17" t="e">
        <f>COUNTIF('Main '!#REF!,"Identity")</f>
        <v>#REF!</v>
      </c>
    </row>
    <row r="93" spans="2:4">
      <c r="B93" s="5" t="s">
        <v>800</v>
      </c>
      <c r="D93" s="17" t="e">
        <f>COUNTIF('Main '!#REF!,"Runtime")</f>
        <v>#REF!</v>
      </c>
    </row>
    <row r="96" spans="2:4" ht="15.75">
      <c r="B96" s="9" t="s">
        <v>801</v>
      </c>
      <c r="D96" s="24"/>
    </row>
    <row r="97" spans="2:4">
      <c r="B97" s="16" t="s">
        <v>759</v>
      </c>
      <c r="D97" s="16" t="s">
        <v>760</v>
      </c>
    </row>
    <row r="98" spans="2:4">
      <c r="B98" s="5" t="s">
        <v>802</v>
      </c>
      <c r="D98" s="5">
        <v>0</v>
      </c>
    </row>
    <row r="99" spans="2:4">
      <c r="B99" s="32" t="s">
        <v>803</v>
      </c>
      <c r="D99" s="32">
        <v>0</v>
      </c>
    </row>
    <row r="100" spans="2:4">
      <c r="B100" s="32" t="s">
        <v>804</v>
      </c>
      <c r="D100" s="32">
        <v>0</v>
      </c>
    </row>
    <row r="101" spans="2:4">
      <c r="B101" s="32" t="s">
        <v>805</v>
      </c>
      <c r="D101" s="32">
        <v>0</v>
      </c>
    </row>
    <row r="102" spans="2:4">
      <c r="B102" s="32" t="s">
        <v>806</v>
      </c>
      <c r="D102" s="32">
        <v>0</v>
      </c>
    </row>
    <row r="103" spans="2:4">
      <c r="B103" s="32" t="s">
        <v>807</v>
      </c>
      <c r="D103" s="32">
        <v>0</v>
      </c>
    </row>
    <row r="104" spans="2:4">
      <c r="B104" s="32" t="s">
        <v>808</v>
      </c>
      <c r="D104" s="32">
        <v>0</v>
      </c>
    </row>
    <row r="105" spans="2:4">
      <c r="B105" s="32" t="s">
        <v>809</v>
      </c>
      <c r="D105" s="32">
        <v>0</v>
      </c>
    </row>
    <row r="106" spans="2:4">
      <c r="B106" s="32" t="s">
        <v>810</v>
      </c>
      <c r="D106" s="32">
        <v>0</v>
      </c>
    </row>
    <row r="107" spans="2:4">
      <c r="B107" s="32" t="s">
        <v>811</v>
      </c>
      <c r="D107" s="32">
        <v>0</v>
      </c>
    </row>
    <row r="108" spans="2:4">
      <c r="B108" s="32" t="s">
        <v>812</v>
      </c>
      <c r="D108" s="32">
        <v>0</v>
      </c>
    </row>
    <row r="109" spans="2:4">
      <c r="B109" s="32" t="s">
        <v>813</v>
      </c>
      <c r="D109" s="32">
        <v>0</v>
      </c>
    </row>
    <row r="110" spans="2:4">
      <c r="B110" s="32" t="s">
        <v>814</v>
      </c>
      <c r="D110" s="32">
        <v>0</v>
      </c>
    </row>
    <row r="111" spans="2:4">
      <c r="B111" s="32" t="s">
        <v>815</v>
      </c>
      <c r="D111" s="32">
        <v>0</v>
      </c>
    </row>
    <row r="112" spans="2:4">
      <c r="B112" s="32" t="s">
        <v>816</v>
      </c>
      <c r="D112" s="32">
        <v>0</v>
      </c>
    </row>
    <row r="113" spans="2:4">
      <c r="B113" s="32" t="s">
        <v>817</v>
      </c>
      <c r="D113" s="32">
        <v>0</v>
      </c>
    </row>
    <row r="114" spans="2:4">
      <c r="B114" s="32" t="s">
        <v>818</v>
      </c>
      <c r="D114" s="32">
        <v>0</v>
      </c>
    </row>
    <row r="115" spans="2:4">
      <c r="B115" s="32" t="s">
        <v>748</v>
      </c>
      <c r="D115" s="32">
        <v>0</v>
      </c>
    </row>
    <row r="116" spans="2:4">
      <c r="B116" s="24"/>
    </row>
    <row r="117" spans="2:4">
      <c r="B117" s="24"/>
    </row>
  </sheetData>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B5394"/>
  </sheetPr>
  <dimension ref="B2:G10"/>
  <sheetViews>
    <sheetView showGridLines="0" topLeftCell="A12" zoomScaleNormal="100" workbookViewId="0"/>
  </sheetViews>
  <sheetFormatPr defaultColWidth="8.7109375" defaultRowHeight="15"/>
  <cols>
    <col min="2" max="2" width="20" customWidth="1"/>
    <col min="3" max="7" width="30" customWidth="1"/>
  </cols>
  <sheetData>
    <row r="2" spans="2:7" ht="21">
      <c r="B2" s="3" t="s">
        <v>819</v>
      </c>
    </row>
    <row r="3" spans="2:7">
      <c r="B3" s="4" t="s">
        <v>820</v>
      </c>
    </row>
    <row r="5" spans="2:7" ht="21.75" customHeight="1">
      <c r="B5" s="1" t="s">
        <v>821</v>
      </c>
      <c r="C5" s="1" t="s">
        <v>822</v>
      </c>
      <c r="D5" s="1" t="s">
        <v>823</v>
      </c>
      <c r="E5" s="1" t="s">
        <v>824</v>
      </c>
      <c r="F5" s="1" t="s">
        <v>825</v>
      </c>
      <c r="G5" s="1" t="s">
        <v>826</v>
      </c>
    </row>
    <row r="6" spans="2:7" ht="60" customHeight="1">
      <c r="B6" s="22" t="s">
        <v>827</v>
      </c>
      <c r="C6" s="23"/>
      <c r="D6" s="23"/>
      <c r="E6" s="23"/>
      <c r="F6" s="23"/>
      <c r="G6" s="23"/>
    </row>
    <row r="7" spans="2:7" ht="60" customHeight="1">
      <c r="B7" s="22" t="s">
        <v>828</v>
      </c>
      <c r="C7" s="23"/>
      <c r="D7" s="23"/>
      <c r="E7" s="23"/>
      <c r="F7" s="23"/>
      <c r="G7" s="23"/>
    </row>
    <row r="8" spans="2:7" ht="60" customHeight="1">
      <c r="B8" s="22" t="s">
        <v>829</v>
      </c>
      <c r="C8" s="23"/>
      <c r="D8" s="23"/>
      <c r="E8" s="23"/>
      <c r="F8" s="23"/>
      <c r="G8" s="23"/>
    </row>
    <row r="9" spans="2:7" ht="60" customHeight="1">
      <c r="B9" s="22" t="s">
        <v>830</v>
      </c>
      <c r="C9" s="23"/>
      <c r="D9" s="23"/>
      <c r="E9" s="23"/>
      <c r="F9" s="23"/>
      <c r="G9" s="23"/>
    </row>
    <row r="10" spans="2:7" ht="60" customHeight="1">
      <c r="B10" s="22" t="s">
        <v>831</v>
      </c>
      <c r="C10" s="23"/>
      <c r="D10" s="23"/>
      <c r="E10" s="23"/>
      <c r="F10" s="23"/>
      <c r="G10" s="23"/>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B5394"/>
  </sheetPr>
  <dimension ref="B2:F19"/>
  <sheetViews>
    <sheetView showGridLines="0" zoomScaleNormal="100" workbookViewId="0"/>
  </sheetViews>
  <sheetFormatPr defaultColWidth="8.7109375" defaultRowHeight="15"/>
  <cols>
    <col min="1" max="1" width="3" customWidth="1"/>
    <col min="2" max="2" width="22" customWidth="1"/>
    <col min="3" max="3" width="28" customWidth="1"/>
    <col min="4" max="4" width="46" customWidth="1"/>
    <col min="5" max="5" width="16" customWidth="1"/>
    <col min="6" max="6" width="34" customWidth="1"/>
  </cols>
  <sheetData>
    <row r="2" spans="2:6" ht="21">
      <c r="B2" s="3" t="s">
        <v>832</v>
      </c>
    </row>
    <row r="3" spans="2:6">
      <c r="B3" s="4" t="s">
        <v>833</v>
      </c>
    </row>
    <row r="5" spans="2:6" ht="21.75" customHeight="1">
      <c r="B5" s="1" t="s">
        <v>759</v>
      </c>
      <c r="C5" s="1" t="s">
        <v>834</v>
      </c>
      <c r="D5" s="1" t="s">
        <v>835</v>
      </c>
      <c r="E5" s="1" t="s">
        <v>836</v>
      </c>
      <c r="F5" s="1" t="s">
        <v>727</v>
      </c>
    </row>
    <row r="6" spans="2:6" ht="25.5">
      <c r="B6" s="5" t="s">
        <v>837</v>
      </c>
      <c r="C6" s="5" t="s">
        <v>838</v>
      </c>
      <c r="D6" s="18" t="s">
        <v>839</v>
      </c>
      <c r="E6" s="19" t="e">
        <f>COUNTIF('Main '!#REF!,"SOC")</f>
        <v>#REF!</v>
      </c>
      <c r="F6" s="5"/>
    </row>
    <row r="7" spans="2:6" ht="25.5">
      <c r="B7" s="5" t="s">
        <v>837</v>
      </c>
      <c r="C7" s="5" t="s">
        <v>840</v>
      </c>
      <c r="D7" s="18" t="s">
        <v>841</v>
      </c>
      <c r="E7" s="19" t="e">
        <f>COUNTIF('Main '!#REF!,"Penetration Testing")</f>
        <v>#REF!</v>
      </c>
      <c r="F7" s="5"/>
    </row>
    <row r="8" spans="2:6" ht="25.5">
      <c r="B8" s="5" t="s">
        <v>837</v>
      </c>
      <c r="C8" s="5" t="s">
        <v>829</v>
      </c>
      <c r="D8" s="18" t="s">
        <v>842</v>
      </c>
      <c r="E8" s="19" t="e">
        <f>COUNTIF('Main '!#REF!,"Database Security")</f>
        <v>#REF!</v>
      </c>
      <c r="F8" s="5"/>
    </row>
    <row r="9" spans="2:6" ht="25.5">
      <c r="B9" s="5" t="s">
        <v>837</v>
      </c>
      <c r="C9" s="5" t="s">
        <v>843</v>
      </c>
      <c r="D9" s="18" t="s">
        <v>844</v>
      </c>
      <c r="E9" s="19" t="e">
        <f>COUNTIF('Main '!#REF!,"Full Stack Development")</f>
        <v>#REF!</v>
      </c>
      <c r="F9" s="5"/>
    </row>
    <row r="11" spans="2:6">
      <c r="B11" s="12" t="s">
        <v>845</v>
      </c>
      <c r="E11" s="20" t="e">
        <f>SUM(E6:E9)</f>
        <v>#REF!</v>
      </c>
    </row>
    <row r="14" spans="2:6" ht="15.75">
      <c r="B14" s="9" t="s">
        <v>846</v>
      </c>
    </row>
    <row r="15" spans="2:6">
      <c r="B15" s="21" t="s">
        <v>837</v>
      </c>
    </row>
    <row r="16" spans="2:6">
      <c r="B16" s="21" t="s">
        <v>847</v>
      </c>
    </row>
    <row r="17" spans="2:2">
      <c r="B17" s="21" t="s">
        <v>848</v>
      </c>
    </row>
    <row r="18" spans="2:2">
      <c r="B18" s="21" t="s">
        <v>849</v>
      </c>
    </row>
    <row r="19" spans="2:2">
      <c r="B19" s="21" t="s">
        <v>850</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95959"/>
  </sheetPr>
  <dimension ref="B2:C43"/>
  <sheetViews>
    <sheetView showGridLines="0" topLeftCell="A33" zoomScaleNormal="100" workbookViewId="0">
      <selection activeCell="B46" sqref="B46"/>
    </sheetView>
  </sheetViews>
  <sheetFormatPr defaultColWidth="8.7109375" defaultRowHeight="15"/>
  <cols>
    <col min="2" max="2" width="32" customWidth="1"/>
    <col min="3" max="3" width="95" customWidth="1"/>
  </cols>
  <sheetData>
    <row r="2" spans="2:3" ht="21">
      <c r="B2" s="3" t="s">
        <v>851</v>
      </c>
      <c r="C2" s="3" t="s">
        <v>851</v>
      </c>
    </row>
    <row r="3" spans="2:3">
      <c r="B3" s="4" t="s">
        <v>852</v>
      </c>
      <c r="C3" s="4" t="s">
        <v>852</v>
      </c>
    </row>
    <row r="5" spans="2:3" ht="15.75">
      <c r="B5" s="31" t="s">
        <v>853</v>
      </c>
    </row>
    <row r="6" spans="2:3" ht="27">
      <c r="B6" s="30" t="s">
        <v>854</v>
      </c>
      <c r="C6" s="29" t="s">
        <v>855</v>
      </c>
    </row>
    <row r="7" spans="2:3" ht="27">
      <c r="B7" s="30" t="s">
        <v>856</v>
      </c>
      <c r="C7" s="29" t="s">
        <v>857</v>
      </c>
    </row>
    <row r="8" spans="2:3">
      <c r="B8" s="30" t="s">
        <v>858</v>
      </c>
      <c r="C8" s="29" t="s">
        <v>859</v>
      </c>
    </row>
    <row r="9" spans="2:3" ht="27">
      <c r="B9" s="30" t="s">
        <v>860</v>
      </c>
      <c r="C9" s="29" t="s">
        <v>861</v>
      </c>
    </row>
    <row r="10" spans="2:3">
      <c r="B10" s="30" t="s">
        <v>862</v>
      </c>
      <c r="C10" s="29" t="s">
        <v>863</v>
      </c>
    </row>
    <row r="12" spans="2:3" ht="15.75">
      <c r="B12" s="31" t="s">
        <v>864</v>
      </c>
    </row>
    <row r="13" spans="2:3">
      <c r="B13" s="30" t="s">
        <v>865</v>
      </c>
      <c r="C13" s="29" t="s">
        <v>866</v>
      </c>
    </row>
    <row r="14" spans="2:3">
      <c r="B14" s="30" t="s">
        <v>867</v>
      </c>
      <c r="C14" s="29" t="s">
        <v>868</v>
      </c>
    </row>
    <row r="15" spans="2:3">
      <c r="B15" s="30" t="s">
        <v>3</v>
      </c>
      <c r="C15" s="29" t="s">
        <v>869</v>
      </c>
    </row>
    <row r="16" spans="2:3">
      <c r="B16" s="30" t="s">
        <v>870</v>
      </c>
      <c r="C16" s="29" t="s">
        <v>871</v>
      </c>
    </row>
    <row r="17" spans="2:3">
      <c r="B17" s="30" t="s">
        <v>872</v>
      </c>
      <c r="C17" s="29" t="s">
        <v>873</v>
      </c>
    </row>
    <row r="18" spans="2:3" ht="27">
      <c r="B18" s="30" t="s">
        <v>874</v>
      </c>
      <c r="C18" s="29" t="s">
        <v>875</v>
      </c>
    </row>
    <row r="19" spans="2:3" ht="27">
      <c r="B19" s="30" t="s">
        <v>876</v>
      </c>
      <c r="C19" s="29" t="s">
        <v>877</v>
      </c>
    </row>
    <row r="20" spans="2:3" ht="27">
      <c r="B20" s="30" t="s">
        <v>878</v>
      </c>
      <c r="C20" s="29" t="s">
        <v>879</v>
      </c>
    </row>
    <row r="21" spans="2:3" ht="27">
      <c r="B21" s="30" t="s">
        <v>880</v>
      </c>
      <c r="C21" s="29" t="s">
        <v>881</v>
      </c>
    </row>
    <row r="22" spans="2:3" ht="27">
      <c r="B22" s="30" t="s">
        <v>882</v>
      </c>
      <c r="C22" s="29" t="s">
        <v>883</v>
      </c>
    </row>
    <row r="23" spans="2:3">
      <c r="B23" s="30" t="s">
        <v>884</v>
      </c>
      <c r="C23" s="29" t="s">
        <v>885</v>
      </c>
    </row>
    <row r="24" spans="2:3">
      <c r="B24" s="30" t="s">
        <v>826</v>
      </c>
      <c r="C24" s="29" t="s">
        <v>886</v>
      </c>
    </row>
    <row r="25" spans="2:3" ht="27">
      <c r="B25" s="30" t="s">
        <v>887</v>
      </c>
      <c r="C25" s="29" t="s">
        <v>888</v>
      </c>
    </row>
    <row r="27" spans="2:3" ht="15.75">
      <c r="B27" s="31" t="s">
        <v>889</v>
      </c>
    </row>
    <row r="28" spans="2:3">
      <c r="B28" s="30" t="s">
        <v>890</v>
      </c>
      <c r="C28" s="29" t="s">
        <v>891</v>
      </c>
    </row>
    <row r="29" spans="2:3">
      <c r="B29" s="30" t="s">
        <v>892</v>
      </c>
      <c r="C29" s="29" t="s">
        <v>893</v>
      </c>
    </row>
    <row r="30" spans="2:3">
      <c r="B30" s="30" t="s">
        <v>894</v>
      </c>
      <c r="C30" s="29" t="s">
        <v>895</v>
      </c>
    </row>
    <row r="32" spans="2:3" ht="15.75">
      <c r="B32" s="31" t="s">
        <v>896</v>
      </c>
    </row>
    <row r="33" spans="2:3" ht="27">
      <c r="B33" s="30" t="s">
        <v>897</v>
      </c>
      <c r="C33" s="29" t="s">
        <v>898</v>
      </c>
    </row>
    <row r="34" spans="2:3" ht="27">
      <c r="B34" s="30" t="s">
        <v>899</v>
      </c>
      <c r="C34" s="29" t="s">
        <v>900</v>
      </c>
    </row>
    <row r="36" spans="2:3" ht="15.75">
      <c r="B36" s="31" t="s">
        <v>901</v>
      </c>
    </row>
    <row r="37" spans="2:3">
      <c r="B37" s="30" t="s">
        <v>902</v>
      </c>
      <c r="C37" s="29" t="s">
        <v>903</v>
      </c>
    </row>
    <row r="38" spans="2:3">
      <c r="B38" s="30" t="s">
        <v>904</v>
      </c>
      <c r="C38" s="29" t="s">
        <v>905</v>
      </c>
    </row>
    <row r="39" spans="2:3">
      <c r="B39" s="30" t="s">
        <v>906</v>
      </c>
      <c r="C39" s="29" t="s">
        <v>907</v>
      </c>
    </row>
    <row r="40" spans="2:3">
      <c r="B40" s="30" t="s">
        <v>908</v>
      </c>
      <c r="C40" s="29" t="s">
        <v>909</v>
      </c>
    </row>
    <row r="41" spans="2:3">
      <c r="B41" s="30" t="s">
        <v>910</v>
      </c>
      <c r="C41" s="29" t="s">
        <v>911</v>
      </c>
    </row>
    <row r="42" spans="2:3">
      <c r="B42" s="30" t="s">
        <v>912</v>
      </c>
      <c r="C42" s="29" t="s">
        <v>913</v>
      </c>
    </row>
    <row r="43" spans="2:3">
      <c r="B43" s="30" t="s">
        <v>914</v>
      </c>
      <c r="C43" s="29" t="s">
        <v>915</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9"/>
  <sheetViews>
    <sheetView zoomScaleNormal="100" workbookViewId="0"/>
  </sheetViews>
  <sheetFormatPr defaultColWidth="8.7109375" defaultRowHeight="15"/>
  <cols>
    <col min="1" max="11" width="22" customWidth="1"/>
  </cols>
  <sheetData>
    <row r="1" spans="1:11">
      <c r="A1" s="12" t="s">
        <v>916</v>
      </c>
      <c r="B1" s="12" t="s">
        <v>3</v>
      </c>
      <c r="C1" s="12" t="s">
        <v>917</v>
      </c>
      <c r="D1" s="12" t="s">
        <v>918</v>
      </c>
      <c r="E1" s="12" t="s">
        <v>919</v>
      </c>
      <c r="F1" s="12" t="s">
        <v>920</v>
      </c>
      <c r="G1" s="12" t="s">
        <v>921</v>
      </c>
      <c r="H1" s="12" t="s">
        <v>922</v>
      </c>
      <c r="I1" s="12" t="s">
        <v>923</v>
      </c>
      <c r="J1" s="12" t="s">
        <v>924</v>
      </c>
      <c r="K1" s="12" t="s">
        <v>925</v>
      </c>
    </row>
    <row r="2" spans="1:11">
      <c r="A2" t="s">
        <v>827</v>
      </c>
      <c r="B2" t="s">
        <v>64</v>
      </c>
      <c r="C2" t="s">
        <v>926</v>
      </c>
      <c r="D2" t="s">
        <v>927</v>
      </c>
      <c r="E2" t="s">
        <v>928</v>
      </c>
      <c r="F2" t="s">
        <v>802</v>
      </c>
      <c r="G2" t="s">
        <v>793</v>
      </c>
      <c r="H2" t="s">
        <v>929</v>
      </c>
      <c r="I2" t="s">
        <v>780</v>
      </c>
      <c r="J2" t="s">
        <v>769</v>
      </c>
      <c r="K2">
        <v>2014</v>
      </c>
    </row>
    <row r="3" spans="1:11">
      <c r="A3" t="s">
        <v>840</v>
      </c>
      <c r="B3" t="s">
        <v>107</v>
      </c>
      <c r="C3" t="s">
        <v>930</v>
      </c>
      <c r="D3" t="s">
        <v>931</v>
      </c>
      <c r="E3" t="s">
        <v>932</v>
      </c>
      <c r="F3" t="s">
        <v>803</v>
      </c>
      <c r="G3" t="s">
        <v>794</v>
      </c>
      <c r="H3" t="s">
        <v>933</v>
      </c>
      <c r="I3" t="s">
        <v>781</v>
      </c>
      <c r="J3" t="s">
        <v>770</v>
      </c>
      <c r="K3">
        <v>2015</v>
      </c>
    </row>
    <row r="4" spans="1:11">
      <c r="A4" t="s">
        <v>829</v>
      </c>
      <c r="B4" t="s">
        <v>135</v>
      </c>
      <c r="C4" t="s">
        <v>934</v>
      </c>
      <c r="D4" t="s">
        <v>935</v>
      </c>
      <c r="E4" t="s">
        <v>936</v>
      </c>
      <c r="F4" t="s">
        <v>804</v>
      </c>
      <c r="G4" t="s">
        <v>795</v>
      </c>
      <c r="I4" t="s">
        <v>937</v>
      </c>
      <c r="J4" t="s">
        <v>771</v>
      </c>
      <c r="K4">
        <v>2016</v>
      </c>
    </row>
    <row r="5" spans="1:11">
      <c r="A5" t="s">
        <v>843</v>
      </c>
      <c r="B5" t="s">
        <v>18</v>
      </c>
      <c r="C5" t="s">
        <v>931</v>
      </c>
      <c r="E5" t="s">
        <v>938</v>
      </c>
      <c r="F5" t="s">
        <v>805</v>
      </c>
      <c r="G5" t="s">
        <v>796</v>
      </c>
      <c r="I5" t="s">
        <v>939</v>
      </c>
      <c r="J5" t="s">
        <v>772</v>
      </c>
      <c r="K5">
        <v>2017</v>
      </c>
    </row>
    <row r="6" spans="1:11">
      <c r="B6" t="s">
        <v>762</v>
      </c>
      <c r="E6" t="s">
        <v>940</v>
      </c>
      <c r="F6" t="s">
        <v>806</v>
      </c>
      <c r="G6" t="s">
        <v>797</v>
      </c>
      <c r="I6" t="s">
        <v>784</v>
      </c>
      <c r="J6" t="s">
        <v>773</v>
      </c>
      <c r="K6">
        <v>2018</v>
      </c>
    </row>
    <row r="7" spans="1:11">
      <c r="B7" t="s">
        <v>100</v>
      </c>
      <c r="E7" t="s">
        <v>941</v>
      </c>
      <c r="F7" t="s">
        <v>807</v>
      </c>
      <c r="G7" t="s">
        <v>798</v>
      </c>
      <c r="I7" t="s">
        <v>942</v>
      </c>
      <c r="J7" t="s">
        <v>774</v>
      </c>
      <c r="K7">
        <v>2019</v>
      </c>
    </row>
    <row r="8" spans="1:11">
      <c r="B8" t="s">
        <v>94</v>
      </c>
      <c r="E8" t="s">
        <v>943</v>
      </c>
      <c r="F8" t="s">
        <v>808</v>
      </c>
      <c r="G8" t="s">
        <v>799</v>
      </c>
      <c r="I8" t="s">
        <v>786</v>
      </c>
      <c r="J8" t="s">
        <v>775</v>
      </c>
      <c r="K8">
        <v>2020</v>
      </c>
    </row>
    <row r="9" spans="1:11">
      <c r="B9" t="s">
        <v>150</v>
      </c>
      <c r="E9" t="s">
        <v>944</v>
      </c>
      <c r="F9" t="s">
        <v>809</v>
      </c>
      <c r="G9" t="s">
        <v>800</v>
      </c>
      <c r="I9" t="s">
        <v>945</v>
      </c>
      <c r="J9" t="s">
        <v>776</v>
      </c>
      <c r="K9">
        <v>2021</v>
      </c>
    </row>
    <row r="10" spans="1:11">
      <c r="B10" t="s">
        <v>75</v>
      </c>
      <c r="E10" t="s">
        <v>818</v>
      </c>
      <c r="F10" t="s">
        <v>810</v>
      </c>
      <c r="I10" t="s">
        <v>946</v>
      </c>
      <c r="J10" t="s">
        <v>777</v>
      </c>
      <c r="K10">
        <v>2022</v>
      </c>
    </row>
    <row r="11" spans="1:11">
      <c r="B11" t="s">
        <v>748</v>
      </c>
      <c r="E11" t="s">
        <v>802</v>
      </c>
      <c r="F11" t="s">
        <v>811</v>
      </c>
      <c r="I11" t="s">
        <v>947</v>
      </c>
      <c r="J11" t="s">
        <v>778</v>
      </c>
      <c r="K11">
        <v>2023</v>
      </c>
    </row>
    <row r="12" spans="1:11">
      <c r="F12" t="s">
        <v>812</v>
      </c>
      <c r="I12" t="s">
        <v>948</v>
      </c>
      <c r="J12" t="s">
        <v>748</v>
      </c>
      <c r="K12">
        <v>2024</v>
      </c>
    </row>
    <row r="13" spans="1:11">
      <c r="F13" t="s">
        <v>813</v>
      </c>
      <c r="I13" t="s">
        <v>949</v>
      </c>
      <c r="K13">
        <v>2025</v>
      </c>
    </row>
    <row r="14" spans="1:11">
      <c r="F14" t="s">
        <v>814</v>
      </c>
      <c r="I14" t="s">
        <v>950</v>
      </c>
      <c r="K14">
        <v>2026</v>
      </c>
    </row>
    <row r="15" spans="1:11">
      <c r="F15" t="s">
        <v>815</v>
      </c>
      <c r="I15" t="s">
        <v>951</v>
      </c>
      <c r="K15">
        <v>2027</v>
      </c>
    </row>
    <row r="16" spans="1:11">
      <c r="F16" t="s">
        <v>816</v>
      </c>
      <c r="I16" t="s">
        <v>748</v>
      </c>
    </row>
    <row r="17" spans="6:6">
      <c r="F17" t="s">
        <v>817</v>
      </c>
    </row>
    <row r="18" spans="6:6">
      <c r="F18" t="s">
        <v>818</v>
      </c>
    </row>
    <row r="19" spans="6:6">
      <c r="F19" t="s">
        <v>748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1</cp:revision>
  <dcterms:created xsi:type="dcterms:W3CDTF">2026-07-14T18:43:06Z</dcterms:created>
  <dcterms:modified xsi:type="dcterms:W3CDTF">2026-10-27T13:33:54Z</dcterms:modified>
  <cp:category/>
  <cp:contentStatus/>
</cp:coreProperties>
</file>