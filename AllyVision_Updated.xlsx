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6695" windowHeight="15585" tabRatio="500" firstSheet="0" activeTab="0" autoFilterDateGrouping="1"/>
  </bookViews>
  <sheets>
    <sheet xmlns:r="http://schemas.openxmlformats.org/officeDocument/2006/relationships" name="Main " sheetId="1" state="visible" r:id="rId1"/>
    <sheet xmlns:r="http://schemas.openxmlformats.org/officeDocument/2006/relationships" name="Mohsen" sheetId="2" state="visible" r:id="rId2"/>
    <sheet xmlns:r="http://schemas.openxmlformats.org/officeDocument/2006/relationships" name="Ahmed" sheetId="3" state="visible" r:id="rId3"/>
    <sheet xmlns:r="http://schemas.openxmlformats.org/officeDocument/2006/relationships" name="Fathy" sheetId="4" state="visible" r:id="rId4"/>
    <sheet xmlns:r="http://schemas.openxmlformats.org/officeDocument/2006/relationships" name="Farah" sheetId="5" state="visible" r:id="rId5"/>
    <sheet xmlns:r="http://schemas.openxmlformats.org/officeDocument/2006/relationships" name="Mostafa" sheetId="6" state="visible" r:id="rId6"/>
    <sheet xmlns:r="http://schemas.openxmlformats.org/officeDocument/2006/relationships" name="Hend" sheetId="7" state="visible" r:id="rId7"/>
    <sheet xmlns:r="http://schemas.openxmlformats.org/officeDocument/2006/relationships" name="Habiba" sheetId="8" state="visible" r:id="rId8"/>
    <sheet xmlns:r="http://schemas.openxmlformats.org/officeDocument/2006/relationships" name="Abdallah" sheetId="9" state="visible" r:id="rId9"/>
    <sheet xmlns:r="http://schemas.openxmlformats.org/officeDocument/2006/relationships" name="Taha" sheetId="10" state="visible" r:id="rId10"/>
    <sheet xmlns:r="http://schemas.openxmlformats.org/officeDocument/2006/relationships" name="Salma" sheetId="11" state="visible" r:id="rId11"/>
    <sheet xmlns:r="http://schemas.openxmlformats.org/officeDocument/2006/relationships" name="David" sheetId="12" state="visible" r:id="rId12"/>
    <sheet xmlns:r="http://schemas.openxmlformats.org/officeDocument/2006/relationships" name="PRISMA Tracking" sheetId="13" state="visible" r:id="rId13"/>
    <sheet xmlns:r="http://schemas.openxmlformats.org/officeDocument/2006/relationships" name="Statistics Dashboard" sheetId="14" state="visible" r:id="rId14"/>
    <sheet xmlns:r="http://schemas.openxmlformats.org/officeDocument/2006/relationships" name="Research Gap Summary" sheetId="15" state="visible" r:id="rId15"/>
    <sheet xmlns:r="http://schemas.openxmlformats.org/officeDocument/2006/relationships" name="Instructions" sheetId="16" state="visible" r:id="rId16"/>
    <sheet xmlns:r="http://schemas.openxmlformats.org/officeDocument/2006/relationships" name="Lists" sheetId="17" state="hidden" r:id="rId17"/>
    <sheet xmlns:r="http://schemas.openxmlformats.org/officeDocument/2006/relationships" name="Taxonomy" sheetId="18" state="visible" r:id="rId18"/>
  </sheets>
  <definedNames>
    <definedName name="B111D111">Fathy!$C$111:$C$111</definedName>
    <definedName name="F100H100">Fathy!$G$100:$G$100</definedName>
    <definedName name="F101H101">Fathy!$G$101:$G$101</definedName>
    <definedName name="F102H102">Fathy!$G$102:$G$102</definedName>
    <definedName name="F98H98">Fathy!$G$98:$G$98</definedName>
    <definedName name="F99H99">Fathy!$G$99:$G$99</definedName>
    <definedName name="H110J110">Fathy!$I$110:$I$110</definedName>
    <definedName name="H111J111">Fathy!$I$111:$I$111</definedName>
    <definedName name="L100B101">Fathy!$A$98:$A$109</definedName>
    <definedName name="L101B102">Fathy!$A$98:$A$109</definedName>
    <definedName name="L102B103">Fathy!$A$98:$A$109</definedName>
    <definedName name="L104B105">Fathy!$A$98:$A$109</definedName>
    <definedName name="L99B100">Fathy!$A$98:$A$109</definedName>
  </definedNames>
  <calcPr calcId="191028" fullCalcOnLoad="1" iterateDelta="0.0001"/>
</workbook>
</file>

<file path=xl/styles.xml><?xml version="1.0" encoding="utf-8"?>
<styleSheet xmlns="http://schemas.openxmlformats.org/spreadsheetml/2006/main">
  <numFmts count="2">
    <numFmt numFmtId="164" formatCode="0.0%"/>
    <numFmt numFmtId="165" formatCode="yyyy-mm-dd h:mm:ss"/>
  </numFmts>
  <fonts count="65">
    <font>
      <name val="Calibri"/>
      <charset val="1"/>
      <family val="2"/>
      <color theme="1"/>
      <sz val="11"/>
    </font>
    <font>
      <name val="Calibri"/>
      <color theme="1"/>
      <sz val="11"/>
      <scheme val="minor"/>
    </font>
    <font>
      <name val="Calibri"/>
      <charset val="1"/>
      <b val="1"/>
      <color rgb="FFFFFFFF"/>
      <sz val="10"/>
    </font>
    <font>
      <name val="Calibri"/>
      <charset val="1"/>
      <sz val="10"/>
    </font>
    <font>
      <name val="Calibri"/>
      <charset val="1"/>
      <b val="1"/>
      <color rgb="FF003C71"/>
      <sz val="16"/>
    </font>
    <font>
      <name val="Calibri"/>
      <charset val="1"/>
      <i val="1"/>
      <color rgb="FF595959"/>
      <sz val="11"/>
    </font>
    <font>
      <name val="Calibri"/>
      <charset val="1"/>
      <b val="1"/>
      <sz val="11"/>
    </font>
    <font>
      <name val="Calibri"/>
      <charset val="1"/>
      <i val="1"/>
      <color rgb="FF595959"/>
      <sz val="9"/>
    </font>
    <font>
      <name val="Calibri"/>
      <charset val="1"/>
      <b val="1"/>
      <color rgb="FF003C71"/>
      <sz val="12"/>
    </font>
    <font>
      <name val="Cambria"/>
      <charset val="1"/>
      <b val="1"/>
      <sz val="11"/>
    </font>
    <font>
      <name val="Calibri"/>
      <charset val="1"/>
      <b val="1"/>
      <color rgb="FF003C71"/>
      <sz val="10"/>
    </font>
    <font>
      <name val="Consolas"/>
      <charset val="1"/>
      <sz val="10"/>
    </font>
    <font>
      <name val="Calibri"/>
      <charset val="1"/>
      <b val="1"/>
      <sz val="10"/>
    </font>
    <font>
      <name val="Calibri"/>
      <charset val="1"/>
      <family val="2"/>
      <color theme="10"/>
      <sz val="11"/>
      <u val="single"/>
    </font>
    <font>
      <name val="Calibri"/>
      <charset val="1"/>
      <family val="2"/>
      <color rgb="FF000000"/>
      <sz val="11"/>
    </font>
    <font>
      <name val="Arial"/>
      <color rgb="FF000000"/>
      <sz val="11"/>
    </font>
    <font>
      <name val="Calibri"/>
      <charset val="1"/>
      <family val="2"/>
      <sz val="10"/>
    </font>
    <font>
      <name val="Calibri"/>
      <charset val="1"/>
      <family val="2"/>
      <b val="1"/>
      <color rgb="FFFFFFFF"/>
      <sz val="10"/>
    </font>
    <font>
      <name val="Arial"/>
      <family val="2"/>
      <color theme="10"/>
      <sz val="11"/>
      <u val="single"/>
      <scheme val="minor"/>
    </font>
    <font>
      <name val="Calibri"/>
      <charset val="1"/>
      <family val="2"/>
      <b val="1"/>
      <sz val="10"/>
    </font>
    <font>
      <name val="Calibri"/>
      <charset val="1"/>
      <family val="2"/>
      <b val="1"/>
      <color rgb="FF003C71"/>
      <sz val="12"/>
    </font>
    <font>
      <name val="Calibri"/>
      <color rgb="FF006100"/>
      <sz val="11"/>
      <scheme val="minor"/>
    </font>
    <font>
      <name val="Calibri"/>
      <color rgb="FF9C0006"/>
      <sz val="11"/>
      <scheme val="minor"/>
    </font>
    <font>
      <name val="Arial"/>
      <color theme="10"/>
      <sz val="11"/>
      <u val="single"/>
      <scheme val="minor"/>
    </font>
    <font>
      <name val="Calibri"/>
      <charset val="1"/>
      <family val="2"/>
      <color theme="0"/>
      <sz val="26"/>
    </font>
    <font>
      <name val="Calibri"/>
      <color rgb="FF1F1F1F"/>
      <sz val="11"/>
      <scheme val="minor"/>
    </font>
    <font>
      <name val="Calibri"/>
      <color rgb="FF000000"/>
      <sz val="11"/>
      <scheme val="minor"/>
    </font>
    <font>
      <name val="Calibri"/>
      <color rgb="FF111111"/>
      <sz val="11"/>
      <scheme val="minor"/>
    </font>
    <font>
      <name val="Calibri"/>
      <color rgb="FF333333"/>
      <sz val="11"/>
      <scheme val="minor"/>
    </font>
    <font>
      <name val="Calibri"/>
      <color theme="10"/>
      <sz val="11"/>
      <u val="single"/>
      <scheme val="minor"/>
    </font>
    <font>
      <name val="Arial"/>
      <color theme="1"/>
      <sz val="11"/>
      <scheme val="minor"/>
    </font>
    <font>
      <name val="Calibri"/>
      <color theme="1"/>
      <sz val="11"/>
    </font>
    <font>
      <name val="Calibri"/>
      <color rgb="FF333333"/>
      <sz val="10.5"/>
      <scheme val="minor"/>
    </font>
    <font>
      <name val="Calibri"/>
      <color rgb="FF1F1F1F"/>
      <sz val="12"/>
      <scheme val="minor"/>
    </font>
    <font>
      <name val="Calibri"/>
      <color rgb="FF333333"/>
      <sz val="13.5"/>
      <scheme val="minor"/>
    </font>
    <font>
      <name val="Calibri"/>
      <color rgb="FF000000"/>
      <sz val="12"/>
    </font>
    <font>
      <name val="Open Sans"/>
      <color rgb="FF333333"/>
      <sz val="12"/>
    </font>
    <font>
      <name val="Arial"/>
      <color rgb="FF000000"/>
      <sz val="11"/>
      <scheme val="minor"/>
    </font>
    <font>
      <name val="Calibri"/>
      <color rgb="FF9C0006"/>
      <sz val="20"/>
    </font>
    <font>
      <name val="Calibri"/>
      <color rgb="FF000000"/>
      <sz val="11"/>
    </font>
    <font>
      <name val="Arial"/>
      <color rgb="FF000000"/>
      <sz val="20"/>
    </font>
    <font>
      <name val="Calibri"/>
      <b val="1"/>
      <color rgb="FF000000"/>
      <sz val="11"/>
    </font>
    <font>
      <name val="Calibri"/>
      <color rgb="FFFF0000"/>
      <sz val="11"/>
    </font>
    <font>
      <name val="Arial"/>
      <color rgb="FF000000"/>
      <sz val="11"/>
      <u val="single"/>
      <scheme val="minor"/>
    </font>
    <font>
      <name val="HelveticaNeue Regular"/>
      <color rgb="FF333333"/>
      <sz val="11"/>
    </font>
    <font>
      <name val="Aptos Narrow"/>
      <color rgb="FF242424"/>
      <sz val="11"/>
    </font>
    <font>
      <name val="-Apple-System"/>
      <charset val="1"/>
      <color rgb="FF222222"/>
      <sz val="12"/>
    </font>
    <font>
      <name val="Arial"/>
      <color theme="10"/>
      <sz val="11"/>
      <scheme val="minor"/>
    </font>
    <font>
      <name val="Calibri"/>
      <charset val="1"/>
      <family val="2"/>
      <color theme="10"/>
      <sz val="11"/>
    </font>
    <font>
      <name val="Segoe UI"/>
      <charset val="1"/>
      <color theme="1"/>
      <sz val="11"/>
    </font>
    <font>
      <name val="Calibri"/>
      <charset val="1"/>
      <family val="2"/>
      <color rgb="FF000000"/>
      <sz val="16"/>
    </font>
    <font>
      <name val="-Apple-System"/>
      <color rgb="FF222222"/>
      <sz val="12"/>
    </font>
    <font>
      <name val="Segoe UI"/>
      <color theme="1"/>
      <sz val="11"/>
    </font>
    <font>
      <name val="Calibri"/>
      <color rgb="FF000000"/>
      <sz val="11"/>
      <u val="single"/>
      <scheme val="minor"/>
    </font>
    <font>
      <name val="Calibri"/>
      <color rgb="FFFFFF00"/>
      <sz val="12"/>
      <scheme val="minor"/>
    </font>
    <font>
      <name val="Calibri"/>
      <color rgb="FF0000FF"/>
      <sz val="11"/>
      <scheme val="minor"/>
    </font>
    <font>
      <name val="Segoe UI"/>
      <b val="1"/>
      <color rgb="00FFFFFF"/>
      <sz val="11"/>
    </font>
    <font>
      <name val="Segoe UI"/>
      <color rgb="001E293B"/>
      <sz val="10"/>
    </font>
    <font>
      <name val="Segoe UI"/>
      <b val="1"/>
      <color rgb="00166534"/>
      <sz val="10"/>
    </font>
    <font>
      <name val="Segoe UI"/>
      <b val="1"/>
      <color rgb="003730A3"/>
      <sz val="10"/>
    </font>
    <font>
      <name val="Segoe UI"/>
      <color rgb="000369A1"/>
      <sz val="9"/>
    </font>
    <font>
      <name val="Segoe UI"/>
      <b val="1"/>
      <color rgb="001E293B"/>
      <sz val="10"/>
    </font>
    <font>
      <name val="Segoe UI"/>
      <b val="1"/>
      <color rgb="009F1239"/>
      <sz val="10"/>
    </font>
    <font>
      <name val="Segoe UI"/>
      <i val="1"/>
      <color rgb="0094A3B8"/>
      <sz val="9"/>
    </font>
    <font>
      <name val="Segoe UI"/>
      <b val="1"/>
      <color rgb="001E3A8A"/>
      <sz val="14"/>
    </font>
  </fonts>
  <fills count="28">
    <fill>
      <patternFill/>
    </fill>
    <fill>
      <patternFill patternType="gray125"/>
    </fill>
    <fill>
      <patternFill patternType="solid">
        <fgColor rgb="FF003C71"/>
        <bgColor rgb="FF0B5394"/>
      </patternFill>
    </fill>
    <fill>
      <patternFill patternType="solid">
        <fgColor rgb="FFFFEB9C"/>
        <bgColor rgb="FFF2F2F2"/>
      </patternFill>
    </fill>
    <fill>
      <patternFill patternType="solid">
        <fgColor rgb="FFF2F2F2"/>
        <bgColor rgb="FFF9F9F9"/>
      </patternFill>
    </fill>
    <fill>
      <patternFill patternType="solid">
        <fgColor rgb="FFFFFFFF"/>
        <bgColor rgb="FFF9F9F9"/>
      </patternFill>
    </fill>
    <fill>
      <patternFill patternType="solid">
        <fgColor theme="4" tint="0.7999816888943144"/>
        <bgColor theme="4" tint="0.799981688894314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theme="4" tint="-0.499984740745262"/>
        <bgColor indexed="64"/>
      </patternFill>
    </fill>
    <fill>
      <patternFill patternType="solid">
        <fgColor rgb="FF244062"/>
        <bgColor indexed="64"/>
      </patternFill>
    </fill>
    <fill>
      <patternFill patternType="solid">
        <fgColor rgb="FFDCE6F1"/>
        <bgColor indexed="64"/>
      </patternFill>
    </fill>
    <fill>
      <patternFill patternType="solid">
        <fgColor rgb="FFFFFF00"/>
        <bgColor indexed="64"/>
      </patternFill>
    </fill>
    <fill>
      <patternFill patternType="solid">
        <fgColor theme="5" tint="0.7999816888943144"/>
        <bgColor indexed="64"/>
      </patternFill>
    </fill>
    <fill>
      <patternFill patternType="solid">
        <fgColor theme="0"/>
        <bgColor indexed="64"/>
      </patternFill>
    </fill>
    <fill>
      <patternFill patternType="solid">
        <fgColor theme="4" tint="0.7999816888943144"/>
        <bgColor indexed="64"/>
      </patternFill>
    </fill>
    <fill>
      <patternFill patternType="solid">
        <fgColor theme="5" tint="0.5999938962981048"/>
        <bgColor indexed="64"/>
      </patternFill>
    </fill>
    <fill>
      <patternFill patternType="solid">
        <fgColor rgb="FFC6EFCE"/>
        <bgColor indexed="64"/>
      </patternFill>
    </fill>
    <fill>
      <patternFill patternType="solid">
        <fgColor rgb="FFECD7D6"/>
        <bgColor indexed="64"/>
      </patternFill>
    </fill>
    <fill>
      <patternFill patternType="solid">
        <fgColor rgb="001E3A8A"/>
        <bgColor rgb="001E3A8A"/>
      </patternFill>
    </fill>
    <fill>
      <patternFill patternType="solid">
        <fgColor rgb="00FFFFFF"/>
        <bgColor rgb="00FFFFFF"/>
      </patternFill>
    </fill>
    <fill>
      <patternFill patternType="solid">
        <fgColor rgb="00DCFCE7"/>
        <bgColor rgb="00DCFCE7"/>
      </patternFill>
    </fill>
    <fill>
      <patternFill patternType="solid">
        <fgColor rgb="00EEF2FF"/>
        <bgColor rgb="00EEF2FF"/>
      </patternFill>
    </fill>
    <fill>
      <patternFill patternType="solid">
        <fgColor rgb="00F0F9FF"/>
        <bgColor rgb="00F0F9FF"/>
      </patternFill>
    </fill>
    <fill>
      <patternFill patternType="solid">
        <fgColor rgb="00F8FAFC"/>
        <bgColor rgb="00F8FAFC"/>
      </patternFill>
    </fill>
    <fill>
      <patternFill patternType="solid">
        <fgColor rgb="00FFE4E6"/>
        <bgColor rgb="00FFE4E6"/>
      </patternFill>
    </fill>
    <fill>
      <patternFill patternType="solid">
        <fgColor rgb="00F1F5F9"/>
        <bgColor rgb="00F1F5F9"/>
      </patternFill>
    </fill>
  </fills>
  <borders count="24">
    <border>
      <left/>
      <right/>
      <top/>
      <bottom/>
      <diagonal/>
    </border>
    <border>
      <left style="thin">
        <color rgb="FFB7B7B7"/>
      </left>
      <right style="thin">
        <color rgb="FFB7B7B7"/>
      </right>
      <top style="thin">
        <color rgb="FFB7B7B7"/>
      </top>
      <bottom style="thin">
        <color rgb="FFB7B7B7"/>
      </bottom>
      <diagonal/>
    </border>
    <border>
      <left/>
      <right/>
      <top style="thin">
        <color theme="4" tint="0.3999755851924192"/>
      </top>
      <bottom style="thin">
        <color theme="4" tint="0.3999755851924192"/>
      </bottom>
      <diagonal/>
    </border>
    <border>
      <left style="thin">
        <color rgb="FFB7B7B7"/>
      </left>
      <right style="thin">
        <color rgb="FFB7B7B7"/>
      </right>
      <top/>
      <bottom style="thin">
        <color rgb="FFB7B7B7"/>
      </bottom>
      <diagonal/>
    </border>
    <border>
      <left style="medium">
        <color theme="0"/>
      </left>
      <right style="medium">
        <color theme="0"/>
      </right>
      <top style="medium">
        <color theme="0"/>
      </top>
      <bottom/>
      <diagonal/>
    </border>
    <border>
      <left style="medium">
        <color theme="0"/>
      </left>
      <right style="medium">
        <color theme="0"/>
      </right>
      <top/>
      <bottom/>
      <diagonal/>
    </border>
    <border>
      <left/>
      <right/>
      <top style="medium">
        <color theme="0"/>
      </top>
      <bottom/>
      <diagonal/>
    </border>
    <border>
      <left/>
      <right/>
      <top style="medium">
        <color theme="0"/>
      </top>
      <bottom style="thin">
        <color theme="4" tint="0.3999755851924192"/>
      </bottom>
      <diagonal/>
    </border>
    <border>
      <left style="medium">
        <color theme="0"/>
      </left>
      <right/>
      <top style="thin">
        <color theme="4" tint="0.3999755851924192"/>
      </top>
      <bottom style="thin">
        <color theme="4" tint="0.3999755851924192"/>
      </bottom>
      <diagonal/>
    </border>
    <border>
      <left style="medium">
        <color theme="0"/>
      </left>
      <right/>
      <top/>
      <bottom/>
      <diagonal/>
    </border>
    <border>
      <left style="medium">
        <color theme="0"/>
      </left>
      <right/>
      <top style="thin">
        <color theme="4" tint="0.3999755851924192"/>
      </top>
      <bottom style="medium">
        <color theme="0"/>
      </bottom>
      <diagonal/>
    </border>
    <border>
      <left/>
      <right/>
      <top style="thin">
        <color theme="4" tint="0.3999755851924192"/>
      </top>
      <bottom style="medium">
        <color theme="0"/>
      </bottom>
      <diagonal/>
    </border>
    <border>
      <left/>
      <right style="medium">
        <color theme="0"/>
      </right>
      <top style="thin">
        <color theme="4" tint="0.3999755851924192"/>
      </top>
      <bottom style="medium">
        <color theme="0"/>
      </bottom>
      <diagonal/>
    </border>
    <border>
      <left style="thick">
        <color theme="0"/>
      </left>
      <right/>
      <top style="thick">
        <color theme="0"/>
      </top>
      <bottom/>
      <diagonal/>
    </border>
    <border>
      <left style="thin">
        <color rgb="FFB7B7B7"/>
      </left>
      <right style="thin">
        <color rgb="FFB7B7B7"/>
      </right>
      <top style="thin">
        <color rgb="FFB7B7B7"/>
      </top>
      <bottom/>
      <diagonal/>
    </border>
    <border>
      <left style="medium">
        <color theme="0"/>
      </left>
      <right style="medium">
        <color theme="0"/>
      </right>
      <top style="medium">
        <color theme="0"/>
      </top>
      <bottom style="medium">
        <color theme="0"/>
      </bottom>
      <diagonal/>
    </border>
    <border>
      <left style="thick">
        <color theme="0"/>
      </left>
      <right/>
      <top/>
      <bottom/>
      <diagonal/>
    </border>
    <border>
      <left style="thick">
        <color theme="0"/>
      </left>
      <right/>
      <top/>
      <bottom style="thick">
        <color theme="0"/>
      </bottom>
      <diagonal/>
    </border>
    <border>
      <left style="thin">
        <color rgb="FF000000"/>
      </left>
      <right style="thin">
        <color rgb="FF000000"/>
      </right>
      <top style="thin">
        <color rgb="FF000000"/>
      </top>
      <bottom style="thin">
        <color rgb="FF000000"/>
      </bottom>
      <diagonal/>
    </border>
    <border>
      <left/>
      <right/>
      <top/>
      <bottom style="thin">
        <color theme="4" tint="0.3999755851924192"/>
      </bottom>
      <diagonal/>
    </border>
    <border>
      <left style="medium">
        <color theme="0"/>
      </left>
      <right style="medium">
        <color theme="0"/>
      </right>
      <top/>
      <bottom style="medium">
        <color theme="0"/>
      </bottom>
      <diagonal/>
    </border>
    <border>
      <left/>
      <right/>
      <top style="thin">
        <color theme="4" tint="0.3999755851924192"/>
      </top>
      <bottom/>
      <diagonal/>
    </border>
    <border>
      <left style="thick">
        <color theme="0"/>
      </left>
      <right/>
      <top style="thick">
        <color theme="0"/>
      </top>
      <bottom style="thick">
        <color theme="0"/>
      </bottom>
      <diagonal/>
    </border>
    <border>
      <left style="thin">
        <color rgb="00E2E8F0"/>
      </left>
      <right style="thin">
        <color rgb="00E2E8F0"/>
      </right>
      <top style="thin">
        <color rgb="00E2E8F0"/>
      </top>
      <bottom style="thin">
        <color rgb="00E2E8F0"/>
      </bottom>
    </border>
  </borders>
  <cellStyleXfs count="4">
    <xf numFmtId="0" fontId="0" fillId="0" borderId="0"/>
    <xf numFmtId="0" fontId="13" fillId="0" borderId="0"/>
    <xf numFmtId="0" fontId="21" fillId="8" borderId="0"/>
    <xf numFmtId="0" fontId="22" fillId="9" borderId="0"/>
  </cellStyleXfs>
  <cellXfs count="391">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center"/>
    </xf>
    <xf numFmtId="0" fontId="4" fillId="0" borderId="0" pivotButton="0" quotePrefix="0" xfId="0"/>
    <xf numFmtId="0" fontId="5" fillId="0" borderId="0" pivotButton="0" quotePrefix="0" xfId="0"/>
    <xf numFmtId="0" fontId="3" fillId="0" borderId="1" pivotButton="0" quotePrefix="0" xfId="0"/>
    <xf numFmtId="0" fontId="6" fillId="3" borderId="1" applyAlignment="1" pivotButton="0" quotePrefix="0" xfId="0">
      <alignment horizontal="center" vertical="center"/>
    </xf>
    <xf numFmtId="0" fontId="7" fillId="0" borderId="1" applyAlignment="1" pivotButton="0" quotePrefix="0" xfId="0">
      <alignment horizontal="left" vertical="center" wrapText="1"/>
    </xf>
    <xf numFmtId="0" fontId="6" fillId="0" borderId="1" applyAlignment="1" pivotButton="0" quotePrefix="0" xfId="0">
      <alignment horizontal="center" vertical="center"/>
    </xf>
    <xf numFmtId="0" fontId="8" fillId="0" borderId="0" pivotButton="0" quotePrefix="0" xfId="0"/>
    <xf numFmtId="0" fontId="2" fillId="2" borderId="1" pivotButton="0" quotePrefix="0" xfId="0"/>
    <xf numFmtId="0" fontId="0" fillId="3" borderId="1" applyAlignment="1" pivotButton="0" quotePrefix="0" xfId="0">
      <alignment horizontal="center" vertical="center"/>
    </xf>
    <xf numFmtId="0" fontId="9" fillId="0" borderId="0" pivotButton="0" quotePrefix="0" xfId="0"/>
    <xf numFmtId="0" fontId="9" fillId="0" borderId="1" applyAlignment="1" pivotButton="0" quotePrefix="0" xfId="0">
      <alignment horizontal="center" vertical="center"/>
    </xf>
    <xf numFmtId="0" fontId="3" fillId="4" borderId="1" pivotButton="0" quotePrefix="0" xfId="0"/>
    <xf numFmtId="0" fontId="8" fillId="5" borderId="1" pivotButton="0" quotePrefix="0" xfId="0"/>
    <xf numFmtId="0" fontId="2" fillId="2" borderId="0" pivotButton="0" quotePrefix="0" xfId="0"/>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10" fillId="0" borderId="1" applyAlignment="1" pivotButton="0" quotePrefix="0" xfId="0">
      <alignment horizontal="center" vertical="center"/>
    </xf>
    <xf numFmtId="0" fontId="9" fillId="0" borderId="0" applyAlignment="1" pivotButton="0" quotePrefix="0" xfId="0">
      <alignment horizontal="center" vertical="center"/>
    </xf>
    <xf numFmtId="0" fontId="11" fillId="0" borderId="0" pivotButton="0" quotePrefix="0" xfId="0"/>
    <xf numFmtId="0" fontId="1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4" fillId="0" borderId="0" pivotButton="0" quotePrefix="0" xfId="0"/>
    <xf numFmtId="0" fontId="16" fillId="0" borderId="1" applyAlignment="1" pivotButton="0" quotePrefix="0" xfId="0">
      <alignment vertical="center"/>
    </xf>
    <xf numFmtId="0" fontId="18" fillId="6" borderId="2" pivotButton="0" quotePrefix="0" xfId="1"/>
    <xf numFmtId="0" fontId="18" fillId="0" borderId="2" pivotButton="0" quotePrefix="0" xfId="1"/>
    <xf numFmtId="0" fontId="0" fillId="0" borderId="2" pivotButton="0" quotePrefix="0" xfId="0"/>
    <xf numFmtId="0" fontId="16"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0" borderId="0" pivotButton="0" quotePrefix="0" xfId="0"/>
    <xf numFmtId="0" fontId="3" fillId="0" borderId="3" pivotButton="0" quotePrefix="0" xfId="0"/>
    <xf numFmtId="0" fontId="0" fillId="0" borderId="0" applyAlignment="1" pivotButton="0" quotePrefix="0" xfId="0">
      <alignment horizontal="center"/>
    </xf>
    <xf numFmtId="0" fontId="23" fillId="0" borderId="2" pivotButton="0" quotePrefix="0" xfId="1"/>
    <xf numFmtId="0" fontId="23" fillId="6" borderId="2" pivotButton="0" quotePrefix="0" xfId="1"/>
    <xf numFmtId="0" fontId="0" fillId="0" borderId="6" pivotButton="0" quotePrefix="0" xfId="0"/>
    <xf numFmtId="0" fontId="23" fillId="6" borderId="11" pivotButton="0" quotePrefix="0" xfId="1"/>
    <xf numFmtId="0" fontId="17" fillId="2" borderId="14" applyAlignment="1" pivotButton="0" quotePrefix="0" xfId="0">
      <alignment horizontal="center" vertical="center" wrapText="1"/>
    </xf>
    <xf numFmtId="0" fontId="2" fillId="2" borderId="14" applyAlignment="1" pivotButton="0" quotePrefix="0" xfId="0">
      <alignment horizontal="center" vertical="center" wrapText="1"/>
    </xf>
    <xf numFmtId="0" fontId="0" fillId="0" borderId="0" applyAlignment="1" pivotButton="0" quotePrefix="0" xfId="0">
      <alignment wrapText="1"/>
    </xf>
    <xf numFmtId="0" fontId="13" fillId="0" borderId="0" pivotButton="0" quotePrefix="0" xfId="1"/>
    <xf numFmtId="0" fontId="23" fillId="6" borderId="2" applyAlignment="1" pivotButton="0" quotePrefix="0" xfId="1">
      <alignment wrapText="1"/>
    </xf>
    <xf numFmtId="0" fontId="0" fillId="0" borderId="0" applyAlignment="1" pivotButton="0" quotePrefix="0" xfId="0">
      <alignment vertical="center" wrapText="1"/>
    </xf>
    <xf numFmtId="15" fontId="0" fillId="0" borderId="0" pivotButton="0" quotePrefix="0" xfId="0"/>
    <xf numFmtId="0" fontId="13" fillId="0" borderId="2" pivotButton="0" quotePrefix="0" xfId="1"/>
    <xf numFmtId="0" fontId="25" fillId="12" borderId="0" applyAlignment="1" pivotButton="0" quotePrefix="0" xfId="0">
      <alignment horizontal="left" vertical="center" wrapText="1"/>
    </xf>
    <xf numFmtId="0" fontId="13" fillId="6" borderId="2" pivotButton="0" quotePrefix="0" xfId="1"/>
    <xf numFmtId="0" fontId="23" fillId="12" borderId="2" pivotButton="0" quotePrefix="0" xfId="1"/>
    <xf numFmtId="0" fontId="15" fillId="0" borderId="0" applyAlignment="1" pivotButton="0" quotePrefix="0" xfId="0">
      <alignment vertical="center" wrapText="1"/>
    </xf>
    <xf numFmtId="0" fontId="23" fillId="6" borderId="2" applyAlignment="1" pivotButton="0" quotePrefix="0" xfId="1">
      <alignment vertical="center" wrapText="1"/>
    </xf>
    <xf numFmtId="0" fontId="26" fillId="7" borderId="0" applyAlignment="1" pivotButton="0" quotePrefix="0" xfId="0">
      <alignment horizontal="left" vertical="center" wrapText="1"/>
    </xf>
    <xf numFmtId="0" fontId="15" fillId="0" borderId="0" applyAlignment="1" pivotButton="0" quotePrefix="0" xfId="0">
      <alignment horizontal="left" vertical="center" wrapText="1"/>
    </xf>
    <xf numFmtId="0" fontId="27" fillId="7" borderId="0" applyAlignment="1" pivotButton="0" quotePrefix="0" xfId="0">
      <alignment horizontal="left" vertical="center" wrapText="1"/>
    </xf>
    <xf numFmtId="0" fontId="28" fillId="12" borderId="0" applyAlignment="1" pivotButton="0" quotePrefix="0" xfId="0">
      <alignment horizontal="left" vertical="center" wrapText="1"/>
    </xf>
    <xf numFmtId="0" fontId="13" fillId="0" borderId="0" applyAlignment="1" pivotButton="0" quotePrefix="0" xfId="1">
      <alignment vertical="center"/>
    </xf>
    <xf numFmtId="0" fontId="0" fillId="0" borderId="0" applyAlignment="1" pivotButton="0" quotePrefix="0" xfId="0">
      <alignment vertical="center"/>
    </xf>
    <xf numFmtId="0" fontId="29" fillId="0" borderId="0" applyAlignment="1" pivotButton="0" quotePrefix="0" xfId="1">
      <alignment horizontal="left" vertical="center" wrapText="1"/>
    </xf>
    <xf numFmtId="0" fontId="29" fillId="0" borderId="2" applyAlignment="1" pivotButton="0" quotePrefix="0" xfId="1">
      <alignment horizontal="left" vertical="center" wrapText="1"/>
    </xf>
    <xf numFmtId="0" fontId="29" fillId="12" borderId="0" applyAlignment="1" pivotButton="0" quotePrefix="0" xfId="1">
      <alignment horizontal="left" vertical="center" wrapText="1"/>
    </xf>
    <xf numFmtId="0" fontId="26" fillId="12" borderId="0" applyAlignment="1" pivotButton="0" quotePrefix="0" xfId="0">
      <alignment horizontal="left" vertical="center" wrapText="1"/>
    </xf>
    <xf numFmtId="0" fontId="29" fillId="12" borderId="2" applyAlignment="1" pivotButton="0" quotePrefix="0" xfId="1">
      <alignment horizontal="left" vertical="center" wrapText="1"/>
    </xf>
    <xf numFmtId="0" fontId="26" fillId="0" borderId="0" applyAlignment="1" pivotButton="0" quotePrefix="0" xfId="0">
      <alignment horizontal="left" vertical="center" wrapText="1"/>
    </xf>
    <xf numFmtId="0" fontId="29" fillId="0" borderId="0" applyAlignment="1" pivotButton="0" quotePrefix="0" xfId="1">
      <alignment horizontal="left" vertical="center" wrapText="1" readingOrder="1"/>
    </xf>
    <xf numFmtId="0" fontId="26" fillId="0" borderId="0" applyAlignment="1" pivotButton="0" quotePrefix="0" xfId="0">
      <alignment horizontal="left" vertical="center"/>
    </xf>
    <xf numFmtId="0" fontId="29" fillId="12" borderId="0" applyAlignment="1" pivotButton="0" quotePrefix="0" xfId="1">
      <alignment horizontal="left" vertical="center"/>
    </xf>
    <xf numFmtId="0" fontId="26" fillId="12" borderId="2" applyAlignment="1" pivotButton="0" quotePrefix="0" xfId="1">
      <alignment horizontal="left" vertical="center" wrapText="1"/>
    </xf>
    <xf numFmtId="0" fontId="32" fillId="12" borderId="0" applyAlignment="1" pivotButton="0" quotePrefix="0" xfId="0">
      <alignment horizontal="left" vertical="center" readingOrder="1"/>
    </xf>
    <xf numFmtId="0" fontId="29" fillId="6" borderId="2" applyAlignment="1" pivotButton="0" quotePrefix="0" xfId="1">
      <alignment horizontal="left" vertical="center" wrapText="1"/>
    </xf>
    <xf numFmtId="0" fontId="26" fillId="6" borderId="2" applyAlignment="1" pivotButton="0" quotePrefix="0" xfId="1">
      <alignment horizontal="left" vertical="center" wrapText="1"/>
    </xf>
    <xf numFmtId="0" fontId="26" fillId="14" borderId="0" applyAlignment="1" pivotButton="0" quotePrefix="0" xfId="0">
      <alignment horizontal="left" vertical="center"/>
    </xf>
    <xf numFmtId="0" fontId="34" fillId="14" borderId="0" applyAlignment="1" pivotButton="0" quotePrefix="0" xfId="0">
      <alignment horizontal="left" vertical="center" wrapText="1" readingOrder="1"/>
    </xf>
    <xf numFmtId="0" fontId="33" fillId="14" borderId="0" applyAlignment="1" pivotButton="0" quotePrefix="0" xfId="0">
      <alignment horizontal="left" vertical="center" wrapText="1"/>
    </xf>
    <xf numFmtId="0" fontId="26" fillId="14" borderId="0" applyAlignment="1" pivotButton="0" quotePrefix="0" xfId="0">
      <alignment horizontal="left" vertical="center" wrapText="1" readingOrder="1"/>
    </xf>
    <xf numFmtId="0" fontId="23" fillId="0" borderId="2" applyAlignment="1" pivotButton="0" quotePrefix="0" xfId="1">
      <alignment wrapText="1"/>
    </xf>
    <xf numFmtId="0" fontId="35" fillId="8" borderId="2" applyAlignment="1" pivotButton="0" quotePrefix="0" xfId="2">
      <alignment horizontal="left" vertical="top"/>
    </xf>
    <xf numFmtId="15" fontId="23" fillId="6" borderId="2" pivotButton="0" quotePrefix="0" xfId="1"/>
    <xf numFmtId="0" fontId="0" fillId="0" borderId="0" applyAlignment="1" pivotButton="0" quotePrefix="0" xfId="0">
      <alignment horizontal="center" vertical="center"/>
    </xf>
    <xf numFmtId="0" fontId="13" fillId="0" borderId="2" applyAlignment="1" pivotButton="0" quotePrefix="0" xfId="1">
      <alignment vertical="center"/>
    </xf>
    <xf numFmtId="17" fontId="0" fillId="0" borderId="0" pivotButton="0" quotePrefix="0" xfId="0"/>
    <xf numFmtId="0" fontId="36" fillId="0" borderId="0" pivotButton="0" quotePrefix="0" xfId="0"/>
    <xf numFmtId="0" fontId="13" fillId="6" borderId="2" applyAlignment="1" pivotButton="0" quotePrefix="0" xfId="1">
      <alignment vertical="center"/>
    </xf>
    <xf numFmtId="0" fontId="23" fillId="6" borderId="2" applyAlignment="1" pivotButton="0" quotePrefix="0" xfId="1">
      <alignment horizontal="left" vertical="center"/>
    </xf>
    <xf numFmtId="0" fontId="23" fillId="6" borderId="2" applyAlignment="1" pivotButton="0" quotePrefix="0" xfId="1">
      <alignment horizontal="center"/>
    </xf>
    <xf numFmtId="0" fontId="26" fillId="12" borderId="0" applyAlignment="1" pivotButton="0" quotePrefix="0" xfId="0">
      <alignment horizontal="center" vertical="center" wrapText="1"/>
    </xf>
    <xf numFmtId="0" fontId="26"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26" fillId="12" borderId="0" applyAlignment="1" pivotButton="0" quotePrefix="0" xfId="0">
      <alignment horizontal="center" vertical="center"/>
    </xf>
    <xf numFmtId="0" fontId="26" fillId="0" borderId="0" applyAlignment="1" pivotButton="0" quotePrefix="0" xfId="0">
      <alignment horizontal="center" vertical="center"/>
    </xf>
    <xf numFmtId="0" fontId="26" fillId="14" borderId="0" applyAlignment="1" pivotButton="0" quotePrefix="0" xfId="0">
      <alignment horizontal="center" vertical="center"/>
    </xf>
    <xf numFmtId="0" fontId="26" fillId="6" borderId="2" applyAlignment="1" pivotButton="0" quotePrefix="0" xfId="1">
      <alignment horizontal="center" vertical="center" wrapText="1"/>
    </xf>
    <xf numFmtId="0" fontId="23" fillId="0" borderId="2" applyAlignment="1" pivotButton="0" quotePrefix="0" xfId="1">
      <alignment horizontal="center"/>
    </xf>
    <xf numFmtId="17" fontId="23" fillId="6" borderId="2" pivotButton="0" quotePrefix="0" xfId="1"/>
    <xf numFmtId="0" fontId="33" fillId="14" borderId="0" applyAlignment="1" pivotButton="0" quotePrefix="0" xfId="0">
      <alignment vertical="center" wrapText="1"/>
    </xf>
    <xf numFmtId="0" fontId="30" fillId="6" borderId="2" applyAlignment="1" pivotButton="0" quotePrefix="0" xfId="1">
      <alignment vertical="center"/>
    </xf>
    <xf numFmtId="0" fontId="15" fillId="0" borderId="0" applyAlignment="1" pivotButton="0" quotePrefix="0" xfId="0">
      <alignment horizontal="center" vertical="center" wrapText="1"/>
    </xf>
    <xf numFmtId="0" fontId="30" fillId="6" borderId="2" applyAlignment="1" pivotButton="0" quotePrefix="0" xfId="1">
      <alignment vertical="center" wrapText="1"/>
    </xf>
    <xf numFmtId="0" fontId="37" fillId="6" borderId="2" applyAlignment="1" pivotButton="0" quotePrefix="0" xfId="1">
      <alignment horizontal="center" vertical="center"/>
    </xf>
    <xf numFmtId="0" fontId="37" fillId="6" borderId="2" applyAlignment="1" pivotButton="0" quotePrefix="0" xfId="1">
      <alignment wrapText="1"/>
    </xf>
    <xf numFmtId="0" fontId="37" fillId="6" borderId="2" applyAlignment="1" pivotButton="0" quotePrefix="0" xfId="1">
      <alignment vertical="center" wrapText="1"/>
    </xf>
    <xf numFmtId="0" fontId="0" fillId="0" borderId="0" applyAlignment="1" pivotButton="0" quotePrefix="0" xfId="0">
      <alignment horizontal="center" vertical="center"/>
    </xf>
    <xf numFmtId="0" fontId="31" fillId="6" borderId="2" applyAlignment="1" pivotButton="0" quotePrefix="0" xfId="1">
      <alignment horizontal="center" vertical="center" wrapText="1"/>
    </xf>
    <xf numFmtId="0" fontId="30" fillId="6" borderId="2" applyAlignment="1" pivotButton="0" quotePrefix="0" xfId="1">
      <alignment horizontal="left" vertical="center" wrapText="1"/>
    </xf>
    <xf numFmtId="0" fontId="30" fillId="6" borderId="2" applyAlignment="1" pivotButton="0" quotePrefix="0" xfId="1">
      <alignment horizontal="center" vertical="center"/>
    </xf>
    <xf numFmtId="0" fontId="33" fillId="14" borderId="0" applyAlignment="1" pivotButton="0" quotePrefix="0" xfId="0">
      <alignment horizontal="center" vertical="center" wrapText="1"/>
    </xf>
    <xf numFmtId="0" fontId="35" fillId="8" borderId="2" applyAlignment="1" pivotButton="0" quotePrefix="0" xfId="2">
      <alignment horizontal="center" vertical="center"/>
    </xf>
    <xf numFmtId="0" fontId="30" fillId="6" borderId="2" applyAlignment="1" pivotButton="0" quotePrefix="0" xfId="1">
      <alignment horizontal="center" vertical="center" wrapText="1"/>
    </xf>
    <xf numFmtId="15" fontId="22" fillId="9" borderId="0" pivotButton="0" quotePrefix="0" xfId="3"/>
    <xf numFmtId="15" fontId="22" fillId="9" borderId="2" pivotButton="0" quotePrefix="0" xfId="3"/>
    <xf numFmtId="0" fontId="0" fillId="0" borderId="0" applyAlignment="1" pivotButton="0" quotePrefix="0" xfId="0">
      <alignment horizontal="center" vertical="center" wrapText="1"/>
    </xf>
    <xf numFmtId="0" fontId="30" fillId="0" borderId="2" applyAlignment="1" pivotButton="0" quotePrefix="0" xfId="1">
      <alignment horizontal="center" vertical="center" wrapText="1"/>
    </xf>
    <xf numFmtId="0" fontId="30" fillId="0" borderId="2" applyAlignment="1" pivotButton="0" quotePrefix="0" xfId="1">
      <alignment horizontal="left" vertical="center" wrapText="1"/>
    </xf>
    <xf numFmtId="0" fontId="13" fillId="0" borderId="2" applyAlignment="1" pivotButton="0" quotePrefix="0" xfId="1">
      <alignment horizontal="center" vertical="center"/>
    </xf>
    <xf numFmtId="0" fontId="22" fillId="9" borderId="2" applyAlignment="1" pivotButton="0" quotePrefix="0" xfId="3">
      <alignment horizontal="left" vertical="center"/>
    </xf>
    <xf numFmtId="0" fontId="38" fillId="9" borderId="2" applyAlignment="1" pivotButton="0" quotePrefix="0" xfId="3">
      <alignment horizontal="left" vertical="center"/>
    </xf>
    <xf numFmtId="0" fontId="26" fillId="9" borderId="2" applyAlignment="1" pivotButton="0" quotePrefix="0" xfId="3">
      <alignment horizontal="left" vertical="center"/>
    </xf>
    <xf numFmtId="0" fontId="24" fillId="10" borderId="0" applyAlignment="1" pivotButton="0" quotePrefix="0" xfId="0">
      <alignment horizontal="center" vertical="center" textRotation="90"/>
    </xf>
    <xf numFmtId="0" fontId="26" fillId="0" borderId="2" applyAlignment="1" pivotButton="0" quotePrefix="0" xfId="1">
      <alignment horizontal="left" vertical="center" wrapText="1"/>
    </xf>
    <xf numFmtId="0" fontId="40" fillId="0" borderId="0" applyAlignment="1" pivotButton="0" quotePrefix="0" xfId="0">
      <alignment horizontal="center" vertical="center"/>
    </xf>
    <xf numFmtId="0" fontId="40" fillId="12" borderId="0" applyAlignment="1" pivotButton="0" quotePrefix="0" xfId="0">
      <alignment horizontal="center" vertical="center"/>
    </xf>
    <xf numFmtId="0" fontId="26" fillId="6" borderId="2" applyAlignment="1" pivotButton="0" quotePrefix="0" xfId="1">
      <alignment vertical="center" wrapText="1"/>
    </xf>
    <xf numFmtId="0" fontId="26" fillId="6" borderId="2" applyAlignment="1" pivotButton="0" quotePrefix="0" xfId="1">
      <alignment wrapText="1"/>
    </xf>
    <xf numFmtId="0" fontId="37" fillId="6" borderId="2" applyAlignment="1" pivotButton="0" quotePrefix="0" xfId="1">
      <alignment vertical="center"/>
    </xf>
    <xf numFmtId="0" fontId="23" fillId="6" borderId="2" applyAlignment="1" pivotButton="0" quotePrefix="0" xfId="1">
      <alignment horizontal="center" vertical="center"/>
    </xf>
    <xf numFmtId="0" fontId="23" fillId="15" borderId="2" applyAlignment="1" pivotButton="0" quotePrefix="0" xfId="1">
      <alignment horizontal="center" vertical="center"/>
    </xf>
    <xf numFmtId="0" fontId="13" fillId="15" borderId="2" applyAlignment="1" pivotButton="0" quotePrefix="0" xfId="1">
      <alignment horizontal="center" vertical="center"/>
    </xf>
    <xf numFmtId="0" fontId="23" fillId="12" borderId="2" applyAlignment="1" pivotButton="0" quotePrefix="0" xfId="1">
      <alignment horizontal="center" vertical="center"/>
    </xf>
    <xf numFmtId="0" fontId="13" fillId="6" borderId="2" applyAlignment="1" pivotButton="0" quotePrefix="0" xfId="1">
      <alignment horizontal="center" vertical="center"/>
    </xf>
    <xf numFmtId="0" fontId="13" fillId="0" borderId="0" applyAlignment="1" pivotButton="0" quotePrefix="0" xfId="1">
      <alignment horizontal="center" vertical="center"/>
    </xf>
    <xf numFmtId="0" fontId="30" fillId="15" borderId="2" applyAlignment="1" pivotButton="0" quotePrefix="0" xfId="1">
      <alignment horizontal="center" vertical="center" wrapText="1"/>
    </xf>
    <xf numFmtId="0" fontId="23" fillId="0" borderId="2" applyAlignment="1" pivotButton="0" quotePrefix="0" xfId="1">
      <alignment horizontal="center" vertical="center"/>
    </xf>
    <xf numFmtId="0" fontId="23" fillId="6" borderId="2" applyAlignment="1" pivotButton="0" quotePrefix="0" xfId="1">
      <alignment horizontal="center" vertical="center" wrapText="1"/>
    </xf>
    <xf numFmtId="0" fontId="0" fillId="0" borderId="6" applyAlignment="1" pivotButton="0" quotePrefix="0" xfId="0">
      <alignment horizontal="center" vertical="center"/>
    </xf>
    <xf numFmtId="0" fontId="0" fillId="0" borderId="0" applyAlignment="1" pivotButton="0" quotePrefix="0" xfId="0">
      <alignment horizontal="center" vertical="center"/>
    </xf>
    <xf numFmtId="0" fontId="0" fillId="15" borderId="0" applyAlignment="1" pivotButton="0" quotePrefix="0" xfId="0">
      <alignment horizontal="center" vertical="center"/>
    </xf>
    <xf numFmtId="0" fontId="30" fillId="16" borderId="2" applyAlignment="1" pivotButton="0" quotePrefix="0" xfId="1">
      <alignment horizontal="left" vertical="center" wrapText="1"/>
    </xf>
    <xf numFmtId="0" fontId="14" fillId="16" borderId="0" applyAlignment="1" pivotButton="0" quotePrefix="0" xfId="0">
      <alignment horizontal="center" vertical="center"/>
    </xf>
    <xf numFmtId="0" fontId="40" fillId="16" borderId="0" applyAlignment="1" pivotButton="0" quotePrefix="0" xfId="0">
      <alignment horizontal="center" vertical="center"/>
    </xf>
    <xf numFmtId="0" fontId="0" fillId="16" borderId="0" applyAlignment="1" pivotButton="0" quotePrefix="0" xfId="0">
      <alignment horizontal="center" vertical="center"/>
    </xf>
    <xf numFmtId="0" fontId="0" fillId="0" borderId="0" applyAlignment="1" pivotButton="0" quotePrefix="0" xfId="0">
      <alignment horizontal="center" vertical="center" wrapText="1"/>
    </xf>
    <xf numFmtId="0" fontId="30" fillId="15" borderId="2" applyAlignment="1" pivotButton="0" quotePrefix="0" xfId="1">
      <alignment horizontal="center" vertical="center"/>
    </xf>
    <xf numFmtId="0" fontId="13" fillId="15" borderId="2" applyAlignment="1" pivotButton="0" quotePrefix="0" xfId="1">
      <alignment vertical="center"/>
    </xf>
    <xf numFmtId="0" fontId="30" fillId="15" borderId="2" applyAlignment="1" pivotButton="0" quotePrefix="0" xfId="1">
      <alignment horizontal="left" vertical="center" wrapText="1"/>
    </xf>
    <xf numFmtId="0" fontId="30" fillId="15" borderId="2" applyAlignment="1" pivotButton="0" quotePrefix="0" xfId="1">
      <alignment horizontal="left" vertical="center"/>
    </xf>
    <xf numFmtId="0" fontId="13" fillId="16" borderId="2" applyAlignment="1" pivotButton="0" quotePrefix="0" xfId="1">
      <alignment horizontal="center" vertical="center"/>
    </xf>
    <xf numFmtId="0" fontId="13" fillId="16" borderId="2" applyAlignment="1" pivotButton="0" quotePrefix="0" xfId="1">
      <alignment vertical="center"/>
    </xf>
    <xf numFmtId="0" fontId="35" fillId="16" borderId="2" applyAlignment="1" pivotButton="0" quotePrefix="0" xfId="2">
      <alignment horizontal="center" vertical="center"/>
    </xf>
    <xf numFmtId="0" fontId="30" fillId="16" borderId="2" applyAlignment="1" pivotButton="0" quotePrefix="0" xfId="1">
      <alignment horizontal="center" vertical="center"/>
    </xf>
    <xf numFmtId="0" fontId="30" fillId="16" borderId="2" applyAlignment="1" pivotButton="0" quotePrefix="0" xfId="1">
      <alignment horizontal="center" vertical="center" wrapText="1"/>
    </xf>
    <xf numFmtId="0" fontId="33" fillId="16" borderId="0" applyAlignment="1" pivotButton="0" quotePrefix="0" xfId="0">
      <alignment horizontal="center" vertical="center" wrapText="1"/>
    </xf>
    <xf numFmtId="0" fontId="39" fillId="0" borderId="0" applyAlignment="1" pivotButton="0" quotePrefix="0" xfId="0">
      <alignment horizontal="center" vertical="center"/>
    </xf>
    <xf numFmtId="0" fontId="13" fillId="16" borderId="0" applyAlignment="1" pivotButton="0" quotePrefix="0" xfId="1">
      <alignment horizontal="center" vertical="center"/>
    </xf>
    <xf numFmtId="0" fontId="0" fillId="16" borderId="0" applyAlignment="1" pivotButton="0" quotePrefix="0" xfId="0">
      <alignment horizontal="center" vertical="center" wrapText="1"/>
    </xf>
    <xf numFmtId="0" fontId="35" fillId="8" borderId="2" applyAlignment="1" pivotButton="0" quotePrefix="0" xfId="2">
      <alignment horizontal="center" vertical="top"/>
    </xf>
    <xf numFmtId="0" fontId="39" fillId="16" borderId="0" applyAlignment="1" pivotButton="0" quotePrefix="0" xfId="0">
      <alignment horizontal="center" vertical="center" wrapText="1"/>
    </xf>
    <xf numFmtId="0" fontId="33" fillId="15" borderId="0" applyAlignment="1" pivotButton="0" quotePrefix="0" xfId="0">
      <alignment horizontal="center" vertical="center" wrapText="1"/>
    </xf>
    <xf numFmtId="0" fontId="26" fillId="0" borderId="2" applyAlignment="1" pivotButton="0" quotePrefix="0" xfId="1">
      <alignment wrapText="1"/>
    </xf>
    <xf numFmtId="0" fontId="23" fillId="15" borderId="0" applyAlignment="1" pivotButton="0" quotePrefix="0" xfId="1">
      <alignment horizontal="center" vertical="center"/>
    </xf>
    <xf numFmtId="0" fontId="37" fillId="6" borderId="2" applyAlignment="1" pivotButton="0" quotePrefix="0" xfId="1">
      <alignment horizontal="center" vertical="center" wrapText="1"/>
    </xf>
    <xf numFmtId="0" fontId="23" fillId="0" borderId="2" applyAlignment="1" pivotButton="0" quotePrefix="0" xfId="1">
      <alignment horizontal="center" vertical="center" wrapText="1"/>
    </xf>
    <xf numFmtId="0" fontId="39" fillId="0" borderId="2" applyAlignment="1" pivotButton="0" quotePrefix="0" xfId="1">
      <alignment horizontal="center" vertical="center"/>
    </xf>
    <xf numFmtId="0" fontId="18" fillId="15" borderId="2" applyAlignment="1" pivotButton="0" quotePrefix="0" xfId="1">
      <alignment horizontal="center" vertical="center"/>
    </xf>
    <xf numFmtId="0" fontId="13" fillId="0" borderId="0" applyAlignment="1" pivotButton="0" quotePrefix="0" xfId="1">
      <alignment horizontal="center" vertical="center" wrapText="1"/>
    </xf>
    <xf numFmtId="0" fontId="13" fillId="0" borderId="2" applyAlignment="1" pivotButton="0" quotePrefix="0" xfId="1">
      <alignment horizontal="center" vertical="center" wrapText="1"/>
    </xf>
    <xf numFmtId="0" fontId="37" fillId="0" borderId="2" applyAlignment="1" pivotButton="0" quotePrefix="0" xfId="1">
      <alignment horizontal="center" vertical="center" wrapText="1"/>
    </xf>
    <xf numFmtId="0" fontId="37" fillId="0" borderId="2" applyAlignment="1" pivotButton="0" quotePrefix="0" xfId="1">
      <alignment horizontal="center" vertical="center"/>
    </xf>
    <xf numFmtId="0" fontId="13" fillId="6" borderId="2" applyAlignment="1" pivotButton="0" quotePrefix="0" xfId="1">
      <alignment horizontal="center"/>
    </xf>
    <xf numFmtId="0" fontId="23" fillId="16" borderId="2" applyAlignment="1" pivotButton="0" quotePrefix="0" xfId="1">
      <alignment horizontal="center" vertical="center"/>
    </xf>
    <xf numFmtId="0" fontId="23" fillId="16" borderId="2" applyAlignment="1" pivotButton="0" quotePrefix="0" xfId="1">
      <alignment horizontal="center" vertical="center" wrapText="1"/>
    </xf>
    <xf numFmtId="0" fontId="30" fillId="15" borderId="2" applyAlignment="1" pivotButton="0" quotePrefix="0" xfId="1">
      <alignment vertical="center"/>
    </xf>
    <xf numFmtId="0" fontId="37" fillId="0" borderId="2" applyAlignment="1" pivotButton="0" quotePrefix="0" xfId="1">
      <alignment vertical="center" wrapText="1"/>
    </xf>
    <xf numFmtId="0" fontId="37" fillId="0" borderId="2" applyAlignment="1" pivotButton="0" quotePrefix="0" xfId="1">
      <alignment vertical="center"/>
    </xf>
    <xf numFmtId="0" fontId="43" fillId="6" borderId="2" applyAlignment="1" pivotButton="0" quotePrefix="0" xfId="1">
      <alignment horizontal="center"/>
    </xf>
    <xf numFmtId="0" fontId="14" fillId="13" borderId="0" applyAlignment="1" pivotButton="0" quotePrefix="0" xfId="0">
      <alignment wrapText="1"/>
    </xf>
    <xf numFmtId="0" fontId="14" fillId="0" borderId="0" applyAlignment="1" pivotButton="0" quotePrefix="0" xfId="0">
      <alignment wrapText="1"/>
    </xf>
    <xf numFmtId="0" fontId="37" fillId="13" borderId="2" applyAlignment="1" pivotButton="0" quotePrefix="0" xfId="1">
      <alignment wrapText="1"/>
    </xf>
    <xf numFmtId="0" fontId="37" fillId="0" borderId="2" applyAlignment="1" pivotButton="0" quotePrefix="0" xfId="1">
      <alignment horizontal="left" vertical="center"/>
    </xf>
    <xf numFmtId="0" fontId="37" fillId="6" borderId="2" applyAlignment="1" pivotButton="0" quotePrefix="0" xfId="1">
      <alignment horizontal="left" vertical="center"/>
    </xf>
    <xf numFmtId="17" fontId="43" fillId="6" borderId="2" pivotButton="0" quotePrefix="0" xfId="1"/>
    <xf numFmtId="0" fontId="36" fillId="16" borderId="0" pivotButton="0" quotePrefix="0" xfId="0"/>
    <xf numFmtId="0" fontId="0" fillId="17" borderId="0" applyAlignment="1" pivotButton="0" quotePrefix="0" xfId="0">
      <alignment horizontal="center" vertical="center"/>
    </xf>
    <xf numFmtId="0" fontId="0" fillId="6" borderId="2" applyAlignment="1" pivotButton="0" quotePrefix="0" xfId="1">
      <alignment horizontal="center" vertical="center" wrapText="1"/>
    </xf>
    <xf numFmtId="0" fontId="23" fillId="6" borderId="18" applyAlignment="1" pivotButton="0" quotePrefix="0" xfId="1">
      <alignment horizontal="center" vertical="center" wrapText="1"/>
    </xf>
    <xf numFmtId="0" fontId="33" fillId="14" borderId="18" applyAlignment="1" pivotButton="0" quotePrefix="0" xfId="0">
      <alignment horizontal="center" vertical="center" wrapText="1"/>
    </xf>
    <xf numFmtId="0" fontId="23" fillId="6" borderId="18" applyAlignment="1" pivotButton="0" quotePrefix="0" xfId="1">
      <alignment wrapText="1"/>
    </xf>
    <xf numFmtId="0" fontId="0" fillId="0" borderId="18" applyAlignment="1" pivotButton="0" quotePrefix="0" xfId="0">
      <alignment wrapText="1"/>
    </xf>
    <xf numFmtId="0" fontId="13" fillId="0" borderId="19" applyAlignment="1" pivotButton="0" quotePrefix="0" xfId="1">
      <alignment vertical="center"/>
    </xf>
    <xf numFmtId="0" fontId="0" fillId="0" borderId="0" applyAlignment="1" pivotButton="0" quotePrefix="0" xfId="0">
      <alignment horizontal="center"/>
    </xf>
    <xf numFmtId="0" fontId="37" fillId="6" borderId="11" applyAlignment="1" pivotButton="0" quotePrefix="0" xfId="1">
      <alignment horizontal="center" vertical="center"/>
    </xf>
    <xf numFmtId="0" fontId="0" fillId="17" borderId="0" applyAlignment="1" pivotButton="0" quotePrefix="0" xfId="0">
      <alignment horizontal="center"/>
    </xf>
    <xf numFmtId="0" fontId="14" fillId="0" borderId="9" applyAlignment="1" pivotButton="0" quotePrefix="0" xfId="1">
      <alignment vertical="center"/>
    </xf>
    <xf numFmtId="0" fontId="14" fillId="6" borderId="8" applyAlignment="1" pivotButton="0" quotePrefix="0" xfId="1">
      <alignment vertical="center"/>
    </xf>
    <xf numFmtId="0" fontId="14" fillId="6" borderId="10" applyAlignment="1" pivotButton="0" quotePrefix="0" xfId="1">
      <alignment vertical="center"/>
    </xf>
    <xf numFmtId="0" fontId="14" fillId="0" borderId="9" applyAlignment="1" pivotButton="0" quotePrefix="0" xfId="1">
      <alignment vertical="center" wrapText="1"/>
    </xf>
    <xf numFmtId="0" fontId="14" fillId="6" borderId="8" applyAlignment="1" pivotButton="0" quotePrefix="0" xfId="1">
      <alignment vertical="center" wrapText="1"/>
    </xf>
    <xf numFmtId="0" fontId="37" fillId="17" borderId="2" applyAlignment="1" pivotButton="0" quotePrefix="0" xfId="1">
      <alignment horizontal="center" vertical="center"/>
    </xf>
    <xf numFmtId="0" fontId="26" fillId="6" borderId="2" applyAlignment="1" pivotButton="0" quotePrefix="0" xfId="1">
      <alignment horizontal="center" vertical="center"/>
    </xf>
    <xf numFmtId="0" fontId="35" fillId="18" borderId="2" applyAlignment="1" pivotButton="0" quotePrefix="0" xfId="2">
      <alignment horizontal="center" vertical="center"/>
    </xf>
    <xf numFmtId="0" fontId="33" fillId="18" borderId="0" applyAlignment="1" pivotButton="0" quotePrefix="0" xfId="0">
      <alignment horizontal="center" vertical="center" wrapText="1"/>
    </xf>
    <xf numFmtId="0" fontId="45" fillId="0" borderId="0" applyAlignment="1" pivotButton="0" quotePrefix="0" xfId="0">
      <alignment horizontal="center"/>
    </xf>
    <xf numFmtId="0" fontId="0" fillId="0" borderId="6" applyAlignment="1" pivotButton="0" quotePrefix="0" xfId="0">
      <alignment horizontal="center" vertical="center" wrapText="1"/>
    </xf>
    <xf numFmtId="0" fontId="13" fillId="0" borderId="7" applyAlignment="1" pivotButton="0" quotePrefix="0" xfId="1">
      <alignment horizontal="center" vertical="center"/>
    </xf>
    <xf numFmtId="0" fontId="15" fillId="6" borderId="2" applyAlignment="1" pivotButton="0" quotePrefix="0" xfId="1">
      <alignment horizontal="center" vertical="center" wrapText="1"/>
    </xf>
    <xf numFmtId="0" fontId="0" fillId="0" borderId="0" applyAlignment="1" pivotButton="0" quotePrefix="0" xfId="0">
      <alignment horizontal="center" vertical="center" wrapText="1"/>
    </xf>
    <xf numFmtId="0" fontId="44" fillId="7" borderId="0" applyAlignment="1" pivotButton="0" quotePrefix="0" xfId="0">
      <alignment horizontal="center" wrapText="1"/>
    </xf>
    <xf numFmtId="0" fontId="13" fillId="0" borderId="0" applyAlignment="1" pivotButton="0" quotePrefix="0" xfId="1">
      <alignment horizontal="center"/>
    </xf>
    <xf numFmtId="0" fontId="46" fillId="0" borderId="0" pivotButton="0" quotePrefix="0" xfId="0"/>
    <xf numFmtId="0" fontId="14" fillId="0" borderId="6" applyAlignment="1" pivotButton="0" quotePrefix="0" xfId="0">
      <alignment horizontal="center" wrapText="1"/>
    </xf>
    <xf numFmtId="0" fontId="37" fillId="6" borderId="2" applyAlignment="1" pivotButton="0" quotePrefix="0" xfId="1">
      <alignment horizontal="center" wrapText="1"/>
    </xf>
    <xf numFmtId="0" fontId="14" fillId="0" borderId="0" applyAlignment="1" pivotButton="0" quotePrefix="0" xfId="0">
      <alignment horizontal="center"/>
    </xf>
    <xf numFmtId="0" fontId="14" fillId="0" borderId="0" applyAlignment="1" pivotButton="0" quotePrefix="0" xfId="0">
      <alignment horizontal="center" wrapText="1"/>
    </xf>
    <xf numFmtId="0" fontId="37" fillId="6" borderId="2" applyAlignment="1" pivotButton="0" quotePrefix="0" xfId="1">
      <alignment horizontal="center"/>
    </xf>
    <xf numFmtId="0" fontId="14" fillId="0" borderId="0" applyAlignment="1" pivotButton="0" quotePrefix="0" xfId="0">
      <alignment horizontal="center"/>
    </xf>
    <xf numFmtId="0" fontId="37" fillId="6" borderId="11" applyAlignment="1" pivotButton="0" quotePrefix="0" xfId="1">
      <alignment horizontal="center" wrapText="1"/>
    </xf>
    <xf numFmtId="0" fontId="37" fillId="6" borderId="12" applyAlignment="1" pivotButton="0" quotePrefix="0" xfId="1">
      <alignment horizontal="center"/>
    </xf>
    <xf numFmtId="0" fontId="37" fillId="0" borderId="7" applyAlignment="1" pivotButton="0" quotePrefix="0" xfId="1">
      <alignment horizontal="center" vertical="center" wrapText="1"/>
    </xf>
    <xf numFmtId="0" fontId="37" fillId="6" borderId="11" applyAlignment="1" pivotButton="0" quotePrefix="0" xfId="1">
      <alignment horizontal="center" vertical="center" wrapText="1"/>
    </xf>
    <xf numFmtId="0" fontId="47" fillId="6" borderId="2" pivotButton="0" quotePrefix="0" xfId="1"/>
    <xf numFmtId="0" fontId="47" fillId="0" borderId="2" pivotButton="0" quotePrefix="0" xfId="1"/>
    <xf numFmtId="0" fontId="47" fillId="6" borderId="2" applyAlignment="1" pivotButton="0" quotePrefix="0" xfId="1">
      <alignment wrapText="1"/>
    </xf>
    <xf numFmtId="0" fontId="47" fillId="0" borderId="2" applyAlignment="1" pivotButton="0" quotePrefix="0" xfId="1">
      <alignment wrapText="1"/>
    </xf>
    <xf numFmtId="0" fontId="0" fillId="0" borderId="0" pivotButton="0" quotePrefix="0" xfId="0"/>
    <xf numFmtId="0" fontId="48" fillId="6" borderId="2" pivotButton="0" quotePrefix="0" xfId="1"/>
    <xf numFmtId="0" fontId="48" fillId="0" borderId="2" pivotButton="0" quotePrefix="0" xfId="1"/>
    <xf numFmtId="0" fontId="26" fillId="0" borderId="2" pivotButton="0" quotePrefix="0" xfId="1"/>
    <xf numFmtId="0" fontId="26" fillId="6" borderId="2" pivotButton="0" quotePrefix="0" xfId="1"/>
    <xf numFmtId="0" fontId="37" fillId="0" borderId="2" applyAlignment="1" pivotButton="0" quotePrefix="0" xfId="1">
      <alignment wrapText="1"/>
    </xf>
    <xf numFmtId="0" fontId="37" fillId="6" borderId="2" pivotButton="0" quotePrefix="0" xfId="1"/>
    <xf numFmtId="0" fontId="37" fillId="0" borderId="2" pivotButton="0" quotePrefix="0" xfId="1"/>
    <xf numFmtId="0" fontId="43" fillId="6" borderId="2" pivotButton="0" quotePrefix="0" xfId="1"/>
    <xf numFmtId="0" fontId="14" fillId="6" borderId="2" pivotButton="0" quotePrefix="0" xfId="1"/>
    <xf numFmtId="0" fontId="49" fillId="0" borderId="0" pivotButton="0" quotePrefix="0" xfId="0"/>
    <xf numFmtId="0" fontId="13" fillId="14" borderId="0" applyAlignment="1" pivotButton="0" quotePrefix="0" xfId="1">
      <alignment horizontal="center" vertical="center"/>
    </xf>
    <xf numFmtId="0" fontId="0" fillId="14" borderId="0" applyAlignment="1" pivotButton="0" quotePrefix="0" xfId="0">
      <alignment horizontal="right" vertical="center"/>
    </xf>
    <xf numFmtId="0" fontId="23" fillId="14" borderId="2" applyAlignment="1" pivotButton="0" quotePrefix="0" xfId="1">
      <alignment horizontal="center" vertical="center" wrapText="1"/>
    </xf>
    <xf numFmtId="0" fontId="13" fillId="14" borderId="2" applyAlignment="1" pivotButton="0" quotePrefix="0" xfId="1">
      <alignment horizontal="center" vertical="center"/>
    </xf>
    <xf numFmtId="0" fontId="35" fillId="14" borderId="2" applyAlignment="1" pivotButton="0" quotePrefix="0" xfId="2">
      <alignment horizontal="center" vertical="center"/>
    </xf>
    <xf numFmtId="0" fontId="0" fillId="0" borderId="1" applyAlignment="1" pivotButton="0" quotePrefix="0" xfId="0">
      <alignment horizontal="center" vertical="center"/>
    </xf>
    <xf numFmtId="164" fontId="0" fillId="5" borderId="1" pivotButton="0" quotePrefix="0" xfId="0"/>
    <xf numFmtId="0" fontId="0" fillId="5" borderId="1" pivotButton="0" quotePrefix="0" xfId="0"/>
    <xf numFmtId="0" fontId="14" fillId="6" borderId="2" applyAlignment="1" pivotButton="0" quotePrefix="0" xfId="1">
      <alignment horizontal="center" vertical="center"/>
    </xf>
    <xf numFmtId="0" fontId="0" fillId="14" borderId="0" applyAlignment="1" pivotButton="0" quotePrefix="0" xfId="0">
      <alignment horizontal="center" vertical="center" wrapText="1"/>
    </xf>
    <xf numFmtId="0" fontId="0" fillId="6" borderId="2" applyAlignment="1" pivotButton="0" quotePrefix="0" xfId="1">
      <alignment horizontal="center" vertical="center"/>
    </xf>
    <xf numFmtId="0" fontId="0" fillId="16" borderId="0" applyAlignment="1" pivotButton="0" quotePrefix="0" xfId="0">
      <alignment horizontal="center" vertical="center"/>
    </xf>
    <xf numFmtId="0" fontId="50" fillId="17" borderId="0" applyAlignment="1" pivotButton="0" quotePrefix="0" xfId="0">
      <alignment horizontal="center" vertical="center"/>
    </xf>
    <xf numFmtId="49" fontId="0" fillId="6" borderId="18" applyAlignment="1" pivotButton="0" quotePrefix="0" xfId="1">
      <alignment horizontal="center" vertical="center" wrapText="1"/>
    </xf>
    <xf numFmtId="0" fontId="0" fillId="15" borderId="0" applyAlignment="1" pivotButton="0" quotePrefix="0" xfId="0">
      <alignment horizontal="center" vertical="center"/>
    </xf>
    <xf numFmtId="0" fontId="14" fillId="0" borderId="0" applyAlignment="1" pivotButton="0" quotePrefix="0" xfId="0">
      <alignment vertical="center" wrapText="1"/>
    </xf>
    <xf numFmtId="0" fontId="14" fillId="0" borderId="2" applyAlignment="1" pivotButton="0" quotePrefix="0" xfId="1">
      <alignment horizontal="center" vertical="center"/>
    </xf>
    <xf numFmtId="0" fontId="23" fillId="15" borderId="0" applyAlignment="1" pivotButton="0" quotePrefix="0" xfId="1">
      <alignment horizontal="center" vertical="center"/>
    </xf>
    <xf numFmtId="0" fontId="24" fillId="10" borderId="0" applyAlignment="1" pivotButton="0" quotePrefix="0" xfId="0">
      <alignment horizontal="center" vertical="center" textRotation="90"/>
    </xf>
    <xf numFmtId="0" fontId="14" fillId="16" borderId="0" applyAlignment="1" pivotButton="0" quotePrefix="0" xfId="0">
      <alignment horizontal="center" vertical="center" wrapText="1"/>
    </xf>
    <xf numFmtId="0" fontId="14" fillId="0" borderId="0" applyAlignment="1" pivotButton="0" quotePrefix="0" xfId="0">
      <alignment horizontal="center" vertical="center"/>
    </xf>
    <xf numFmtId="0" fontId="51" fillId="0" borderId="0" pivotButton="0" quotePrefix="0" xfId="0"/>
    <xf numFmtId="0" fontId="52" fillId="0" borderId="0" pivotButton="0" quotePrefix="0" xfId="0"/>
    <xf numFmtId="0" fontId="16" fillId="0" borderId="1" applyAlignment="1" pivotButton="0" quotePrefix="0" xfId="0">
      <alignment horizontal="center" vertical="center"/>
    </xf>
    <xf numFmtId="0" fontId="37" fillId="6" borderId="0" applyAlignment="1" pivotButton="0" quotePrefix="0" xfId="1">
      <alignment horizontal="center" vertical="center"/>
    </xf>
    <xf numFmtId="0" fontId="37" fillId="6" borderId="0" applyAlignment="1" pivotButton="0" quotePrefix="0" xfId="1">
      <alignment horizontal="center" wrapText="1"/>
    </xf>
    <xf numFmtId="0" fontId="30" fillId="6" borderId="0" applyAlignment="1" pivotButton="0" quotePrefix="0" xfId="1">
      <alignment horizontal="center" vertical="center" wrapText="1"/>
    </xf>
    <xf numFmtId="0" fontId="26" fillId="6" borderId="0" pivotButton="0" quotePrefix="0" xfId="1"/>
    <xf numFmtId="0" fontId="26" fillId="0" borderId="0" pivotButton="0" quotePrefix="0" xfId="1"/>
    <xf numFmtId="0" fontId="37" fillId="6" borderId="11" applyAlignment="1" pivotButton="0" quotePrefix="0" xfId="1">
      <alignment horizontal="center"/>
    </xf>
    <xf numFmtId="0" fontId="14" fillId="0" borderId="6" applyAlignment="1" pivotButton="0" quotePrefix="0" xfId="0">
      <alignment horizontal="center" vertical="center" wrapText="1"/>
    </xf>
    <xf numFmtId="0" fontId="37" fillId="6" borderId="0" applyAlignment="1" pivotButton="0" quotePrefix="0" xfId="1">
      <alignment horizontal="center" wrapText="1"/>
    </xf>
    <xf numFmtId="0" fontId="17" fillId="2" borderId="14" applyAlignment="1" pivotButton="0" quotePrefix="0" xfId="0">
      <alignment horizontal="center" vertical="center" wrapText="1"/>
    </xf>
    <xf numFmtId="0" fontId="0" fillId="0" borderId="0" applyAlignment="1" pivotButton="0" quotePrefix="0" xfId="0">
      <alignment horizontal="center" vertical="center"/>
    </xf>
    <xf numFmtId="0" fontId="33" fillId="14" borderId="0" applyAlignment="1" pivotButton="0" quotePrefix="0" xfId="0">
      <alignment horizontal="center" vertical="center" wrapText="1"/>
    </xf>
    <xf numFmtId="0" fontId="37" fillId="6" borderId="2" applyAlignment="1" pivotButton="0" quotePrefix="0" xfId="1">
      <alignment wrapText="1"/>
    </xf>
    <xf numFmtId="0" fontId="43" fillId="6" borderId="2" pivotButton="0" quotePrefix="0" xfId="1"/>
    <xf numFmtId="0" fontId="22" fillId="9" borderId="2" pivotButton="0" quotePrefix="0" xfId="3"/>
    <xf numFmtId="0" fontId="0" fillId="0" borderId="0" pivotButton="0" quotePrefix="0" xfId="0"/>
    <xf numFmtId="0" fontId="23" fillId="6" borderId="2" pivotButton="0" quotePrefix="0" xfId="1"/>
    <xf numFmtId="0" fontId="16" fillId="0" borderId="1" applyAlignment="1" pivotButton="0" quotePrefix="0" xfId="0">
      <alignment vertical="center"/>
    </xf>
    <xf numFmtId="0" fontId="13" fillId="6" borderId="2" applyAlignment="1" pivotButton="0" quotePrefix="0" xfId="1">
      <alignment vertical="center" wrapText="1"/>
    </xf>
    <xf numFmtId="0" fontId="37" fillId="6" borderId="12" applyAlignment="1" pivotButton="0" quotePrefix="0" xfId="1">
      <alignment horizontal="center" vertical="center"/>
    </xf>
    <xf numFmtId="0" fontId="53" fillId="6" borderId="2" applyAlignment="1" pivotButton="0" quotePrefix="0" xfId="1">
      <alignment horizontal="center"/>
    </xf>
    <xf numFmtId="0" fontId="33" fillId="18" borderId="0" applyAlignment="1" pivotButton="0" quotePrefix="0" xfId="0">
      <alignment horizontal="left" vertical="center" wrapText="1"/>
    </xf>
    <xf numFmtId="0" fontId="31" fillId="0" borderId="0" applyAlignment="1" pivotButton="0" quotePrefix="0" xfId="0">
      <alignment horizontal="center" vertical="center" wrapText="1"/>
    </xf>
    <xf numFmtId="0" fontId="33" fillId="13" borderId="0" applyAlignment="1" pivotButton="0" quotePrefix="0" xfId="0">
      <alignment horizontal="center" vertical="center" wrapText="1"/>
    </xf>
    <xf numFmtId="0" fontId="41" fillId="0" borderId="0" applyAlignment="1" pivotButton="0" quotePrefix="0" xfId="0">
      <alignment horizontal="center" vertical="center" wrapText="1"/>
    </xf>
    <xf numFmtId="0" fontId="13" fillId="6" borderId="18" applyAlignment="1" pivotButton="0" quotePrefix="0" xfId="1">
      <alignment horizontal="center" vertical="center" wrapText="1"/>
    </xf>
    <xf numFmtId="0" fontId="30" fillId="6" borderId="18" applyAlignment="1" pivotButton="0" quotePrefix="0" xfId="1">
      <alignment horizontal="center" vertical="center" wrapText="1"/>
    </xf>
    <xf numFmtId="0" fontId="13" fillId="6" borderId="2" applyAlignment="1" pivotButton="0" quotePrefix="0" xfId="1">
      <alignment horizontal="center" vertical="center" wrapText="1"/>
    </xf>
    <xf numFmtId="0" fontId="0" fillId="13" borderId="0" applyAlignment="1" pivotButton="0" quotePrefix="0" xfId="0">
      <alignment vertical="center" wrapText="1"/>
    </xf>
    <xf numFmtId="15" fontId="26" fillId="6" borderId="2" applyAlignment="1" pivotButton="0" quotePrefix="0" xfId="1">
      <alignment horizontal="left" vertical="center"/>
    </xf>
    <xf numFmtId="15" fontId="0" fillId="0" borderId="0" applyAlignment="1" pivotButton="0" quotePrefix="0" xfId="0">
      <alignment horizontal="left"/>
    </xf>
    <xf numFmtId="0" fontId="14" fillId="0" borderId="0" applyAlignment="1" pivotButton="0" quotePrefix="0" xfId="0">
      <alignment horizontal="center" vertical="center" wrapText="1"/>
    </xf>
    <xf numFmtId="0" fontId="0" fillId="0" borderId="6" applyAlignment="1" pivotButton="0" quotePrefix="0" xfId="0">
      <alignment vertical="center"/>
    </xf>
    <xf numFmtId="0" fontId="23" fillId="6" borderId="2" applyAlignment="1" pivotButton="0" quotePrefix="0" xfId="1">
      <alignment vertical="center"/>
    </xf>
    <xf numFmtId="0" fontId="45" fillId="0" borderId="0" applyAlignment="1" pivotButton="0" quotePrefix="0" xfId="0">
      <alignment horizontal="center" vertical="center"/>
    </xf>
    <xf numFmtId="0" fontId="44" fillId="7" borderId="0" applyAlignment="1" pivotButton="0" quotePrefix="0" xfId="0">
      <alignment horizontal="center" vertical="center" wrapText="1"/>
    </xf>
    <xf numFmtId="0" fontId="37" fillId="6" borderId="0" applyAlignment="1" pivotButton="0" quotePrefix="0" xfId="1">
      <alignment horizontal="center" vertical="center" wrapText="1"/>
    </xf>
    <xf numFmtId="0" fontId="23" fillId="6" borderId="11" applyAlignment="1" pivotButton="0" quotePrefix="0" xfId="1">
      <alignment vertical="center"/>
    </xf>
    <xf numFmtId="0" fontId="33" fillId="19" borderId="0" applyAlignment="1" pivotButton="0" quotePrefix="0" xfId="0">
      <alignment horizontal="center" vertical="center" wrapText="1"/>
    </xf>
    <xf numFmtId="0" fontId="55" fillId="6" borderId="2" applyAlignment="1" pivotButton="0" quotePrefix="0" xfId="1">
      <alignment horizontal="center" vertical="center"/>
    </xf>
    <xf numFmtId="0" fontId="23" fillId="14" borderId="2" pivotButton="0" quotePrefix="0" xfId="1"/>
    <xf numFmtId="0" fontId="13" fillId="14" borderId="2" pivotButton="0" quotePrefix="0" xfId="1"/>
    <xf numFmtId="0" fontId="26" fillId="14" borderId="2" pivotButton="0" quotePrefix="0" xfId="1"/>
    <xf numFmtId="0" fontId="23" fillId="14" borderId="2" applyAlignment="1" pivotButton="0" quotePrefix="0" xfId="1">
      <alignment horizontal="center"/>
    </xf>
    <xf numFmtId="0" fontId="35" fillId="14" borderId="2" applyAlignment="1" pivotButton="0" quotePrefix="0" xfId="2">
      <alignment horizontal="left" vertical="top"/>
    </xf>
    <xf numFmtId="14" fontId="23" fillId="6" borderId="2" pivotButton="0" quotePrefix="0" xfId="1"/>
    <xf numFmtId="0" fontId="0" fillId="0" borderId="18" applyAlignment="1" pivotButton="0" quotePrefix="0" xfId="0">
      <alignment horizontal="center" wrapText="1"/>
    </xf>
    <xf numFmtId="15" fontId="0" fillId="0" borderId="0" applyAlignment="1" pivotButton="0" quotePrefix="0" xfId="0">
      <alignment wrapText="1"/>
    </xf>
    <xf numFmtId="0" fontId="13" fillId="14" borderId="0" pivotButton="0" quotePrefix="0" xfId="1"/>
    <xf numFmtId="0" fontId="0" fillId="14" borderId="0" pivotButton="0" quotePrefix="0" xfId="0"/>
    <xf numFmtId="0" fontId="0" fillId="14" borderId="0" pivotButton="0" quotePrefix="0" xfId="0"/>
    <xf numFmtId="0" fontId="0" fillId="14" borderId="0" applyAlignment="1" pivotButton="0" quotePrefix="0" xfId="0">
      <alignment horizontal="center"/>
    </xf>
    <xf numFmtId="0" fontId="15" fillId="14" borderId="2" pivotButton="0" quotePrefix="0" xfId="1"/>
    <xf numFmtId="0" fontId="16" fillId="0" borderId="1" pivotButton="0" quotePrefix="0" xfId="0"/>
    <xf numFmtId="0" fontId="13" fillId="0" borderId="1" pivotButton="0" quotePrefix="0" xfId="1"/>
    <xf numFmtId="0" fontId="30" fillId="0" borderId="2" pivotButton="0" quotePrefix="0" xfId="1"/>
    <xf numFmtId="0" fontId="0" fillId="14" borderId="0" applyAlignment="1" pivotButton="0" quotePrefix="0" xfId="0">
      <alignment horizontal="center" vertical="center"/>
    </xf>
    <xf numFmtId="0" fontId="37" fillId="13" borderId="18" applyAlignment="1" pivotButton="0" quotePrefix="0" xfId="1">
      <alignment vertical="center" wrapText="1"/>
    </xf>
    <xf numFmtId="0" fontId="37" fillId="6" borderId="18" applyAlignment="1" pivotButton="0" quotePrefix="0" xfId="1">
      <alignment horizontal="center" vertical="center"/>
    </xf>
    <xf numFmtId="0" fontId="13" fillId="6" borderId="18" applyAlignment="1" pivotButton="0" quotePrefix="0" xfId="1">
      <alignment vertical="center"/>
    </xf>
    <xf numFmtId="0" fontId="30" fillId="6" borderId="18" applyAlignment="1" pivotButton="0" quotePrefix="0" xfId="1">
      <alignment vertical="center" wrapText="1"/>
    </xf>
    <xf numFmtId="0" fontId="35" fillId="8" borderId="18" applyAlignment="1" pivotButton="0" quotePrefix="0" xfId="2">
      <alignment horizontal="left" vertical="top"/>
    </xf>
    <xf numFmtId="0" fontId="30" fillId="6" borderId="18" applyAlignment="1" pivotButton="0" quotePrefix="0" xfId="1">
      <alignment vertical="center"/>
    </xf>
    <xf numFmtId="0" fontId="0" fillId="0" borderId="18" pivotButton="0" quotePrefix="0" xfId="0"/>
    <xf numFmtId="0" fontId="0" fillId="13" borderId="18" applyAlignment="1" pivotButton="0" quotePrefix="0" xfId="0">
      <alignment vertical="center" wrapText="1"/>
    </xf>
    <xf numFmtId="0" fontId="0" fillId="0" borderId="18" applyAlignment="1" pivotButton="0" quotePrefix="0" xfId="0">
      <alignment horizontal="center" vertical="center"/>
    </xf>
    <xf numFmtId="0" fontId="13" fillId="0" borderId="18" applyAlignment="1" pivotButton="0" quotePrefix="0" xfId="1">
      <alignment vertical="center"/>
    </xf>
    <xf numFmtId="0" fontId="15" fillId="0" borderId="18" applyAlignment="1" pivotButton="0" quotePrefix="0" xfId="0">
      <alignment horizontal="center" vertical="center" wrapText="1"/>
    </xf>
    <xf numFmtId="0" fontId="33" fillId="14" borderId="18" applyAlignment="1" pivotButton="0" quotePrefix="0" xfId="0">
      <alignment vertical="center" wrapText="1"/>
    </xf>
    <xf numFmtId="0" fontId="15" fillId="0" borderId="18" applyAlignment="1" pivotButton="0" quotePrefix="0" xfId="0">
      <alignment vertical="center" wrapText="1"/>
    </xf>
    <xf numFmtId="0" fontId="37" fillId="13" borderId="18" applyAlignment="1" pivotButton="0" quotePrefix="0" xfId="1">
      <alignment wrapText="1"/>
    </xf>
    <xf numFmtId="0" fontId="0" fillId="13" borderId="18" applyAlignment="1" pivotButton="0" quotePrefix="0" xfId="0">
      <alignment wrapText="1"/>
    </xf>
    <xf numFmtId="0" fontId="13" fillId="0" borderId="18" applyAlignment="1" pivotButton="0" quotePrefix="0" xfId="1">
      <alignment horizontal="center" vertical="center"/>
    </xf>
    <xf numFmtId="0" fontId="30" fillId="15" borderId="18" applyAlignment="1" pivotButton="0" quotePrefix="0" xfId="1">
      <alignment vertical="center"/>
    </xf>
    <xf numFmtId="0" fontId="37" fillId="0" borderId="18" applyAlignment="1" pivotButton="0" quotePrefix="0" xfId="1">
      <alignment vertical="center" wrapText="1"/>
    </xf>
    <xf numFmtId="0" fontId="37" fillId="6" borderId="18" applyAlignment="1" pivotButton="0" quotePrefix="0" xfId="1">
      <alignment vertical="center" wrapText="1"/>
    </xf>
    <xf numFmtId="0" fontId="13" fillId="6" borderId="18" pivotButton="0" quotePrefix="0" xfId="1"/>
    <xf numFmtId="0" fontId="13" fillId="0" borderId="18" pivotButton="0" quotePrefix="0" xfId="1"/>
    <xf numFmtId="0" fontId="15" fillId="0" borderId="18" applyAlignment="1" pivotButton="0" quotePrefix="0" xfId="0">
      <alignment horizontal="left" vertical="center" wrapText="1"/>
    </xf>
    <xf numFmtId="0" fontId="37" fillId="0" borderId="18" applyAlignment="1" pivotButton="0" quotePrefix="0" xfId="1">
      <alignment vertical="center"/>
    </xf>
    <xf numFmtId="0" fontId="43" fillId="6" borderId="18" applyAlignment="1" pivotButton="0" quotePrefix="0" xfId="1">
      <alignment horizontal="center"/>
    </xf>
    <xf numFmtId="0" fontId="23" fillId="6" borderId="18" pivotButton="0" quotePrefix="0" xfId="1"/>
    <xf numFmtId="0" fontId="37" fillId="6" borderId="18" applyAlignment="1" pivotButton="0" quotePrefix="0" xfId="1">
      <alignment vertical="center"/>
    </xf>
    <xf numFmtId="0" fontId="0" fillId="13" borderId="18" pivotButton="0" quotePrefix="0" xfId="0"/>
    <xf numFmtId="0" fontId="0" fillId="0" borderId="18" applyAlignment="1" pivotButton="0" quotePrefix="0" xfId="0">
      <alignment horizontal="center"/>
    </xf>
    <xf numFmtId="0" fontId="23" fillId="0" borderId="18" pivotButton="0" quotePrefix="0" xfId="1"/>
    <xf numFmtId="0" fontId="13" fillId="0" borderId="21" applyAlignment="1" pivotButton="0" quotePrefix="0" xfId="1">
      <alignment vertical="center"/>
    </xf>
    <xf numFmtId="0" fontId="35" fillId="8" borderId="21" applyAlignment="1" pivotButton="0" quotePrefix="0" xfId="2">
      <alignment horizontal="left" vertical="top"/>
    </xf>
    <xf numFmtId="0" fontId="35" fillId="8" borderId="19" applyAlignment="1" pivotButton="0" quotePrefix="0" xfId="2">
      <alignment horizontal="left" vertical="top"/>
    </xf>
    <xf numFmtId="0" fontId="26" fillId="0" borderId="19" applyAlignment="1" pivotButton="0" quotePrefix="0" xfId="1">
      <alignment horizontal="left" vertical="center" wrapText="1"/>
    </xf>
    <xf numFmtId="0" fontId="13" fillId="15" borderId="0" applyAlignment="1" pivotButton="0" quotePrefix="0" xfId="1">
      <alignment vertical="center"/>
    </xf>
    <xf numFmtId="0" fontId="29" fillId="15" borderId="0" applyAlignment="1" pivotButton="0" quotePrefix="0" xfId="1">
      <alignment horizontal="left" vertical="center" wrapText="1"/>
    </xf>
    <xf numFmtId="0" fontId="29" fillId="15" borderId="0" applyAlignment="1" pivotButton="0" quotePrefix="0" xfId="1">
      <alignment horizontal="left" vertical="center" wrapText="1" readingOrder="1"/>
    </xf>
    <xf numFmtId="0" fontId="52" fillId="0" borderId="0" applyAlignment="1" pivotButton="0" quotePrefix="0" xfId="0">
      <alignment wrapText="1"/>
    </xf>
    <xf numFmtId="0" fontId="47" fillId="6" borderId="2" applyAlignment="1" pivotButton="0" quotePrefix="0" xfId="1">
      <alignment vertical="center" wrapText="1"/>
    </xf>
    <xf numFmtId="0" fontId="47" fillId="12" borderId="2" applyAlignment="1" pivotButton="0" quotePrefix="0" xfId="1">
      <alignment wrapText="1"/>
    </xf>
    <xf numFmtId="0" fontId="15" fillId="12" borderId="0" applyAlignment="1" pivotButton="0" quotePrefix="0" xfId="0">
      <alignment horizontal="center" vertical="center" wrapText="1"/>
    </xf>
    <xf numFmtId="0" fontId="13" fillId="12" borderId="2" applyAlignment="1" pivotButton="0" quotePrefix="0" xfId="1">
      <alignment horizontal="left" vertical="center" wrapText="1"/>
    </xf>
    <xf numFmtId="0" fontId="24" fillId="10" borderId="4" applyAlignment="1" pivotButton="0" quotePrefix="0" xfId="0">
      <alignment horizontal="center" vertical="center" textRotation="90"/>
    </xf>
    <xf numFmtId="0" fontId="24" fillId="10" borderId="13" applyAlignment="1" pivotButton="0" quotePrefix="0" xfId="0">
      <alignment horizontal="center" vertical="center" textRotation="90"/>
    </xf>
    <xf numFmtId="0" fontId="24" fillId="10" borderId="16" applyAlignment="1" pivotButton="0" quotePrefix="0" xfId="0">
      <alignment horizontal="center" vertical="center" textRotation="90"/>
    </xf>
    <xf numFmtId="0" fontId="24" fillId="10" borderId="17" applyAlignment="1" pivotButton="0" quotePrefix="0" xfId="0">
      <alignment horizontal="center" vertical="center" textRotation="90"/>
    </xf>
    <xf numFmtId="0" fontId="24" fillId="11" borderId="4" applyAlignment="1" pivotButton="0" quotePrefix="0" xfId="0">
      <alignment horizontal="center" vertical="center" textRotation="90"/>
    </xf>
    <xf numFmtId="0" fontId="24" fillId="10" borderId="15" applyAlignment="1" pivotButton="0" quotePrefix="0" xfId="0">
      <alignment horizontal="center" vertical="center" textRotation="90"/>
    </xf>
    <xf numFmtId="0" fontId="24" fillId="10" borderId="5" applyAlignment="1" pivotButton="0" quotePrefix="0" xfId="0">
      <alignment horizontal="center" vertical="center" textRotation="90"/>
    </xf>
    <xf numFmtId="0" fontId="24" fillId="10" borderId="20" applyAlignment="1" pivotButton="0" quotePrefix="0" xfId="0">
      <alignment horizontal="center" vertical="center" textRotation="90"/>
    </xf>
    <xf numFmtId="0" fontId="1" fillId="6" borderId="2" applyAlignment="1" pivotButton="0" quotePrefix="0" xfId="1">
      <alignment horizontal="center" vertical="center" wrapText="1"/>
    </xf>
    <xf numFmtId="0" fontId="1" fillId="12" borderId="0" applyAlignment="1" pivotButton="0" quotePrefix="0" xfId="0">
      <alignment horizontal="left"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56" fillId="20" borderId="23" applyAlignment="1" pivotButton="0" quotePrefix="0" xfId="0">
      <alignment horizontal="center" vertical="center" wrapText="1"/>
    </xf>
    <xf numFmtId="0" fontId="57" fillId="21" borderId="23" applyAlignment="1" pivotButton="0" quotePrefix="0" xfId="0">
      <alignment horizontal="center" vertical="top" wrapText="1"/>
    </xf>
    <xf numFmtId="0" fontId="57" fillId="21" borderId="23" applyAlignment="1" pivotButton="0" quotePrefix="0" xfId="0">
      <alignment horizontal="left" vertical="top" wrapText="1"/>
    </xf>
    <xf numFmtId="0" fontId="58" fillId="22" borderId="23" applyAlignment="1" pivotButton="0" quotePrefix="0" xfId="0">
      <alignment horizontal="center" vertical="top" wrapText="1"/>
    </xf>
    <xf numFmtId="0" fontId="59" fillId="23" borderId="23" applyAlignment="1" pivotButton="0" quotePrefix="0" xfId="0">
      <alignment horizontal="center" vertical="top" wrapText="1"/>
    </xf>
    <xf numFmtId="0" fontId="60" fillId="24" borderId="23" applyAlignment="1" pivotButton="0" quotePrefix="0" xfId="0">
      <alignment horizontal="left" vertical="top" wrapText="1"/>
    </xf>
    <xf numFmtId="0" fontId="61" fillId="21" borderId="23" applyAlignment="1" pivotButton="0" quotePrefix="0" xfId="0">
      <alignment horizontal="center" vertical="top" wrapText="1"/>
    </xf>
    <xf numFmtId="0" fontId="57" fillId="25" borderId="23" applyAlignment="1" pivotButton="0" quotePrefix="0" xfId="0">
      <alignment horizontal="center" vertical="top" wrapText="1"/>
    </xf>
    <xf numFmtId="0" fontId="57" fillId="25" borderId="23" applyAlignment="1" pivotButton="0" quotePrefix="0" xfId="0">
      <alignment horizontal="left" vertical="top" wrapText="1"/>
    </xf>
    <xf numFmtId="0" fontId="61" fillId="25" borderId="23" applyAlignment="1" pivotButton="0" quotePrefix="0" xfId="0">
      <alignment horizontal="center" vertical="top" wrapText="1"/>
    </xf>
    <xf numFmtId="0" fontId="62" fillId="26" borderId="23" applyAlignment="1" pivotButton="0" quotePrefix="0" xfId="0">
      <alignment horizontal="center" vertical="top" wrapText="1"/>
    </xf>
    <xf numFmtId="0" fontId="63" fillId="27" borderId="23" applyAlignment="1" pivotButton="0" quotePrefix="0" xfId="0">
      <alignment horizontal="center" vertical="top" wrapText="1"/>
    </xf>
    <xf numFmtId="0" fontId="63" fillId="27" borderId="23" applyAlignment="1" pivotButton="0" quotePrefix="0" xfId="0">
      <alignment horizontal="left" vertical="top" wrapText="1"/>
    </xf>
    <xf numFmtId="165" fontId="57" fillId="25" borderId="23" applyAlignment="1" pivotButton="0" quotePrefix="0" xfId="0">
      <alignment horizontal="center" vertical="top" wrapText="1"/>
    </xf>
    <xf numFmtId="0" fontId="0" fillId="0" borderId="5" pivotButton="0" quotePrefix="0" xfId="0"/>
    <xf numFmtId="0" fontId="0" fillId="0" borderId="16" pivotButton="0" quotePrefix="0" xfId="0"/>
    <xf numFmtId="0" fontId="24" fillId="10" borderId="22" applyAlignment="1" pivotButton="0" quotePrefix="0" xfId="0">
      <alignment horizontal="center" vertical="center" textRotation="90"/>
    </xf>
    <xf numFmtId="0" fontId="0" fillId="0" borderId="17" pivotButton="0" quotePrefix="0" xfId="0"/>
    <xf numFmtId="0" fontId="0" fillId="0" borderId="20" pivotButton="0" quotePrefix="0" xfId="0"/>
    <xf numFmtId="0" fontId="64" fillId="0" borderId="0" pivotButton="0" quotePrefix="0" xfId="0"/>
    <xf numFmtId="0" fontId="61" fillId="23" borderId="23" applyAlignment="1" pivotButton="0" quotePrefix="0" xfId="0">
      <alignment horizontal="center" vertical="top" wrapText="1"/>
    </xf>
    <xf numFmtId="0" fontId="57" fillId="23" borderId="23" applyAlignment="1" pivotButton="0" quotePrefix="0" xfId="0">
      <alignment horizontal="left" vertical="top" wrapText="1"/>
    </xf>
    <xf numFmtId="0" fontId="61" fillId="24" borderId="23" applyAlignment="1" pivotButton="0" quotePrefix="0" xfId="0">
      <alignment horizontal="center" vertical="top" wrapText="1"/>
    </xf>
    <xf numFmtId="0" fontId="57" fillId="24" borderId="23" applyAlignment="1" pivotButton="0" quotePrefix="0" xfId="0">
      <alignment horizontal="left" vertical="top" wrapText="1"/>
    </xf>
  </cellXfs>
  <cellStyles count="4">
    <cellStyle name="Normal" xfId="0" builtinId="0"/>
    <cellStyle name="Hyperlink" xfId="1" builtinId="8"/>
    <cellStyle name="Good" xfId="2" builtinId="26"/>
    <cellStyle name="Bad" xfId="3" builtinId="27"/>
  </cellStyles>
  <dxfs count="15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dxf>
    <dxf>
      <alignment vertical="center"/>
    </dxf>
    <dxf>
      <alignment vertical="center"/>
    </dxf>
    <dxf>
      <alignment vertical="center"/>
    </dxf>
    <dxf>
      <alignment vertical="center"/>
    </dxf>
    <dxf>
      <alignment vertic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alignment horizontal="center"/>
    </dxf>
    <dxf>
      <numFmt numFmtId="0" formatCode="Genera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alignment horizontal="center"/>
    </dxf>
    <dxf>
      <alignment horizontal="center"/>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4F81BD"/>
      <rgbColor rgb="FFB7B7B7"/>
      <rgbColor rgb="FF878787"/>
      <rgbColor rgb="FF93A9CE"/>
      <rgbColor rgb="FFAB4744"/>
      <rgbColor rgb="FFF9F9F9"/>
      <rgbColor rgb="FFF2F2F2"/>
      <rgbColor rgb="FF660066"/>
      <rgbColor rgb="FFDC853E"/>
      <rgbColor rgb="FF0B5394"/>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B8CD97"/>
      <rgbColor rgb="FFD09493"/>
      <rgbColor rgb="FF8AA64F"/>
      <rgbColor rgb="FFFFC7CE"/>
      <rgbColor rgb="FF4672A8"/>
      <rgbColor rgb="FF33CCCC"/>
      <rgbColor rgb="FF9BBB59"/>
      <rgbColor rgb="FFFFC72C"/>
      <rgbColor rgb="FFFF9900"/>
      <rgbColor rgb="FFFF6600"/>
      <rgbColor rgb="FF725990"/>
      <rgbColor rgb="FFA99BBD"/>
      <rgbColor rgb="FF003C71"/>
      <rgbColor rgb="FF4299B0"/>
      <rgbColor rgb="FF003300"/>
      <rgbColor rgb="FF333300"/>
      <rgbColor rgb="FF993300"/>
      <rgbColor rgb="FFC0504D"/>
      <rgbColor rgb="FF8064A2"/>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Publications per Year</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Dashboard'!$D$14</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numRef>
              <f>'Statistics Dashboard'!$B$15:$B$28</f>
              <numCache>
                <formatCode>General</formatCode>
                <ptCount val="14"/>
                <pt idx="0">
                  <v>2014</v>
                </pt>
                <pt idx="1">
                  <v>2015</v>
                </pt>
                <pt idx="2">
                  <v>2016</v>
                </pt>
                <pt idx="3">
                  <v>2017</v>
                </pt>
                <pt idx="4">
                  <v>2018</v>
                </pt>
                <pt idx="5">
                  <v>2019</v>
                </pt>
                <pt idx="6">
                  <v>2020</v>
                </pt>
                <pt idx="7">
                  <v>2021</v>
                </pt>
                <pt idx="8">
                  <v>2022</v>
                </pt>
                <pt idx="9">
                  <v>2023</v>
                </pt>
                <pt idx="10">
                  <v>2024</v>
                </pt>
                <pt idx="11">
                  <v>2025</v>
                </pt>
                <pt idx="12">
                  <v>2026</v>
                </pt>
                <pt idx="13">
                  <v>2027</v>
                </pt>
              </numCache>
            </numRef>
          </cat>
          <val>
            <numRef>
              <f>'Statistics Dashboard'!$D$15:$D$28</f>
              <numCache>
                <formatCode>General</formatCode>
                <ptCount val="14"/>
                <pt idx="0">
                  <v>2</v>
                </pt>
                <pt idx="1">
                  <v>1</v>
                </pt>
                <pt idx="2">
                  <v>0</v>
                </pt>
                <pt idx="3">
                  <v>0</v>
                </pt>
                <pt idx="4">
                  <v>1</v>
                </pt>
                <pt idx="5">
                  <v>3</v>
                </pt>
                <pt idx="6">
                  <v>4</v>
                </pt>
                <pt idx="7">
                  <v>9</v>
                </pt>
                <pt idx="8">
                  <v>5</v>
                </pt>
                <pt idx="9">
                  <v>15</v>
                </pt>
                <pt idx="10">
                  <v>9</v>
                </pt>
                <pt idx="11">
                  <v>11</v>
                </pt>
                <pt idx="12">
                  <v>12</v>
                </pt>
                <pt idx="13">
                  <v>0</v>
                </pt>
              </numCache>
            </numRef>
          </val>
        </ser>
        <dLbls>
          <showLegendKey val="0"/>
          <showVal val="0"/>
          <showCatName val="0"/>
          <showSerName val="0"/>
          <showPercent val="0"/>
          <showBubbleSize val="0"/>
        </dLbls>
        <gapWidth val="150"/>
        <axId val="88181296"/>
        <axId val="6936537"/>
      </barChart>
      <catAx>
        <axId val="8818129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6936537"/>
        <crosses val="autoZero"/>
        <auto val="1"/>
        <lblAlgn val="ctr"/>
        <lblOffset val="100"/>
        <noMultiLvlLbl val="0"/>
      </catAx>
      <valAx>
        <axId val="6936537"/>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8818129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Publisher Distribution</a:t>
            </a:r>
          </a:p>
        </rich>
      </tx>
      <overlay val="0"/>
      <spPr>
        <a:noFill xmlns:a="http://schemas.openxmlformats.org/drawingml/2006/main"/>
        <a:ln xmlns:a="http://schemas.openxmlformats.org/drawingml/2006/main" w="0">
          <a:noFill/>
          <a:prstDash val="solid"/>
        </a:ln>
      </spPr>
    </title>
    <plotArea>
      <layout/>
      <pieChart>
        <varyColors val="1"/>
        <ser>
          <idx val="0"/>
          <order val="0"/>
          <tx>
            <strRef>
              <f>'Statistics Dashboard'!$D$32</f>
              <strCache>
                <ptCount val="1"/>
                <pt idx="0">
                  <v>Papers</v>
                </pt>
              </strCache>
            </strRef>
          </tx>
          <spPr>
            <a:solidFill xmlns:a="http://schemas.openxmlformats.org/drawingml/2006/main">
              <a:srgbClr val="4F81BD"/>
            </a:solidFill>
            <a:ln xmlns:a="http://schemas.openxmlformats.org/drawingml/2006/main" w="0">
              <a:noFill/>
              <a:prstDash val="solid"/>
            </a:ln>
          </spPr>
          <dPt>
            <idx val="0"/>
            <bubble3D val="0"/>
            <spPr>
              <a:solidFill xmlns:a="http://schemas.openxmlformats.org/drawingml/2006/main">
                <a:srgbClr val="4672A8"/>
              </a:solidFill>
              <a:ln xmlns:a="http://schemas.openxmlformats.org/drawingml/2006/main" w="0">
                <a:noFill/>
                <a:prstDash val="solid"/>
              </a:ln>
            </spPr>
          </dPt>
          <dPt>
            <idx val="1"/>
            <bubble3D val="0"/>
            <spPr>
              <a:solidFill xmlns:a="http://schemas.openxmlformats.org/drawingml/2006/main">
                <a:srgbClr val="AB4744"/>
              </a:solidFill>
              <a:ln xmlns:a="http://schemas.openxmlformats.org/drawingml/2006/main" w="0">
                <a:noFill/>
                <a:prstDash val="solid"/>
              </a:ln>
            </spPr>
          </dPt>
          <dPt>
            <idx val="2"/>
            <bubble3D val="0"/>
            <spPr>
              <a:solidFill xmlns:a="http://schemas.openxmlformats.org/drawingml/2006/main">
                <a:srgbClr val="8AA64F"/>
              </a:solidFill>
              <a:ln xmlns:a="http://schemas.openxmlformats.org/drawingml/2006/main" w="0">
                <a:noFill/>
                <a:prstDash val="solid"/>
              </a:ln>
            </spPr>
          </dPt>
          <dPt>
            <idx val="3"/>
            <bubble3D val="0"/>
            <spPr>
              <a:solidFill xmlns:a="http://schemas.openxmlformats.org/drawingml/2006/main">
                <a:srgbClr val="725990"/>
              </a:solidFill>
              <a:ln xmlns:a="http://schemas.openxmlformats.org/drawingml/2006/main" w="0">
                <a:noFill/>
                <a:prstDash val="solid"/>
              </a:ln>
            </spPr>
          </dPt>
          <dPt>
            <idx val="4"/>
            <bubble3D val="0"/>
            <spPr>
              <a:solidFill xmlns:a="http://schemas.openxmlformats.org/drawingml/2006/main">
                <a:srgbClr val="4299B0"/>
              </a:solidFill>
              <a:ln xmlns:a="http://schemas.openxmlformats.org/drawingml/2006/main" w="0">
                <a:noFill/>
                <a:prstDash val="solid"/>
              </a:ln>
            </spPr>
          </dPt>
          <dPt>
            <idx val="5"/>
            <bubble3D val="0"/>
            <spPr>
              <a:solidFill xmlns:a="http://schemas.openxmlformats.org/drawingml/2006/main">
                <a:srgbClr val="DC853E"/>
              </a:solidFill>
              <a:ln xmlns:a="http://schemas.openxmlformats.org/drawingml/2006/main" w="0">
                <a:noFill/>
                <a:prstDash val="solid"/>
              </a:ln>
            </spPr>
          </dPt>
          <dPt>
            <idx val="6"/>
            <bubble3D val="0"/>
            <spPr>
              <a:solidFill xmlns:a="http://schemas.openxmlformats.org/drawingml/2006/main">
                <a:srgbClr val="93A9CE"/>
              </a:solidFill>
              <a:ln xmlns:a="http://schemas.openxmlformats.org/drawingml/2006/main" w="0">
                <a:noFill/>
                <a:prstDash val="solid"/>
              </a:ln>
            </spPr>
          </dPt>
          <dPt>
            <idx val="7"/>
            <bubble3D val="0"/>
            <spPr>
              <a:solidFill xmlns:a="http://schemas.openxmlformats.org/drawingml/2006/main">
                <a:srgbClr val="D09493"/>
              </a:solidFill>
              <a:ln xmlns:a="http://schemas.openxmlformats.org/drawingml/2006/main" w="0">
                <a:noFill/>
                <a:prstDash val="solid"/>
              </a:ln>
            </spPr>
          </dPt>
          <dPt>
            <idx val="8"/>
            <bubble3D val="0"/>
            <spPr>
              <a:solidFill xmlns:a="http://schemas.openxmlformats.org/drawingml/2006/main">
                <a:srgbClr val="B8CD97"/>
              </a:solidFill>
              <a:ln xmlns:a="http://schemas.openxmlformats.org/drawingml/2006/main" w="0">
                <a:noFill/>
                <a:prstDash val="solid"/>
              </a:ln>
            </spPr>
          </dPt>
          <dPt>
            <idx val="9"/>
            <bubble3D val="0"/>
            <spPr>
              <a:solidFill xmlns:a="http://schemas.openxmlformats.org/drawingml/2006/main">
                <a:srgbClr val="A99BBD"/>
              </a:solidFill>
              <a:ln xmlns:a="http://schemas.openxmlformats.org/drawingml/2006/main" w="0">
                <a:no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7"/>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8"/>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9"/>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1"/>
          </dLbls>
          <cat>
            <strRef>
              <f>'Statistics Dashboard'!$B$33:$B$42</f>
              <strCache>
                <ptCount val="10"/>
                <pt idx="0">
                  <v>IEEE</v>
                </pt>
                <pt idx="1">
                  <v>ACM</v>
                </pt>
                <pt idx="2">
                  <v>Springer</v>
                </pt>
                <pt idx="3">
                  <v>Elsevier</v>
                </pt>
                <pt idx="4">
                  <v>MDPI</v>
                </pt>
                <pt idx="5">
                  <v>Wiley</v>
                </pt>
                <pt idx="6">
                  <v>Taylor &amp; Francis</v>
                </pt>
                <pt idx="7">
                  <v>Nature</v>
                </pt>
                <pt idx="8">
                  <v>arXiv</v>
                </pt>
                <pt idx="9">
                  <v>Other</v>
                </pt>
              </strCache>
            </strRef>
          </cat>
          <val>
            <numRef>
              <f>'Statistics Dashboard'!$D$33:$D$42</f>
              <numCache>
                <formatCode>General</formatCode>
                <ptCount val="10"/>
                <pt idx="0">
                  <v>14</v>
                </pt>
                <pt idx="1">
                  <v>2</v>
                </pt>
                <pt idx="2">
                  <v>19</v>
                </pt>
                <pt idx="3">
                  <v>15</v>
                </pt>
                <pt idx="4">
                  <v>1</v>
                </pt>
                <pt idx="5">
                  <v>4</v>
                </pt>
                <pt idx="6">
                  <v>1</v>
                </pt>
                <pt idx="7">
                  <v>14</v>
                </pt>
                <pt idx="8">
                  <v>3</v>
                </pt>
                <pt idx="9">
                  <v>0</v>
                </pt>
              </numCache>
            </numRef>
          </val>
        </ser>
        <dLbls>
          <showLegendKey val="0"/>
          <showVal val="0"/>
          <showCatName val="0"/>
          <showSerName val="0"/>
          <showPercent val="0"/>
          <showBubbleSize val="0"/>
          <showLeaderLines val="1"/>
        </dLbls>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Research Domains</a:t>
            </a:r>
          </a:p>
        </rich>
      </tx>
      <overlay val="0"/>
      <spPr>
        <a:noFill xmlns:a="http://schemas.openxmlformats.org/drawingml/2006/main"/>
        <a:ln xmlns:a="http://schemas.openxmlformats.org/drawingml/2006/main" w="0">
          <a:noFill/>
          <a:prstDash val="solid"/>
        </a:ln>
      </spPr>
    </title>
    <plotArea>
      <layout/>
      <pieChart>
        <varyColors val="1"/>
        <ser>
          <idx val="0"/>
          <order val="0"/>
          <tx>
            <strRef>
              <f>'Statistics Dashboard'!$D$46</f>
              <strCache>
                <ptCount val="1"/>
                <pt idx="0">
                  <v>Papers</v>
                </pt>
              </strCache>
            </strRef>
          </tx>
          <spPr>
            <a:solidFill xmlns:a="http://schemas.openxmlformats.org/drawingml/2006/main">
              <a:srgbClr val="4F81BD"/>
            </a:solidFill>
            <a:ln xmlns:a="http://schemas.openxmlformats.org/drawingml/2006/main" w="0">
              <a:noFill/>
              <a:prstDash val="solid"/>
            </a:ln>
          </spPr>
          <dPt>
            <idx val="0"/>
            <bubble3D val="0"/>
            <spPr>
              <a:ln xmlns:a="http://schemas.openxmlformats.org/drawingml/2006/main">
                <a:prstDash val="solid"/>
              </a:ln>
            </spPr>
          </dPt>
          <dPt>
            <idx val="1"/>
            <bubble3D val="0"/>
            <spPr>
              <a:solidFill xmlns:a="http://schemas.openxmlformats.org/drawingml/2006/main">
                <a:srgbClr val="C0504D"/>
              </a:solidFill>
              <a:ln xmlns:a="http://schemas.openxmlformats.org/drawingml/2006/main" w="0">
                <a:noFill/>
                <a:prstDash val="solid"/>
              </a:ln>
            </spPr>
          </dPt>
          <dPt>
            <idx val="2"/>
            <bubble3D val="0"/>
            <spPr>
              <a:solidFill xmlns:a="http://schemas.openxmlformats.org/drawingml/2006/main">
                <a:srgbClr val="9BBB59"/>
              </a:solidFill>
              <a:ln xmlns:a="http://schemas.openxmlformats.org/drawingml/2006/main" w="0">
                <a:noFill/>
                <a:prstDash val="solid"/>
              </a:ln>
            </spPr>
          </dPt>
          <dPt>
            <idx val="3"/>
            <bubble3D val="0"/>
            <spPr>
              <a:solidFill xmlns:a="http://schemas.openxmlformats.org/drawingml/2006/main">
                <a:srgbClr val="8064A2"/>
              </a:solidFill>
              <a:ln xmlns:a="http://schemas.openxmlformats.org/drawingml/2006/main" w="0">
                <a:no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1"/>
          </dLbls>
          <cat>
            <strRef>
              <f>'Statistics Dashboard'!$B$47:$B$50</f>
              <strCache>
                <ptCount val="4"/>
                <pt idx="0">
                  <v>SOC team</v>
                </pt>
                <pt idx="1">
                  <v>penetartion team</v>
                </pt>
                <pt idx="2">
                  <v>Database team</v>
                </pt>
                <pt idx="3">
                  <v>Web</v>
                </pt>
              </strCache>
            </strRef>
          </cat>
          <val>
            <numRef>
              <f>'Statistics Dashboard'!$D$47:$D$50</f>
              <numCache>
                <formatCode>General</formatCode>
                <ptCount val="4"/>
                <pt idx="0">
                  <v>0</v>
                </pt>
                <pt idx="1">
                  <v>0</v>
                </pt>
                <pt idx="2">
                  <v>0</v>
                </pt>
                <pt idx="3">
                  <v>0</v>
                </pt>
              </numCache>
            </numRef>
          </val>
        </ser>
        <dLbls>
          <showLegendKey val="0"/>
          <showVal val="0"/>
          <showCatName val="0"/>
          <showSerName val="0"/>
          <showPercent val="0"/>
          <showBubbleSize val="0"/>
          <showLeaderLines val="1"/>
        </dLbls>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AI Techniques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Dashboard'!#REF!</f>
              <strCache>
                <ptCount val="1"/>
                <pt idx="0">
                  <v>#REF!</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Dashboard'!#REF!</f>
              <strCache>
                <ptCount val="1"/>
                <pt idx="0">
                  <v>#REF!</v>
                </pt>
              </strCache>
            </strRef>
          </cat>
          <val>
            <numRef>
              <f>'Statistics Dashboard'!#REF!</f>
              <numCache>
                <formatCode>General</formatCode>
                <ptCount val="1"/>
                <pt idx="0">
                  <v>1</v>
                </pt>
              </numCache>
            </numRef>
          </val>
        </ser>
        <dLbls>
          <showLegendKey val="0"/>
          <showVal val="0"/>
          <showCatName val="0"/>
          <showSerName val="0"/>
          <showPercent val="0"/>
          <showBubbleSize val="0"/>
        </dLbls>
        <gapWidth val="150"/>
        <axId val="85392608"/>
        <axId val="98985123"/>
      </barChart>
      <catAx>
        <axId val="85392608"/>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98985123"/>
        <crosses val="autoZero"/>
        <auto val="1"/>
        <lblAlgn val="ctr"/>
        <lblOffset val="100"/>
        <noMultiLvlLbl val="0"/>
      </catAx>
      <valAx>
        <axId val="9898512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8539260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Datasets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Dashboard'!$D$54</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Dashboard'!$B$55:$B$65</f>
              <strCache>
                <ptCount val="11"/>
                <pt idx="0">
                  <v>NSL-KDD</v>
                </pt>
                <pt idx="1">
                  <v>CICIDS2017</v>
                </pt>
                <pt idx="2">
                  <v>CICIDS2018</v>
                </pt>
                <pt idx="3">
                  <v>UNSW-NB15</v>
                </pt>
                <pt idx="4">
                  <v>KDD Cup 99</v>
                </pt>
                <pt idx="5">
                  <v>CSE-CIC-IDS2018</v>
                </pt>
                <pt idx="6">
                  <v>TON_IoT</v>
                </pt>
                <pt idx="7">
                  <v>OWASP Benchmark</v>
                </pt>
                <pt idx="8">
                  <v>Custom Dataset</v>
                </pt>
                <pt idx="9">
                  <v>Synthetic Dataset</v>
                </pt>
                <pt idx="10">
                  <v>Other</v>
                </pt>
              </strCache>
            </strRef>
          </cat>
          <val>
            <numRef>
              <f>'Statistics Dashboard'!$D$55:$D$65</f>
              <numCache>
                <formatCode>General</formatCode>
                <ptCount val="11"/>
                <pt idx="0">
                  <v>0</v>
                </pt>
                <pt idx="1">
                  <v>0</v>
                </pt>
                <pt idx="2">
                  <v>0</v>
                </pt>
                <pt idx="3">
                  <v>0</v>
                </pt>
                <pt idx="4">
                  <v>0</v>
                </pt>
                <pt idx="5">
                  <v>0</v>
                </pt>
                <pt idx="6">
                  <v>0</v>
                </pt>
                <pt idx="7">
                  <v>0</v>
                </pt>
                <pt idx="8">
                  <v>0</v>
                </pt>
                <pt idx="9">
                  <v>0</v>
                </pt>
                <pt idx="10">
                  <v>0</v>
                </pt>
              </numCache>
            </numRef>
          </val>
        </ser>
        <dLbls>
          <showLegendKey val="0"/>
          <showVal val="0"/>
          <showCatName val="0"/>
          <showSerName val="0"/>
          <showPercent val="0"/>
          <showBubbleSize val="0"/>
        </dLbls>
        <gapWidth val="150"/>
        <axId val="40741484"/>
        <axId val="22585338"/>
      </barChart>
      <catAx>
        <axId val="40741484"/>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22585338"/>
        <crosses val="autoZero"/>
        <auto val="1"/>
        <lblAlgn val="ctr"/>
        <lblOffset val="100"/>
        <noMultiLvlLbl val="0"/>
      </catAx>
      <valAx>
        <axId val="2258533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4074148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Attack Types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Dashboard'!$D$69</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Dashboard'!$B$70:$B$81</f>
              <strCache>
                <ptCount val="12"/>
                <pt idx="0">
                  <v>SQL Injection</v>
                </pt>
                <pt idx="1">
                  <v>Cross-Site Scripting (XSS)</v>
                </pt>
                <pt idx="2">
                  <v>prompt injection</v>
                </pt>
                <pt idx="3">
                  <v>model poisoning</v>
                </pt>
                <pt idx="4">
                  <v>DDoS</v>
                </pt>
                <pt idx="5">
                  <v>lateral movment</v>
                </pt>
                <pt idx="6">
                  <v>Privilege Escalation</v>
                </pt>
                <pt idx="7">
                  <v>BOLA</v>
                </pt>
                <pt idx="8">
                  <v>Token Replay (csrf)</v>
                </pt>
                <pt idx="9">
                  <v>MITM</v>
                </pt>
                <pt idx="10">
                  <v>spoofing</v>
                </pt>
                <pt idx="11">
                  <v>reconnaissance</v>
                </pt>
              </strCache>
            </strRef>
          </cat>
          <val>
            <numRef>
              <f>'Statistics Dashboard'!$D$70:$D$81</f>
              <numCache>
                <formatCode>General</formatCode>
                <ptCount val="12"/>
                <pt idx="0">
                  <v>22</v>
                </pt>
                <pt idx="1">
                  <v>18</v>
                </pt>
                <pt idx="2">
                  <v>15</v>
                </pt>
                <pt idx="3">
                  <v>15</v>
                </pt>
                <pt idx="4">
                  <v>28</v>
                </pt>
                <pt idx="5">
                  <v>8</v>
                </pt>
                <pt idx="6">
                  <v>10</v>
                </pt>
                <pt idx="7">
                  <v>7</v>
                </pt>
                <pt idx="8">
                  <v>6</v>
                </pt>
                <pt idx="9">
                  <v>5</v>
                </pt>
                <pt idx="10">
                  <v>4</v>
                </pt>
                <pt idx="11">
                  <v>3</v>
                </pt>
              </numCache>
            </numRef>
          </val>
        </ser>
        <dLbls>
          <showLegendKey val="0"/>
          <showVal val="0"/>
          <showCatName val="0"/>
          <showSerName val="0"/>
          <showPercent val="0"/>
          <showBubbleSize val="0"/>
        </dLbls>
        <gapWidth val="150"/>
        <axId val="47586324"/>
        <axId val="53113743"/>
      </barChart>
      <catAx>
        <axId val="47586324"/>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53113743"/>
        <crosses val="autoZero"/>
        <auto val="1"/>
        <lblAlgn val="ctr"/>
        <lblOffset val="100"/>
        <noMultiLvlLbl val="0"/>
      </catAx>
      <valAx>
        <axId val="5311374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4758632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Security Layers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Dashboard'!$D$85</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Dashboard'!$B$86:$B$93</f>
              <strCache>
                <ptCount val="8"/>
                <pt idx="0">
                  <v>Application</v>
                </pt>
                <pt idx="1">
                  <v>Network</v>
                </pt>
                <pt idx="2">
                  <v>Host</v>
                </pt>
                <pt idx="3">
                  <v>Cloud</v>
                </pt>
                <pt idx="4">
                  <v>Database</v>
                </pt>
                <pt idx="5">
                  <v>Endpoint</v>
                </pt>
                <pt idx="6">
                  <v>Identity</v>
                </pt>
                <pt idx="7">
                  <v>Runtime</v>
                </pt>
              </strCache>
            </strRef>
          </cat>
          <val>
            <numRef>
              <f>'Statistics Dashboard'!$D$86:$D$93</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97519692"/>
        <axId val="3004739"/>
      </barChart>
      <catAx>
        <axId val="9751969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3004739"/>
        <crosses val="autoZero"/>
        <auto val="1"/>
        <lblAlgn val="ctr"/>
        <lblOffset val="100"/>
        <noMultiLvlLbl val="0"/>
      </catAx>
      <valAx>
        <axId val="3004739"/>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9751969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twoCellAnchor editAs="oneCell">
    <from>
      <col>12</col>
      <colOff>323850</colOff>
      <row>3</row>
      <rowOff>92940</rowOff>
    </from>
    <to>
      <col>21</col>
      <colOff>250425</colOff>
      <row>17</row>
      <rowOff>125340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171450</colOff>
      <row>3</row>
      <rowOff>121155</rowOff>
    </from>
    <to>
      <col>12</col>
      <colOff>210330</colOff>
      <row>17</row>
      <rowOff>96765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5</col>
      <colOff>304800</colOff>
      <row>19</row>
      <rowOff>130680</rowOff>
    </from>
    <to>
      <col>12</col>
      <colOff>343680</colOff>
      <row>33</row>
      <rowOff>163440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4</col>
      <colOff>9525</colOff>
      <row>35</row>
      <rowOff>152400</rowOff>
    </from>
    <to>
      <col>12</col>
      <colOff>533400</colOff>
      <row>52</row>
      <rowOff>47625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13</col>
      <colOff>0</colOff>
      <row>19</row>
      <rowOff>130680</rowOff>
    </from>
    <to>
      <col>21</col>
      <colOff>507600</colOff>
      <row>33</row>
      <rowOff>163440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12</col>
      <colOff>552450</colOff>
      <row>35</row>
      <rowOff>130680</rowOff>
    </from>
    <to>
      <col>21</col>
      <colOff>479025</colOff>
      <row>49</row>
      <rowOff>163440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9</col>
      <colOff>200025</colOff>
      <row>53</row>
      <rowOff>16740</rowOff>
    </from>
    <to>
      <col>18</col>
      <colOff>126600</colOff>
      <row>67</row>
      <rowOff>58665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tables/table1.xml><?xml version="1.0" encoding="utf-8"?>
<table xmlns="http://schemas.openxmlformats.org/spreadsheetml/2006/main" id="1" name="PapersDB345678910111213" displayName="PapersDB345678910111213" ref="B1:O84" headerRowCount="1" totalsRowShown="0">
  <autoFilter ref="B1:O84"/>
  <tableColumns count="14">
    <tableColumn id="1" name="Paper's DOI"/>
    <tableColumn id="2" name="Title"/>
    <tableColumn id="4" name="Publication Year"/>
    <tableColumn id="5" name="Publisher" dataDxfId="129"/>
    <tableColumn id="10" name="paper URL"/>
    <tableColumn id="20" name="Technology"/>
    <tableColumn id="3" name="Included or Excluded"/>
    <tableColumn id="6" name="Reason for inclusivity"/>
    <tableColumn id="7" name="Problem"/>
    <tableColumn id="8" name="Solution"/>
    <tableColumn id="9" name="Main Tag" dataDxfId="128"/>
    <tableColumn id="11" name="Another Tags" dataDxfId="127"/>
    <tableColumn id="13" name="Custom Numbering M-##" dataDxfId="126"/>
    <tableColumn id="14" name="Additionals Notes"/>
  </tableColumns>
  <tableStyleInfo showFirstColumn="0" showLastColumn="0" showRowStripes="1" showColumnStripes="0"/>
</table>
</file>

<file path=xl/tables/table2.xml><?xml version="1.0" encoding="utf-8"?>
<table xmlns="http://schemas.openxmlformats.org/spreadsheetml/2006/main" id="2" name="PapersDB3456789101112" displayName="PapersDB3456789101112" ref="B1:M319" headerRowCount="1" totalsRowShown="0">
  <autoFilter ref="B1:M319"/>
  <tableColumns count="12">
    <tableColumn id="1" name="Paper's DOI"/>
    <tableColumn id="2" name="Title"/>
    <tableColumn id="4" name="Publication Year"/>
    <tableColumn id="5" name="Publisher" dataDxfId="113"/>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3.xml><?xml version="1.0" encoding="utf-8"?>
<table xmlns="http://schemas.openxmlformats.org/spreadsheetml/2006/main" id="3" name="PapersDB34567891011" displayName="PapersDB34567891011" ref="B1:M319" headerRowCount="1" totalsRowShown="0">
  <autoFilter ref="B1:M319"/>
  <tableColumns count="12">
    <tableColumn id="1" name="Paper's DOI"/>
    <tableColumn id="2" name="Title"/>
    <tableColumn id="4" name="Publication Year"/>
    <tableColumn id="5" name="Publisher" dataDxfId="99"/>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4.xml><?xml version="1.0" encoding="utf-8"?>
<table xmlns="http://schemas.openxmlformats.org/spreadsheetml/2006/main" id="4" name="PapersDB345678910" displayName="PapersDB345678910" ref="B1:M319" headerRowCount="1" totalsRowShown="0">
  <autoFilter ref="B1:M319"/>
  <tableColumns count="12">
    <tableColumn id="1" name="Paper's DOI"/>
    <tableColumn id="2" name="Title"/>
    <tableColumn id="4" name="Publication Year"/>
    <tableColumn id="5" name="Publisher" dataDxfId="86"/>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5.xml><?xml version="1.0" encoding="utf-8"?>
<table xmlns="http://schemas.openxmlformats.org/spreadsheetml/2006/main" id="5" name="PapersDB3456789" displayName="PapersDB3456789" ref="B1:M319" headerRowCount="1" totalsRowShown="0">
  <autoFilter ref="B1:M319"/>
  <tableColumns count="12">
    <tableColumn id="1" name="Paper's DOI"/>
    <tableColumn id="2" name="Title"/>
    <tableColumn id="4" name="Publication Year"/>
    <tableColumn id="5" name="Publisher" dataDxfId="73"/>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6.xml><?xml version="1.0" encoding="utf-8"?>
<table xmlns="http://schemas.openxmlformats.org/spreadsheetml/2006/main" id="6" name="PapersDB345678" displayName="PapersDB345678" ref="B1:M187" headerRowCount="1" totalsRowShown="0">
  <autoFilter ref="B1:M187"/>
  <tableColumns count="12">
    <tableColumn id="1" name="Paper's DOI"/>
    <tableColumn id="2" name="Title"/>
    <tableColumn id="4" name="Publication Year" dataDxfId="67"/>
    <tableColumn id="5" name="Publisher" dataDxfId="66"/>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7.xml><?xml version="1.0" encoding="utf-8"?>
<table xmlns="http://schemas.openxmlformats.org/spreadsheetml/2006/main" id="7" name="PapersDB34567" displayName="PapersDB34567" ref="B1:M186" headerRowCount="1" totalsRowShown="0">
  <autoFilter ref="B1:M186"/>
  <tableColumns count="12">
    <tableColumn id="1" name="Paper's DOI"/>
    <tableColumn id="2" name="Title"/>
    <tableColumn id="4" name="Publication Year"/>
    <tableColumn id="5" name="Publisher" dataDxfId="59"/>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8.xml><?xml version="1.0" encoding="utf-8"?>
<table xmlns="http://schemas.openxmlformats.org/spreadsheetml/2006/main" id="8" name="PapersDB3456" displayName="PapersDB3456" ref="B1:M319" headerRowCount="1" totalsRowShown="0">
  <autoFilter ref="B1:M319"/>
  <tableColumns count="12">
    <tableColumn id="1" name="Paper's DOI"/>
    <tableColumn id="2" name="Title"/>
    <tableColumn id="4" name="Publication Year"/>
    <tableColumn id="5" name="Publisher" dataDxfId="46"/>
    <tableColumn id="10" name="paper URL"/>
    <tableColumn id="20" name="Technology"/>
    <tableColumn id="3" name="Included or Excluded"/>
    <tableColumn id="6" name="Reason for inclusivity"/>
    <tableColumn id="7" name="Problem"/>
    <tableColumn id="8" name="Solution"/>
    <tableColumn id="9" name="."/>
    <tableColumn id="11" name="Another Tags"/>
  </tableColumns>
  <tableStyleInfo showFirstColumn="0" showLastColumn="0" showRowStripes="1" showColumnStripes="0"/>
</table>
</file>

<file path=xl/tables/table9.xml><?xml version="1.0" encoding="utf-8"?>
<table xmlns="http://schemas.openxmlformats.org/spreadsheetml/2006/main" id="9" name="PapersDB345" displayName="PapersDB345" ref="B1:M319" headerRowCount="1" totalsRowShown="0">
  <autoFilter ref="B1:M319"/>
  <tableColumns count="12">
    <tableColumn id="1" name="Paper's DOI"/>
    <tableColumn id="2" name="Title"/>
    <tableColumn id="4" name="Publication Year"/>
    <tableColumn id="5" name="Publisher" dataDxfId="33"/>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10.xml><?xml version="1.0" encoding="utf-8"?>
<table xmlns="http://schemas.openxmlformats.org/spreadsheetml/2006/main" id="10" name="PapersDB34" displayName="PapersDB34" ref="B1:M319" headerRowCount="1" totalsRowShown="0">
  <autoFilter ref="B1:M319"/>
  <tableColumns count="12">
    <tableColumn id="1" name="Paper's DOI"/>
    <tableColumn id="2" name="Title"/>
    <tableColumn id="4" name="Publication Year"/>
    <tableColumn id="5" name="Publisher" dataDxfId="19"/>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11.xml><?xml version="1.0" encoding="utf-8"?>
<table xmlns="http://schemas.openxmlformats.org/spreadsheetml/2006/main" id="11" name="PapersDB3" displayName="PapersDB3" ref="B1:M183" headerRowCount="1" totalsRowShown="0" headerRowDxfId="13" dataDxfId="12">
  <autoFilter ref="B1:M183"/>
  <tableColumns count="12">
    <tableColumn id="1" name="Paper's DOI" dataDxfId="11"/>
    <tableColumn id="2" name="Title" dataDxfId="10"/>
    <tableColumn id="4" name="Publication Year" dataDxfId="9"/>
    <tableColumn id="5" name="Publisher" dataDxfId="8"/>
    <tableColumn id="10" name="paper URL" dataDxfId="7"/>
    <tableColumn id="20" name="Technology" dataDxfId="6"/>
    <tableColumn id="3" name="Included or Excluded" dataDxfId="5"/>
    <tableColumn id="6" name="Reason for inclusivity" dataDxfId="4"/>
    <tableColumn id="7" name="Problem" dataDxfId="3"/>
    <tableColumn id="8" name="Solution" dataDxfId="2"/>
    <tableColumn id="12" name="Main Tags" dataDxfId="1"/>
    <tableColumn id="11" name="Another Tag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09/ACCESS.2025.3548552?utm_source=chatgpt.com" TargetMode="External" Id="rId1"/><Relationship Type="http://schemas.openxmlformats.org/officeDocument/2006/relationships/hyperlink" Target="https://doi.org/10.1007/s13042-023-01887-6" TargetMode="External" Id="rId2"/><Relationship Type="http://schemas.openxmlformats.org/officeDocument/2006/relationships/hyperlink" Target="https://link.springer.com/article/10.1007/s13042-023-01887-6" TargetMode="External" Id="rId3"/><Relationship Type="http://schemas.openxmlformats.org/officeDocument/2006/relationships/hyperlink" Target="https://journals.sagepub.com/doi/10.1177/10711813251360706" TargetMode="External" Id="rId4"/><Relationship Type="http://schemas.openxmlformats.org/officeDocument/2006/relationships/hyperlink" Target="https://ieeexplore.ieee.org/abstract/document/9018269" TargetMode="External" Id="rId5"/><Relationship Type="http://schemas.openxmlformats.org/officeDocument/2006/relationships/hyperlink" Target="https://doi.org/10.1007/s12193-025-00452-5" TargetMode="External" Id="rId6"/><Relationship Type="http://schemas.openxmlformats.org/officeDocument/2006/relationships/hyperlink" Target="https://link.springer.com/article/10.1007/s12193-025-00452-5" TargetMode="External" Id="rId7"/><Relationship Type="http://schemas.openxmlformats.org/officeDocument/2006/relationships/hyperlink" Target="https://www.sciencedirect.com/science/article/abs/pii/S1053810009001718?via%3Dihub" TargetMode="External" Id="rId8"/><Relationship Type="http://schemas.openxmlformats.org/officeDocument/2006/relationships/hyperlink" Target="https://hal.science/hal-01993932v1/document" TargetMode="External" Id="rId9"/><Relationship Type="http://schemas.openxmlformats.org/officeDocument/2006/relationships/table" Target="/xl/tables/table1.xml" Id="rId10"/></Relationships>
</file>

<file path=xl/worksheets/_rels/sheet3.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doi.org/10.1038/s41598-025-28038-x" TargetMode="External" Id="rId129"/><Relationship Type="http://schemas.openxmlformats.org/officeDocument/2006/relationships/hyperlink" Target="https://www.nature.com/articles/s41598-025-28038-x" TargetMode="External" Id="rId130"/><Relationship Type="http://schemas.openxmlformats.org/officeDocument/2006/relationships/hyperlink" Target="https://doi.org/10.1038/s41598-025-29947-7" TargetMode="External" Id="rId131"/><Relationship Type="http://schemas.openxmlformats.org/officeDocument/2006/relationships/hyperlink" Target="https://doi.org/10.1038/s41598-025-99903-y" TargetMode="External" Id="rId132"/><Relationship Type="http://schemas.openxmlformats.org/officeDocument/2006/relationships/hyperlink" Target="https://www.nature.com/articles/s41598-025-99903-y" TargetMode="External" Id="rId133"/><Relationship Type="http://schemas.openxmlformats.org/officeDocument/2006/relationships/hyperlink" Target="https://doi.org/10.1038/s41598-026-37578-9" TargetMode="External" Id="rId134"/><Relationship Type="http://schemas.openxmlformats.org/officeDocument/2006/relationships/hyperlink" Target="https://www.nature.com/articles/s41598-026-37578-9" TargetMode="External" Id="rId135"/><Relationship Type="http://schemas.openxmlformats.org/officeDocument/2006/relationships/hyperlink" Target="https://doi.org/10.1038/s41928-023-01074-z" TargetMode="External" Id="rId136"/><Relationship Type="http://schemas.openxmlformats.org/officeDocument/2006/relationships/hyperlink" Target="https://doi.org/10.1007/s44443-025-00234-9" TargetMode="External" Id="rId137"/><Relationship Type="http://schemas.openxmlformats.org/officeDocument/2006/relationships/hyperlink" Target="https://link.springer.com/article/10.1007/s44443-025-00234-9" TargetMode="External" Id="rId138"/><Relationship Type="http://schemas.openxmlformats.org/officeDocument/2006/relationships/hyperlink" Target="https://doi.org/10.1038/s41598-025-27603-8" TargetMode="External" Id="rId139"/><Relationship Type="http://schemas.openxmlformats.org/officeDocument/2006/relationships/hyperlink" Target="https://www.nature.com/articles/s41598-025-27603-8" TargetMode="External" Id="rId140"/><Relationship Type="http://schemas.openxmlformats.org/officeDocument/2006/relationships/hyperlink" Target="https://doi.org/10.1007/s13042-023-01887-6" TargetMode="External" Id="rId141"/><Relationship Type="http://schemas.openxmlformats.org/officeDocument/2006/relationships/hyperlink" Target="https://link.springer.com/article/10.1007/s13042-023-01887-6" TargetMode="External" Id="rId142"/><Relationship Type="http://schemas.openxmlformats.org/officeDocument/2006/relationships/hyperlink" Target="https://journals.sagepub.com/doi/10.1177/10711813251360706" TargetMode="External" Id="rId143"/><Relationship Type="http://schemas.openxmlformats.org/officeDocument/2006/relationships/hyperlink" Target="https://ieeexplore.ieee.org/abstract/document/9018269" TargetMode="External" Id="rId144"/><Relationship Type="http://schemas.openxmlformats.org/officeDocument/2006/relationships/hyperlink" Target="https://doi.org/10.1007/s12193-025-00452-5" TargetMode="External" Id="rId145"/><Relationship Type="http://schemas.openxmlformats.org/officeDocument/2006/relationships/hyperlink" Target="https://link.springer.com/article/10.1007/s12193-025-00452-5" TargetMode="External" Id="rId146"/><Relationship Type="http://schemas.openxmlformats.org/officeDocument/2006/relationships/hyperlink" Target="https://www.sciencedirect.com/science/article/abs/pii/S1053810009001718?via%3Dihub" TargetMode="External" Id="rId147"/><Relationship Type="http://schemas.openxmlformats.org/officeDocument/2006/relationships/table" Target="/xl/tables/table2.xml" Id="rId148"/></Relationships>
</file>

<file path=xl/worksheets/_rels/sheet4.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www.nature.com/articles/s41598-019-57217-w" TargetMode="External" Id="rId118"/><Relationship Type="http://schemas.openxmlformats.org/officeDocument/2006/relationships/hyperlink" Target="https://www.nature.com/articles/s41598-021-90132-7" TargetMode="External" Id="rId119"/><Relationship Type="http://schemas.openxmlformats.org/officeDocument/2006/relationships/hyperlink" Target="https://www.nature.com/articles/s41598-021-94133-4" TargetMode="External" Id="rId120"/><Relationship Type="http://schemas.openxmlformats.org/officeDocument/2006/relationships/hyperlink" Target="https://www.nature.com/articles/s41598-022-08187-z" TargetMode="External" Id="rId121"/><Relationship Type="http://schemas.openxmlformats.org/officeDocument/2006/relationships/hyperlink" Target="https://www.nature.com/articles/s41598-023-49507-1" TargetMode="External" Id="rId122"/><Relationship Type="http://schemas.openxmlformats.org/officeDocument/2006/relationships/hyperlink" Target="https://www.nature.com/articles/s41598-024-74416-2" TargetMode="External" Id="rId123"/><Relationship Type="http://schemas.openxmlformats.org/officeDocument/2006/relationships/hyperlink" Target="https://www.nature.com/articles/s41598-024-79845-7" TargetMode="External" Id="rId124"/><Relationship Type="http://schemas.openxmlformats.org/officeDocument/2006/relationships/hyperlink" Target="https://doi.org/10.1038/s41598-025-08155-3" TargetMode="External" Id="rId125"/><Relationship Type="http://schemas.openxmlformats.org/officeDocument/2006/relationships/hyperlink" Target="https://www.nature.com/articles/s41598-025-01529-7" TargetMode="External" Id="rId126"/><Relationship Type="http://schemas.openxmlformats.org/officeDocument/2006/relationships/hyperlink" Target="https://doi.org/10.1038/s41598-025-08155-3" TargetMode="External" Id="rId127"/><Relationship Type="http://schemas.openxmlformats.org/officeDocument/2006/relationships/hyperlink" Target="https://www.nature.com/articles/s41598-025-08155-3" TargetMode="External" Id="rId128"/><Relationship Type="http://schemas.openxmlformats.org/officeDocument/2006/relationships/hyperlink" Target="https://doi.org/10.1038/s41598-025-14946-5" TargetMode="External" Id="rId129"/><Relationship Type="http://schemas.openxmlformats.org/officeDocument/2006/relationships/hyperlink" Target="https://www.nature.com/articles/s41598-025-14946-5" TargetMode="External" Id="rId130"/><Relationship Type="http://schemas.openxmlformats.org/officeDocument/2006/relationships/hyperlink" Target="https://doi.org/10.1038/s41598-025-20765-5" TargetMode="External" Id="rId131"/><Relationship Type="http://schemas.openxmlformats.org/officeDocument/2006/relationships/hyperlink" Target="https://www.nature.com/articles/s41598-025-20765-5" TargetMode="External" Id="rId132"/><Relationship Type="http://schemas.openxmlformats.org/officeDocument/2006/relationships/hyperlink" Target="https://doi.org/10.1038/s41598-025-21720-0" TargetMode="External" Id="rId133"/><Relationship Type="http://schemas.openxmlformats.org/officeDocument/2006/relationships/hyperlink" Target="https://www.nature.com/articles/s41598-025-21720-0" TargetMode="External" Id="rId134"/><Relationship Type="http://schemas.openxmlformats.org/officeDocument/2006/relationships/hyperlink" Target="https://doi.org/10.1038/s41598-025-29947-7" TargetMode="External" Id="rId135"/><Relationship Type="http://schemas.openxmlformats.org/officeDocument/2006/relationships/hyperlink" Target="https://www.nature.com/articles/s41598-025-29947-7" TargetMode="External" Id="rId136"/><Relationship Type="http://schemas.openxmlformats.org/officeDocument/2006/relationships/hyperlink" Target="https://www.nature.com/articles/s41598-025-28038-x" TargetMode="External" Id="rId137"/><Relationship Type="http://schemas.openxmlformats.org/officeDocument/2006/relationships/hyperlink" Target="https://doi.org/10.1038/s41598-025-29947-7" TargetMode="External" Id="rId138"/><Relationship Type="http://schemas.openxmlformats.org/officeDocument/2006/relationships/hyperlink" Target="https://doi.org/10.1038/s41598-025-99903-y" TargetMode="External" Id="rId139"/><Relationship Type="http://schemas.openxmlformats.org/officeDocument/2006/relationships/hyperlink" Target="https://www.nature.com/articles/s41598-025-99903-y" TargetMode="External" Id="rId140"/><Relationship Type="http://schemas.openxmlformats.org/officeDocument/2006/relationships/hyperlink" Target="https://doi.org/10.1038/s41598-026-37578-9" TargetMode="External" Id="rId141"/><Relationship Type="http://schemas.openxmlformats.org/officeDocument/2006/relationships/hyperlink" Target="https://www.nature.com/articles/s41598-026-37578-9" TargetMode="External" Id="rId142"/><Relationship Type="http://schemas.openxmlformats.org/officeDocument/2006/relationships/hyperlink" Target="https://doi.org/10.1007/s44443-025-00234-9" TargetMode="External" Id="rId143"/><Relationship Type="http://schemas.openxmlformats.org/officeDocument/2006/relationships/hyperlink" Target="https://link.springer.com/article/10.1007/s44443-025-00234-9" TargetMode="External" Id="rId144"/><Relationship Type="http://schemas.openxmlformats.org/officeDocument/2006/relationships/hyperlink" Target="https://doi.org/10.1007/s13042-023-01887-6" TargetMode="External" Id="rId145"/><Relationship Type="http://schemas.openxmlformats.org/officeDocument/2006/relationships/hyperlink" Target="https://link.springer.com/article/10.1007/s13042-023-01887-6" TargetMode="External" Id="rId146"/><Relationship Type="http://schemas.openxmlformats.org/officeDocument/2006/relationships/hyperlink" Target="https://journals.sagepub.com/doi/10.1177/10711813251360706" TargetMode="External" Id="rId147"/><Relationship Type="http://schemas.openxmlformats.org/officeDocument/2006/relationships/hyperlink" Target="https://ieeexplore.ieee.org/abstract/document/9018269" TargetMode="External" Id="rId148"/><Relationship Type="http://schemas.openxmlformats.org/officeDocument/2006/relationships/hyperlink" Target="https://doi.org/10.1007/s12193-025-00452-5" TargetMode="External" Id="rId149"/><Relationship Type="http://schemas.openxmlformats.org/officeDocument/2006/relationships/hyperlink" Target="https://link.springer.com/article/10.1007/s12193-025-00452-5" TargetMode="External" Id="rId150"/><Relationship Type="http://schemas.openxmlformats.org/officeDocument/2006/relationships/hyperlink" Target="https://www.sciencedirect.com/science/article/abs/pii/S1053810009001718?via%3Dihub" TargetMode="External" Id="rId151"/><Relationship Type="http://schemas.openxmlformats.org/officeDocument/2006/relationships/table" Target="/xl/tables/table3.xml" Id="rId152"/></Relationships>
</file>

<file path=xl/worksheets/_rels/sheet5.xml.rels><Relationships xmlns="http://schemas.openxmlformats.org/package/2006/relationships"><Relationship Type="http://schemas.openxmlformats.org/officeDocument/2006/relationships/hyperlink" Target="https://doi.org/10.3758/s13414-024-02959-7" TargetMode="External" Id="rId1"/><Relationship Type="http://schemas.openxmlformats.org/officeDocument/2006/relationships/hyperlink" Target="https://link.springer.com/article/10.3758/s13414-024-02959-7" TargetMode="External" Id="rId2"/><Relationship Type="http://schemas.openxmlformats.org/officeDocument/2006/relationships/hyperlink" Target="https://link.springer.com/article/10.1186/s40580-026-00552-2" TargetMode="External" Id="rId3"/><Relationship Type="http://schemas.openxmlformats.org/officeDocument/2006/relationships/hyperlink" Target="https://link.springer.com/article/10.1186/s41235-023-00495-w" TargetMode="External" Id="rId4"/><Relationship Type="http://schemas.openxmlformats.org/officeDocument/2006/relationships/hyperlink" Target="https://www.nature.com/articles/s41378-026-01190-8" TargetMode="External" Id="rId5"/><Relationship Type="http://schemas.openxmlformats.org/officeDocument/2006/relationships/table" Target="/xl/tables/table4.xml" Id="rId6"/></Relationships>
</file>

<file path=xl/worksheets/_rels/sheet6.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www.nature.com/articles/s41598-025-28038-x" TargetMode="External" Id="rId129"/><Relationship Type="http://schemas.openxmlformats.org/officeDocument/2006/relationships/hyperlink" Target="https://doi.org/10.1038/s41598-025-29947-7" TargetMode="External" Id="rId130"/><Relationship Type="http://schemas.openxmlformats.org/officeDocument/2006/relationships/hyperlink" Target="https://doi.org/10.1038/s41598-025-99903-y" TargetMode="External" Id="rId131"/><Relationship Type="http://schemas.openxmlformats.org/officeDocument/2006/relationships/hyperlink" Target="https://www.nature.com/articles/s41598-025-99903-y" TargetMode="External" Id="rId132"/><Relationship Type="http://schemas.openxmlformats.org/officeDocument/2006/relationships/hyperlink" Target="https://doi.org/10.1038/s41598-026-37578-9" TargetMode="External" Id="rId133"/><Relationship Type="http://schemas.openxmlformats.org/officeDocument/2006/relationships/hyperlink" Target="https://www.nature.com/articles/s41598-026-37578-9" TargetMode="External" Id="rId134"/><Relationship Type="http://schemas.openxmlformats.org/officeDocument/2006/relationships/hyperlink" Target="https://doi.org/10.1007/s44443-025-00234-9" TargetMode="External" Id="rId135"/><Relationship Type="http://schemas.openxmlformats.org/officeDocument/2006/relationships/hyperlink" Target="https://link.springer.com/article/10.1007/s44443-025-00234-9" TargetMode="External" Id="rId136"/><Relationship Type="http://schemas.openxmlformats.org/officeDocument/2006/relationships/hyperlink" Target="https://doi.org/10.1007/s13042-023-01887-6" TargetMode="External" Id="rId137"/><Relationship Type="http://schemas.openxmlformats.org/officeDocument/2006/relationships/hyperlink" Target="https://link.springer.com/article/10.1007/s13042-023-01887-6" TargetMode="External" Id="rId138"/><Relationship Type="http://schemas.openxmlformats.org/officeDocument/2006/relationships/hyperlink" Target="https://journals.sagepub.com/doi/10.1177/10711813251360706" TargetMode="External" Id="rId139"/><Relationship Type="http://schemas.openxmlformats.org/officeDocument/2006/relationships/hyperlink" Target="https://ieeexplore.ieee.org/abstract/document/9018269" TargetMode="External" Id="rId140"/><Relationship Type="http://schemas.openxmlformats.org/officeDocument/2006/relationships/hyperlink" Target="https://doi.org/10.1007/s12193-025-00452-5" TargetMode="External" Id="rId141"/><Relationship Type="http://schemas.openxmlformats.org/officeDocument/2006/relationships/hyperlink" Target="https://link.springer.com/article/10.1007/s12193-025-00452-5" TargetMode="External" Id="rId142"/><Relationship Type="http://schemas.openxmlformats.org/officeDocument/2006/relationships/hyperlink" Target="https://www.sciencedirect.com/science/article/abs/pii/S1053810009001718?via%3Dihub" TargetMode="External" Id="rId143"/><Relationship Type="http://schemas.openxmlformats.org/officeDocument/2006/relationships/table" Target="/xl/tables/table5.xml" Id="rId144"/></Relationships>
</file>

<file path=xl/worksheets/_rels/sheet7.xml.rels><Relationships xmlns="http://schemas.openxmlformats.org/package/2006/relationships"><Relationship Type="http://schemas.openxmlformats.org/officeDocument/2006/relationships/hyperlink" Target="https://doi.org/10.1016/j.neubiorev.2007.05.010" TargetMode="External" Id="rId1"/><Relationship Type="http://schemas.openxmlformats.org/officeDocument/2006/relationships/hyperlink" Target="https://www.sciencedirect.com/science/article/abs/pii/S0149763407000668?via%3Dihub" TargetMode="External" Id="rId2"/><Relationship Type="http://schemas.openxmlformats.org/officeDocument/2006/relationships/hyperlink" Target="https://ieeexplore.ieee.org/document/10438849" TargetMode="External" Id="rId3"/><Relationship Type="http://schemas.openxmlformats.org/officeDocument/2006/relationships/hyperlink" Target="https://journals.sagepub.com/doi/10.1177/20556683251316305" TargetMode="External" Id="rId4"/><Relationship Type="http://schemas.openxmlformats.org/officeDocument/2006/relationships/hyperlink" Target="https://doi.org/10.1016/j.heliyon.2024.e31825" TargetMode="External" Id="rId5"/><Relationship Type="http://schemas.openxmlformats.org/officeDocument/2006/relationships/hyperlink" Target="https://www.cell.com/heliyon/fulltext/S2405-8440(24)07856-3?_returnURL=https%3A%2F%2Flinkinghub.elsevier.com%2Fretrieve%2Fpii%2FS2405844024078563%3Fshowall%3Dtrue" TargetMode="External" Id="rId6"/><Relationship Type="http://schemas.openxmlformats.org/officeDocument/2006/relationships/hyperlink" Target="https://link.springer.com/article/10.1007/s12559-026-10547-0" TargetMode="External" Id="rId7"/><Relationship Type="http://schemas.openxmlformats.org/officeDocument/2006/relationships/table" Target="/xl/tables/table6.xml" Id="rId8"/></Relationships>
</file>

<file path=xl/worksheets/_rels/sheet8.xml.rels><Relationships xmlns="http://schemas.openxmlformats.org/package/2006/relationships"><Relationship Type="http://schemas.openxmlformats.org/officeDocument/2006/relationships/hyperlink" Target="https://doi.org/10.3233/FAIA231495" TargetMode="External" Id="rId1"/><Relationship Type="http://schemas.openxmlformats.org/officeDocument/2006/relationships/hyperlink" Target="https://ebooks.iospress.nl/doi/10.3233/FAIA231495" TargetMode="External" Id="rId2"/><Relationship Type="http://schemas.openxmlformats.org/officeDocument/2006/relationships/hyperlink" Target="https://doi.org/10.1016/j.actpsy.2019.102950" TargetMode="External" Id="rId3"/><Relationship Type="http://schemas.openxmlformats.org/officeDocument/2006/relationships/hyperlink" Target="https://www.sciencedirect.com/science/article/abs/pii/S0001691819302008?via%3Dihub" TargetMode="External" Id="rId4"/><Relationship Type="http://schemas.openxmlformats.org/officeDocument/2006/relationships/hyperlink" Target="https://doi.org/10.3389/fnhum.2014.00291" TargetMode="External" Id="rId5"/><Relationship Type="http://schemas.openxmlformats.org/officeDocument/2006/relationships/hyperlink" Target="https://www.frontiersin.org/journals/human-neuroscience/articles/10.3389/fnhum.2014.00291/full" TargetMode="External" Id="rId6"/><Relationship Type="http://schemas.openxmlformats.org/officeDocument/2006/relationships/hyperlink" Target="https://doi.org/10.1007/s10846-023-01824-3" TargetMode="External" Id="rId7"/><Relationship Type="http://schemas.openxmlformats.org/officeDocument/2006/relationships/hyperlink" Target="https://link.springer.com/article/10.1007/s10846-023-01824-3" TargetMode="External" Id="rId8"/><Relationship Type="http://schemas.openxmlformats.org/officeDocument/2006/relationships/hyperlink" Target="https://doi.org/10.1109/TVCG.2021.3136214" TargetMode="External" Id="rId9"/><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10"/><Relationship Type="http://schemas.openxmlformats.org/officeDocument/2006/relationships/hyperlink" Target="https://doi.org/10.1109/EMBC.2013.6610223" TargetMode="External" Id="rId11"/><Relationship Type="http://schemas.openxmlformats.org/officeDocument/2006/relationships/hyperlink" Target="https://ieeexplore.ieee.org/document/6610223" TargetMode="External" Id="rId12"/><Relationship Type="http://schemas.openxmlformats.org/officeDocument/2006/relationships/hyperlink" Target="https://10.0.4.153/10711813251360704" TargetMode="External" Id="rId13"/><Relationship Type="http://schemas.openxmlformats.org/officeDocument/2006/relationships/hyperlink" Target="https://journals.sagepub.com/doi/10.1177/10711813251360704" TargetMode="External" Id="rId14"/><Relationship Type="http://schemas.openxmlformats.org/officeDocument/2006/relationships/hyperlink" Target="http://linkinghub.elsevier.com/retrieve/pii/S1071581907001012" TargetMode="External" Id="rId15"/><Relationship Type="http://schemas.openxmlformats.org/officeDocument/2006/relationships/hyperlink" Target="https://doi.org/10.1186/s41235-020-00240-7" TargetMode="External" Id="rId16"/><Relationship Type="http://schemas.openxmlformats.org/officeDocument/2006/relationships/hyperlink" Target="https://link.springer.com/article/10.1186/s41235-020-00240-7" TargetMode="External" Id="rId17"/><Relationship Type="http://schemas.openxmlformats.org/officeDocument/2006/relationships/hyperlink" Target="https://doi.org/10.1177/14604582221112609" TargetMode="External" Id="rId18"/><Relationship Type="http://schemas.openxmlformats.org/officeDocument/2006/relationships/hyperlink" Target="https://journals.sagepub.com/doi/10.1177/14604582221112609" TargetMode="External" Id="rId19"/><Relationship Type="http://schemas.openxmlformats.org/officeDocument/2006/relationships/hyperlink" Target="https://doi.org/10.1080/17483107.2025.2463541" TargetMode="External" Id="rId20"/><Relationship Type="http://schemas.openxmlformats.org/officeDocument/2006/relationships/hyperlink" Target="https://www.tandfonline.com/doi/full/10.1080/17483107.2025.2463541" TargetMode="External" Id="rId21"/><Relationship Type="http://schemas.openxmlformats.org/officeDocument/2006/relationships/hyperlink" Target="https://dx.doi.org/10.1109/ACCESS.2024.3419102" TargetMode="External" Id="rId22"/><Relationship Type="http://schemas.openxmlformats.org/officeDocument/2006/relationships/hyperlink" Target="https://ieeexplore.ieee.org/document/10571914/" TargetMode="External" Id="rId23"/><Relationship Type="http://schemas.openxmlformats.org/officeDocument/2006/relationships/table" Target="/xl/tables/table7.xml" Id="rId24"/></Relationships>
</file>

<file path=xl/worksheets/_rels/sheet9.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www.nature.com/articles/s41598-025-28038-x" TargetMode="External" Id="rId129"/><Relationship Type="http://schemas.openxmlformats.org/officeDocument/2006/relationships/hyperlink" Target="https://doi.org/10.1038/s41598-025-29947-7" TargetMode="External" Id="rId130"/><Relationship Type="http://schemas.openxmlformats.org/officeDocument/2006/relationships/hyperlink" Target="https://doi.org/10.1038/s41598-025-99903-y" TargetMode="External" Id="rId131"/><Relationship Type="http://schemas.openxmlformats.org/officeDocument/2006/relationships/hyperlink" Target="https://www.nature.com/articles/s41598-025-99903-y" TargetMode="External" Id="rId132"/><Relationship Type="http://schemas.openxmlformats.org/officeDocument/2006/relationships/hyperlink" Target="https://doi.org/10.1038/s41598-026-37578-9" TargetMode="External" Id="rId133"/><Relationship Type="http://schemas.openxmlformats.org/officeDocument/2006/relationships/hyperlink" Target="https://www.nature.com/articles/s41598-026-37578-9" TargetMode="External" Id="rId134"/><Relationship Type="http://schemas.openxmlformats.org/officeDocument/2006/relationships/hyperlink" Target="https://doi.org/10.1007/s44443-025-00234-9" TargetMode="External" Id="rId135"/><Relationship Type="http://schemas.openxmlformats.org/officeDocument/2006/relationships/hyperlink" Target="https://link.springer.com/article/10.1007/s44443-025-00234-9" TargetMode="External" Id="rId136"/><Relationship Type="http://schemas.openxmlformats.org/officeDocument/2006/relationships/hyperlink" Target="https://doi.org/10.1007/s13042-023-01887-6" TargetMode="External" Id="rId137"/><Relationship Type="http://schemas.openxmlformats.org/officeDocument/2006/relationships/hyperlink" Target="https://link.springer.com/article/10.1007/s13042-023-01887-6" TargetMode="External" Id="rId138"/><Relationship Type="http://schemas.openxmlformats.org/officeDocument/2006/relationships/hyperlink" Target="https://journals.sagepub.com/doi/10.1177/10711813251360706" TargetMode="External" Id="rId139"/><Relationship Type="http://schemas.openxmlformats.org/officeDocument/2006/relationships/hyperlink" Target="https://ieeexplore.ieee.org/abstract/document/9018269" TargetMode="External" Id="rId140"/><Relationship Type="http://schemas.openxmlformats.org/officeDocument/2006/relationships/hyperlink" Target="https://doi.org/10.1007/s12193-025-00452-5" TargetMode="External" Id="rId141"/><Relationship Type="http://schemas.openxmlformats.org/officeDocument/2006/relationships/hyperlink" Target="https://link.springer.com/article/10.1007/s12193-025-00452-5" TargetMode="External" Id="rId142"/><Relationship Type="http://schemas.openxmlformats.org/officeDocument/2006/relationships/hyperlink" Target="https://www.sciencedirect.com/science/article/abs/pii/S1053810009001718?via%3Dihub" TargetMode="External" Id="rId143"/><Relationship Type="http://schemas.openxmlformats.org/officeDocument/2006/relationships/table" Target="/xl/tables/table8.xml" Id="rId144"/></Relationships>
</file>

<file path=xl/worksheets/_rels/sheet10.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www.nature.com/articles/s41598-025-28038-x" TargetMode="External" Id="rId129"/><Relationship Type="http://schemas.openxmlformats.org/officeDocument/2006/relationships/hyperlink" Target="https://doi.org/10.1038/s41598-025-29947-7" TargetMode="External" Id="rId130"/><Relationship Type="http://schemas.openxmlformats.org/officeDocument/2006/relationships/hyperlink" Target="https://doi.org/10.1038/s41598-025-99903-y" TargetMode="External" Id="rId131"/><Relationship Type="http://schemas.openxmlformats.org/officeDocument/2006/relationships/hyperlink" Target="https://www.nature.com/articles/s41598-025-99903-y" TargetMode="External" Id="rId132"/><Relationship Type="http://schemas.openxmlformats.org/officeDocument/2006/relationships/hyperlink" Target="https://doi.org/10.1038/s41598-026-37578-9" TargetMode="External" Id="rId133"/><Relationship Type="http://schemas.openxmlformats.org/officeDocument/2006/relationships/hyperlink" Target="https://www.nature.com/articles/s41598-026-37578-9" TargetMode="External" Id="rId134"/><Relationship Type="http://schemas.openxmlformats.org/officeDocument/2006/relationships/hyperlink" Target="https://doi.org/10.1007/s44443-025-00234-9" TargetMode="External" Id="rId135"/><Relationship Type="http://schemas.openxmlformats.org/officeDocument/2006/relationships/hyperlink" Target="https://link.springer.com/article/10.1007/s44443-025-00234-9" TargetMode="External" Id="rId136"/><Relationship Type="http://schemas.openxmlformats.org/officeDocument/2006/relationships/hyperlink" Target="https://doi.org/10.1007/s13042-023-01887-6" TargetMode="External" Id="rId137"/><Relationship Type="http://schemas.openxmlformats.org/officeDocument/2006/relationships/hyperlink" Target="https://link.springer.com/article/10.1007/s13042-023-01887-6" TargetMode="External" Id="rId138"/><Relationship Type="http://schemas.openxmlformats.org/officeDocument/2006/relationships/hyperlink" Target="https://journals.sagepub.com/doi/10.1177/10711813251360706" TargetMode="External" Id="rId139"/><Relationship Type="http://schemas.openxmlformats.org/officeDocument/2006/relationships/hyperlink" Target="https://ieeexplore.ieee.org/abstract/document/9018269" TargetMode="External" Id="rId140"/><Relationship Type="http://schemas.openxmlformats.org/officeDocument/2006/relationships/hyperlink" Target="https://doi.org/10.1007/s12193-025-00452-5" TargetMode="External" Id="rId141"/><Relationship Type="http://schemas.openxmlformats.org/officeDocument/2006/relationships/hyperlink" Target="https://link.springer.com/article/10.1007/s12193-025-00452-5" TargetMode="External" Id="rId142"/><Relationship Type="http://schemas.openxmlformats.org/officeDocument/2006/relationships/hyperlink" Target="https://www.sciencedirect.com/science/article/abs/pii/S1053810009001718?via%3Dihub" TargetMode="External" Id="rId143"/><Relationship Type="http://schemas.openxmlformats.org/officeDocument/2006/relationships/table" Target="/xl/tables/table9.xml" Id="rId144"/></Relationships>
</file>

<file path=xl/worksheets/_rels/sheet11.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45/3663547.374633" TargetMode="External" Id="rId26"/><Relationship Type="http://schemas.openxmlformats.org/officeDocument/2006/relationships/hyperlink" Target="https://dl.acm.org/doi/10.1145/3663547.3746338" TargetMode="External" Id="rId27"/><Relationship Type="http://schemas.openxmlformats.org/officeDocument/2006/relationships/hyperlink" Target="https://doi.org/10.1109/ICRA40945.2020.9196782" TargetMode="External" Id="rId28"/><Relationship Type="http://schemas.openxmlformats.org/officeDocument/2006/relationships/hyperlink" Target="https://www.researchgate.net/publication/339725908_A_Visual_Positioning_System_for_Indoor_Blind_Navigation" TargetMode="External" Id="rId29"/><Relationship Type="http://schemas.openxmlformats.org/officeDocument/2006/relationships/hyperlink" Target="https://ieeexplore.ieee.org/document/10041898" TargetMode="External" Id="rId30"/><Relationship Type="http://schemas.openxmlformats.org/officeDocument/2006/relationships/hyperlink" Target="https://doi.org/10.1016/j.eswa.2023.121065" TargetMode="External" Id="rId31"/><Relationship Type="http://schemas.openxmlformats.org/officeDocument/2006/relationships/hyperlink" Target="https://www.sciencedirect.com/science/article/abs/pii/S0957417423015671?via%3Dihub" TargetMode="External" Id="rId32"/><Relationship Type="http://schemas.openxmlformats.org/officeDocument/2006/relationships/hyperlink" Target="https://arxiv.org/abs/2511.10026v3" TargetMode="External" Id="rId33"/><Relationship Type="http://schemas.openxmlformats.org/officeDocument/2006/relationships/hyperlink" Target="https://doi.org/10.1007/s42486-023-00136-7" TargetMode="External" Id="rId34"/><Relationship Type="http://schemas.openxmlformats.org/officeDocument/2006/relationships/hyperlink" Target="https://link.springer.com/article/10.1007/s42486-023-00136-7" TargetMode="External" Id="rId35"/><Relationship Type="http://schemas.openxmlformats.org/officeDocument/2006/relationships/hyperlink" Target="https://journals.sagepub.com/doi/10.1177/20552076251408522" TargetMode="External" Id="rId36"/><Relationship Type="http://schemas.openxmlformats.org/officeDocument/2006/relationships/hyperlink" Target="https://doi.org/10.1038/s41928-023-01074-z" TargetMode="External" Id="rId37"/><Relationship Type="http://schemas.openxmlformats.org/officeDocument/2006/relationships/hyperlink" Target="https://www.nature.com/articles/s41928-023-01074-z" TargetMode="External" Id="rId38"/><Relationship Type="http://schemas.openxmlformats.org/officeDocument/2006/relationships/hyperlink" Target="https://doi.org/10.1145/3517428.3544797" TargetMode="External" Id="rId39"/><Relationship Type="http://schemas.openxmlformats.org/officeDocument/2006/relationships/hyperlink" Target="https://dl.acm.org/doi/10.1145/3517428.354479" TargetMode="External" Id="rId40"/><Relationship Type="http://schemas.openxmlformats.org/officeDocument/2006/relationships/hyperlink" Target="https://ebooks.iospress.nl/doi/10.3233/APC210058" TargetMode="External" Id="rId41"/><Relationship Type="http://schemas.openxmlformats.org/officeDocument/2006/relationships/hyperlink" Target="https://www.sciencedirect.com/science/article/pii/S2090447923002769?via%3Dihub" TargetMode="External" Id="rId42"/><Relationship Type="http://schemas.openxmlformats.org/officeDocument/2006/relationships/hyperlink" Target="https://www.ieee-jas.net/article/doi/10.1109/JAS.2021.1004084?pageType=en" TargetMode="External" Id="rId43"/><Relationship Type="http://schemas.openxmlformats.org/officeDocument/2006/relationships/hyperlink" Target="https://www.tandfonline.com/doi/epdf/10.1080/23311916.2025.2560974?needAccess=true" TargetMode="External" Id="rId44"/><Relationship Type="http://schemas.openxmlformats.org/officeDocument/2006/relationships/hyperlink" Target="https://doi.org/10.1007/s11042-022-12577-w" TargetMode="External" Id="rId45"/><Relationship Type="http://schemas.openxmlformats.org/officeDocument/2006/relationships/hyperlink" Target="https://journals.sagepub.com/home/dhj" TargetMode="External" Id="rId46"/><Relationship Type="http://schemas.openxmlformats.org/officeDocument/2006/relationships/hyperlink" Target="https://link.springer.com/article/10.1007/s42486-023-00136-7" TargetMode="External" Id="rId47"/><Relationship Type="http://schemas.openxmlformats.org/officeDocument/2006/relationships/hyperlink" Target="https://www.sciencedirect.com/science/article/abs/pii/S0957417423015671?via%3Dihub" TargetMode="External" Id="rId48"/><Relationship Type="http://schemas.openxmlformats.org/officeDocument/2006/relationships/hyperlink" Target="https://www.nature.com/articles/s41928-023-01074-z" TargetMode="External" Id="rId49"/><Relationship Type="http://schemas.openxmlformats.org/officeDocument/2006/relationships/hyperlink" Target="https://doi.org/10.1016/j.patrec.2019.03.008" TargetMode="External" Id="rId50"/><Relationship Type="http://schemas.openxmlformats.org/officeDocument/2006/relationships/hyperlink" Target="https://www.sciencedirect.com/science/article/abs/pii/S0167865519300881?via%3Dihub" TargetMode="External" Id="rId51"/><Relationship Type="http://schemas.openxmlformats.org/officeDocument/2006/relationships/hyperlink" Target="https://doi.org/10.1016/j.neunet.2023.12.042" TargetMode="External" Id="rId52"/><Relationship Type="http://schemas.openxmlformats.org/officeDocument/2006/relationships/hyperlink" Target="https://www.sciencedirect.com/science/article/pii/S0893608023007499?via%3Dihub" TargetMode="External" Id="rId53"/><Relationship Type="http://schemas.openxmlformats.org/officeDocument/2006/relationships/hyperlink" Target="https://ieeexplore.ieee.org/document/5165018" TargetMode="External" Id="rId54"/><Relationship Type="http://schemas.openxmlformats.org/officeDocument/2006/relationships/hyperlink" Target="https://ieeexplore.ieee.org/document/5165018" TargetMode="External" Id="rId55"/><Relationship Type="http://schemas.openxmlformats.org/officeDocument/2006/relationships/hyperlink" Target="https://link.springer.com/article/10.1007/s11042-021-11287-z" TargetMode="External" Id="rId56"/><Relationship Type="http://schemas.openxmlformats.org/officeDocument/2006/relationships/hyperlink" Target="https://link.springer.com/article/10.1007/s11042-023-16355-0" TargetMode="External" Id="rId57"/><Relationship Type="http://schemas.openxmlformats.org/officeDocument/2006/relationships/hyperlink" Target="https://doi.org/10.1049/ell2.70570" TargetMode="External" Id="rId58"/><Relationship Type="http://schemas.openxmlformats.org/officeDocument/2006/relationships/hyperlink" Target="https://ietresearch.onlinelibrary.wiley.com/doi/10.1049/ell2.70570" TargetMode="External" Id="rId59"/><Relationship Type="http://schemas.openxmlformats.org/officeDocument/2006/relationships/hyperlink" Target="https://link.springer.com/article/10.1007/s11554-023-01314-7" TargetMode="External" Id="rId60"/><Relationship Type="http://schemas.openxmlformats.org/officeDocument/2006/relationships/hyperlink" Target="https://doi.org/10.1007/s10209-023-00973-4" TargetMode="External" Id="rId61"/><Relationship Type="http://schemas.openxmlformats.org/officeDocument/2006/relationships/hyperlink" Target="https://link.springer.com/article/10.1007/s10209-023-00973-4" TargetMode="External" Id="rId62"/><Relationship Type="http://schemas.openxmlformats.org/officeDocument/2006/relationships/hyperlink" Target="https://doi.org/10.1109/TOH.2025.3616046" TargetMode="External" Id="rId63"/><Relationship Type="http://schemas.openxmlformats.org/officeDocument/2006/relationships/hyperlink" Target="https://ieeexplore.ieee.org/document/11186136" TargetMode="External" Id="rId64"/><Relationship Type="http://schemas.openxmlformats.org/officeDocument/2006/relationships/hyperlink" Target="https://doi.org/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3233/FAIA231495" TargetMode="External" Id="rId70"/><Relationship Type="http://schemas.openxmlformats.org/officeDocument/2006/relationships/hyperlink" Target="https://ebooks.iospress.nl/doi/10.3233/FAIA231495" TargetMode="External" Id="rId71"/><Relationship Type="http://schemas.openxmlformats.org/officeDocument/2006/relationships/hyperlink" Target="https://doi.org/10.1016/j.actpsy.2019.102950" TargetMode="External" Id="rId72"/><Relationship Type="http://schemas.openxmlformats.org/officeDocument/2006/relationships/hyperlink" Target="https://www.sciencedirect.com/science/article/abs/pii/S0001691819302008?via%3Dihub" TargetMode="External" Id="rId73"/><Relationship Type="http://schemas.openxmlformats.org/officeDocument/2006/relationships/hyperlink" Target="https://doi.org/10.3389/fnhum.2014.00291" TargetMode="External" Id="rId74"/><Relationship Type="http://schemas.openxmlformats.org/officeDocument/2006/relationships/hyperlink" Target="https://www.frontiersin.org/journals/human-neuroscience/articles/10.3389/fnhum.2014.00291/full" TargetMode="External" Id="rId75"/><Relationship Type="http://schemas.openxmlformats.org/officeDocument/2006/relationships/hyperlink" Target="https://doi.org/10.1007/s10846-023-01824-3" TargetMode="External" Id="rId76"/><Relationship Type="http://schemas.openxmlformats.org/officeDocument/2006/relationships/hyperlink" Target="https://link.springer.com/article/10.1007/s10846-023-01824-3" TargetMode="External" Id="rId77"/><Relationship Type="http://schemas.openxmlformats.org/officeDocument/2006/relationships/hyperlink" Target="https://doi.org/10.1109/TVCG.2021.3136214" TargetMode="External" Id="rId78"/><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9"/><Relationship Type="http://schemas.openxmlformats.org/officeDocument/2006/relationships/hyperlink" Target="https://doi.org/10.1109/EMBC.2013.6610223" TargetMode="External" Id="rId80"/><Relationship Type="http://schemas.openxmlformats.org/officeDocument/2006/relationships/hyperlink" Target="https://ieeexplore.ieee.org/document/6610223" TargetMode="External" Id="rId81"/><Relationship Type="http://schemas.openxmlformats.org/officeDocument/2006/relationships/hyperlink" Target="https://10.0.4.153/10711813251360704" TargetMode="External" Id="rId82"/><Relationship Type="http://schemas.openxmlformats.org/officeDocument/2006/relationships/hyperlink" Target="https://journals.sagepub.com/doi/10.1177/10711813251360704" TargetMode="External" Id="rId83"/><Relationship Type="http://schemas.openxmlformats.org/officeDocument/2006/relationships/hyperlink" Target="http://linkinghub.elsevier.com/retrieve/pii/S1071581907001012" TargetMode="External" Id="rId84"/><Relationship Type="http://schemas.openxmlformats.org/officeDocument/2006/relationships/hyperlink" Target="https://doi.org/10.1186/s41235-020-00240-7" TargetMode="External" Id="rId85"/><Relationship Type="http://schemas.openxmlformats.org/officeDocument/2006/relationships/hyperlink" Target="https://link.springer.com/article/10.1186/s41235-020-00240-7" TargetMode="External" Id="rId86"/><Relationship Type="http://schemas.openxmlformats.org/officeDocument/2006/relationships/hyperlink" Target="https://doi.org/10.1177/14604582221112609" TargetMode="External" Id="rId87"/><Relationship Type="http://schemas.openxmlformats.org/officeDocument/2006/relationships/hyperlink" Target="https://journals.sagepub.com/doi/10.1177/14604582221112609" TargetMode="External" Id="rId88"/><Relationship Type="http://schemas.openxmlformats.org/officeDocument/2006/relationships/hyperlink" Target="https://doi.org/10.1080/17483107.2025.2463541" TargetMode="External" Id="rId89"/><Relationship Type="http://schemas.openxmlformats.org/officeDocument/2006/relationships/hyperlink" Target="https://www.tandfonline.com/doi/full/10.1080/17483107.2025.2463541" TargetMode="External" Id="rId90"/><Relationship Type="http://schemas.openxmlformats.org/officeDocument/2006/relationships/hyperlink" Target="https://dx.doi.org/10.1109/ACCESS.2024.3419102" TargetMode="External" Id="rId91"/><Relationship Type="http://schemas.openxmlformats.org/officeDocument/2006/relationships/hyperlink" Target="https://ieeexplore.ieee.org/document/10571914/" TargetMode="External" Id="rId92"/><Relationship Type="http://schemas.openxmlformats.org/officeDocument/2006/relationships/hyperlink" Target="https://journals.sagepub.com/doi/10.3233/RNN-221279" TargetMode="External" Id="rId93"/><Relationship Type="http://schemas.openxmlformats.org/officeDocument/2006/relationships/hyperlink" Target="https://doi.org/10.1016/j.neubiorev.2007.05.010" TargetMode="External" Id="rId94"/><Relationship Type="http://schemas.openxmlformats.org/officeDocument/2006/relationships/hyperlink" Target="https://www.sciencedirect.com/science/article/abs/pii/S0149763407000668?via%3Dihub" TargetMode="External" Id="rId95"/><Relationship Type="http://schemas.openxmlformats.org/officeDocument/2006/relationships/hyperlink" Target="https://ieeexplore.ieee.org/document/10438849" TargetMode="External" Id="rId96"/><Relationship Type="http://schemas.openxmlformats.org/officeDocument/2006/relationships/hyperlink" Target="https://journals.sagepub.com/doi/10.1177/20556683251316305" TargetMode="External" Id="rId97"/><Relationship Type="http://schemas.openxmlformats.org/officeDocument/2006/relationships/hyperlink" Target="https://doi.org/10.1016/j.heliyon.2024.e31825" TargetMode="External" Id="rId98"/><Relationship Type="http://schemas.openxmlformats.org/officeDocument/2006/relationships/hyperlink" Target="https://www.cell.com/heliyon/fulltext/S2405-8440(24)07856-3?_returnURL=https%3A%2F%2Flinkinghub.elsevier.com%2Fretrieve%2Fpii%2FS2405844024078563%3Fshowall%3Dtrue" TargetMode="External" Id="rId99"/><Relationship Type="http://schemas.openxmlformats.org/officeDocument/2006/relationships/hyperlink" Target="https://link.springer.com/article/10.1007/s12559-026-10547-0" TargetMode="External" Id="rId100"/><Relationship Type="http://schemas.openxmlformats.org/officeDocument/2006/relationships/hyperlink" Target="https://link.springer.com/article/10.1007/s12193-025-00463-2" TargetMode="External" Id="rId101"/><Relationship Type="http://schemas.openxmlformats.org/officeDocument/2006/relationships/hyperlink" Target="https://link.springer.com/article/10.1007/s12193-024-00447-8" TargetMode="External" Id="rId102"/><Relationship Type="http://schemas.openxmlformats.org/officeDocument/2006/relationships/hyperlink" Target="https://link.springer.com/article/10.1007/s12193-023-00427-4" TargetMode="External" Id="rId103"/><Relationship Type="http://schemas.openxmlformats.org/officeDocument/2006/relationships/hyperlink" Target="https://link.springer.com/article/10.1007/s12193-021-00376-w" TargetMode="External" Id="rId104"/><Relationship Type="http://schemas.openxmlformats.org/officeDocument/2006/relationships/hyperlink" Target="https://link.springer.com/article/10.1007/s11042-026-21198-6" TargetMode="External" Id="rId105"/><Relationship Type="http://schemas.openxmlformats.org/officeDocument/2006/relationships/hyperlink" Target="https://link.springer.com/article/10.1007/s11042-026-21158-0" TargetMode="External" Id="rId106"/><Relationship Type="http://schemas.openxmlformats.org/officeDocument/2006/relationships/hyperlink" Target="https://link.springer.com/article/10.1007/s00530-025-02139-z" TargetMode="External" Id="rId107"/><Relationship Type="http://schemas.openxmlformats.org/officeDocument/2006/relationships/hyperlink" Target="https://link.springer.com/article/10.1007/s00221-026-07309-7" TargetMode="External" Id="rId108"/><Relationship Type="http://schemas.openxmlformats.org/officeDocument/2006/relationships/hyperlink" Target="https://link.springer.com/article/10.1007/s00221-021-06181-x" TargetMode="External" Id="rId109"/><Relationship Type="http://schemas.openxmlformats.org/officeDocument/2006/relationships/hyperlink" Target="https://www.sciencedirect.com/science/article/abs/pii/S0006899315005156?via%3Dihub" TargetMode="External" Id="rId110"/><Relationship Type="http://schemas.openxmlformats.org/officeDocument/2006/relationships/hyperlink" Target="https://doi.org/10.1186/s12984-021-00935-y" TargetMode="External" Id="rId111"/><Relationship Type="http://schemas.openxmlformats.org/officeDocument/2006/relationships/hyperlink" Target="https://link.springer.com/article/10.1186/s12984-021-00935-y" TargetMode="External" Id="rId112"/><Relationship Type="http://schemas.openxmlformats.org/officeDocument/2006/relationships/hyperlink" Target="https://doi.org/10.3758/s13414-024-02959-7" TargetMode="External" Id="rId113"/><Relationship Type="http://schemas.openxmlformats.org/officeDocument/2006/relationships/hyperlink" Target="https://link.springer.com/article/10.3758/s13414-024-02959-7" TargetMode="External" Id="rId114"/><Relationship Type="http://schemas.openxmlformats.org/officeDocument/2006/relationships/hyperlink" Target="https://link.springer.com/article/10.1186/s40580-026-00552-2" TargetMode="External" Id="rId115"/><Relationship Type="http://schemas.openxmlformats.org/officeDocument/2006/relationships/hyperlink" Target="https://link.springer.com/article/10.1186/s41235-023-00495-w" TargetMode="External" Id="rId116"/><Relationship Type="http://schemas.openxmlformats.org/officeDocument/2006/relationships/hyperlink" Target="https://www.nature.com/articles/s41378-026-01190-8" TargetMode="External" Id="rId117"/><Relationship Type="http://schemas.openxmlformats.org/officeDocument/2006/relationships/hyperlink" Target="https://doi.org/10.1038/s41539-025-00385-4" TargetMode="External" Id="rId118"/><Relationship Type="http://schemas.openxmlformats.org/officeDocument/2006/relationships/hyperlink" Target="https://www.nature.com/articles/s41539-025-00385-4" TargetMode="External" Id="rId119"/><Relationship Type="http://schemas.openxmlformats.org/officeDocument/2006/relationships/hyperlink" Target="https://doi.org/10.1038/s41539-025-00385-4" TargetMode="External" Id="rId120"/><Relationship Type="http://schemas.openxmlformats.org/officeDocument/2006/relationships/hyperlink" Target="https://www.nature.com/articles/s41539-025-00385-4" TargetMode="External" Id="rId121"/><Relationship Type="http://schemas.openxmlformats.org/officeDocument/2006/relationships/hyperlink" Target="https://www.sciencedirect.com/science/article/abs/pii/S136466130800199X" TargetMode="External" Id="rId122"/><Relationship Type="http://schemas.openxmlformats.org/officeDocument/2006/relationships/hyperlink" Target="https://www.nature.com/articles/s41598-020-59102-3" TargetMode="External" Id="rId123"/><Relationship Type="http://schemas.openxmlformats.org/officeDocument/2006/relationships/hyperlink" Target="https://doi.org/10.1038/s41598-025-08155-3" TargetMode="External" Id="rId124"/><Relationship Type="http://schemas.openxmlformats.org/officeDocument/2006/relationships/hyperlink" Target="https://doi.org/10.1038/s41598-025-08155-3" TargetMode="External" Id="rId125"/><Relationship Type="http://schemas.openxmlformats.org/officeDocument/2006/relationships/hyperlink" Target="https://www.nature.com/articles/s41598-025-08155-3" TargetMode="External" Id="rId126"/><Relationship Type="http://schemas.openxmlformats.org/officeDocument/2006/relationships/hyperlink" Target="https://doi.org/10.1038/s41598-025-14946-5" TargetMode="External" Id="rId127"/><Relationship Type="http://schemas.openxmlformats.org/officeDocument/2006/relationships/hyperlink" Target="https://www.nature.com/articles/s41598-025-14946-5" TargetMode="External" Id="rId128"/><Relationship Type="http://schemas.openxmlformats.org/officeDocument/2006/relationships/hyperlink" Target="https://doi.org/10.1038/s41598-025-20765-5" TargetMode="External" Id="rId129"/><Relationship Type="http://schemas.openxmlformats.org/officeDocument/2006/relationships/hyperlink" Target="https://www.nature.com/articles/s41598-025-20765-5" TargetMode="External" Id="rId130"/><Relationship Type="http://schemas.openxmlformats.org/officeDocument/2006/relationships/hyperlink" Target="https://doi.org/10.1038/s41598-025-21720-0" TargetMode="External" Id="rId131"/><Relationship Type="http://schemas.openxmlformats.org/officeDocument/2006/relationships/hyperlink" Target="https://www.nature.com/articles/s41598-025-21720-0" TargetMode="External" Id="rId132"/><Relationship Type="http://schemas.openxmlformats.org/officeDocument/2006/relationships/hyperlink" Target="https://doi.org/10.1038/s41598-025-29947-7" TargetMode="External" Id="rId133"/><Relationship Type="http://schemas.openxmlformats.org/officeDocument/2006/relationships/hyperlink" Target="https://www.nature.com/articles/s41598-025-29947-7" TargetMode="External" Id="rId134"/><Relationship Type="http://schemas.openxmlformats.org/officeDocument/2006/relationships/hyperlink" Target="https://www.nature.com/articles/s41598-025-28038-x" TargetMode="External" Id="rId135"/><Relationship Type="http://schemas.openxmlformats.org/officeDocument/2006/relationships/hyperlink" Target="https://doi.org/10.1038/s41598-025-29947-7" TargetMode="External" Id="rId136"/><Relationship Type="http://schemas.openxmlformats.org/officeDocument/2006/relationships/hyperlink" Target="https://doi.org/10.1038/s41598-025-99903-y" TargetMode="External" Id="rId137"/><Relationship Type="http://schemas.openxmlformats.org/officeDocument/2006/relationships/hyperlink" Target="https://www.nature.com/articles/s41598-025-99903-y" TargetMode="External" Id="rId138"/><Relationship Type="http://schemas.openxmlformats.org/officeDocument/2006/relationships/hyperlink" Target="https://doi.org/10.1038/s41598-026-37578-9" TargetMode="External" Id="rId139"/><Relationship Type="http://schemas.openxmlformats.org/officeDocument/2006/relationships/hyperlink" Target="https://www.nature.com/articles/s41598-026-37578-9" TargetMode="External" Id="rId140"/><Relationship Type="http://schemas.openxmlformats.org/officeDocument/2006/relationships/hyperlink" Target="https://doi.org/10.1007/s44443-025-00234-9" TargetMode="External" Id="rId141"/><Relationship Type="http://schemas.openxmlformats.org/officeDocument/2006/relationships/hyperlink" Target="https://link.springer.com/article/10.1007/s44443-025-00234-9" TargetMode="External" Id="rId142"/><Relationship Type="http://schemas.openxmlformats.org/officeDocument/2006/relationships/hyperlink" Target="https://doi.org/10.1007/s13042-023-01887-6" TargetMode="External" Id="rId143"/><Relationship Type="http://schemas.openxmlformats.org/officeDocument/2006/relationships/hyperlink" Target="https://link.springer.com/article/10.1007/s13042-023-01887-6" TargetMode="External" Id="rId144"/><Relationship Type="http://schemas.openxmlformats.org/officeDocument/2006/relationships/hyperlink" Target="https://journals.sagepub.com/doi/10.1177/10711813251360706" TargetMode="External" Id="rId145"/><Relationship Type="http://schemas.openxmlformats.org/officeDocument/2006/relationships/hyperlink" Target="https://ieeexplore.ieee.org/abstract/document/9018269" TargetMode="External" Id="rId146"/><Relationship Type="http://schemas.openxmlformats.org/officeDocument/2006/relationships/hyperlink" Target="https://doi.org/10.1007/s12193-025-00452-5" TargetMode="External" Id="rId147"/><Relationship Type="http://schemas.openxmlformats.org/officeDocument/2006/relationships/hyperlink" Target="https://link.springer.com/article/10.1007/s12193-025-00452-5" TargetMode="External" Id="rId148"/><Relationship Type="http://schemas.openxmlformats.org/officeDocument/2006/relationships/hyperlink" Target="https://www.sciencedirect.com/science/article/abs/pii/S1053810009001718?via%3Dihub" TargetMode="External" Id="rId149"/><Relationship Type="http://schemas.openxmlformats.org/officeDocument/2006/relationships/table" Target="/xl/tables/table10.xml" Id="rId150"/></Relationships>
</file>

<file path=xl/worksheets/_rels/sheet12.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table" Target="/xl/tables/table11.xml" Id="rId24"/></Relationships>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cols>
    <col width="20" customWidth="1" style="270" min="1" max="1"/>
    <col width="24" customWidth="1" style="270" min="2" max="2"/>
    <col width="45" customWidth="1" style="270" min="3" max="3"/>
    <col width="14" customWidth="1" style="270" min="4" max="4"/>
    <col width="18" customWidth="1" style="270" min="5" max="5"/>
    <col width="28" customWidth="1" style="270" min="6" max="6"/>
    <col width="32" customWidth="1" style="270" min="7" max="7"/>
    <col width="18" customWidth="1" style="270" min="8" max="8"/>
    <col width="40" customWidth="1" style="270" min="9" max="9"/>
    <col width="42" customWidth="1" style="270" min="10" max="10"/>
    <col width="42" customWidth="1" style="270" min="11" max="11"/>
    <col width="30" customWidth="1" style="270" min="12" max="12"/>
    <col width="35" customWidth="1" style="270" min="13" max="13"/>
    <col width="26" customWidth="1" style="270" min="14" max="14"/>
    <col width="22" customWidth="1" style="270" min="15" max="15"/>
    <col width="16" customWidth="1" style="270" min="16" max="16"/>
  </cols>
  <sheetData>
    <row r="1" ht="28" customHeight="1" s="270">
      <c r="A1" s="367" t="inlineStr">
        <is>
          <t>Reviewer / Member</t>
        </is>
      </c>
      <c r="B1" s="367" t="inlineStr">
        <is>
          <t>Paper's DOI</t>
        </is>
      </c>
      <c r="C1" s="367" t="inlineStr">
        <is>
          <t>Title</t>
        </is>
      </c>
      <c r="D1" s="367" t="inlineStr">
        <is>
          <t>Publication Year</t>
        </is>
      </c>
      <c r="E1" s="367" t="inlineStr">
        <is>
          <t>Publisher</t>
        </is>
      </c>
      <c r="F1" s="367" t="inlineStr">
        <is>
          <t>paper URL</t>
        </is>
      </c>
      <c r="G1" s="367" t="inlineStr">
        <is>
          <t>Technology</t>
        </is>
      </c>
      <c r="H1" s="367" t="inlineStr">
        <is>
          <t>Included or Excluded</t>
        </is>
      </c>
      <c r="I1" s="367" t="inlineStr">
        <is>
          <t>Reason for inclusivity</t>
        </is>
      </c>
      <c r="J1" s="367" t="inlineStr">
        <is>
          <t>Problem</t>
        </is>
      </c>
      <c r="K1" s="367" t="inlineStr">
        <is>
          <t>Solution</t>
        </is>
      </c>
      <c r="L1" s="367" t="inlineStr">
        <is>
          <t>Main Tags</t>
        </is>
      </c>
      <c r="M1" s="367" t="inlineStr">
        <is>
          <t>Another Tags</t>
        </is>
      </c>
      <c r="N1" s="367" t="inlineStr">
        <is>
          <t>Reviewer Notes / Original Slot</t>
        </is>
      </c>
      <c r="O1" s="367" t="inlineStr">
        <is>
          <t>Systematic Scope Status</t>
        </is>
      </c>
      <c r="P1" s="367" t="inlineStr">
        <is>
          <t>Numbering for ref</t>
        </is>
      </c>
    </row>
    <row r="2" ht="34" customHeight="1" s="270">
      <c r="A2" s="368" t="inlineStr">
        <is>
          <t>David</t>
        </is>
      </c>
      <c r="B2" s="368" t="inlineStr">
        <is>
          <t>10.1016/j.bcp.2025.116272</t>
        </is>
      </c>
      <c r="C2" s="369" t="inlineStr">
        <is>
          <t>A quantitative assessment of EOG eye tracking during free viewing in sighted and in congenitally blind</t>
        </is>
      </c>
      <c r="D2" s="368" t="n">
        <v>2025</v>
      </c>
      <c r="E2" s="368" t="inlineStr">
        <is>
          <t>Elsevier</t>
        </is>
      </c>
      <c r="F2" s="369" t="inlineStr">
        <is>
          <t>https://www.sciencedirect.com/science/article/pii/S0006899325003555?via%3Dihub</t>
        </is>
      </c>
      <c r="G2" s="369" t="inlineStr">
        <is>
          <t>Electrooculography (EOG)
Video-Based Eye Tracking
SMI Eye-Tracking Glasses
Smarting Mobile EEG
g.HIamp Amplifier
BioSemi EEG
vEOG / hEOG
Blink Detection
Saccade Detection
The vOICe</t>
        </is>
      </c>
      <c r="H2" s="370" t="inlineStr">
        <is>
          <t>Included</t>
        </is>
      </c>
      <c r="I2" s="369" t="inlineStr">
        <is>
          <t>Meets inclusion criteria for assistive spatial navigation, tactile feedback, or obstacle detection.</t>
        </is>
      </c>
      <c r="J2" s="369" t="inlineStr">
        <is>
          <t>Limited exploration of EOG in naturalistic/free-viewing conditions
Video-based tracking can fail in blind individuals due to pupil abnormalities or eyelid control
Need to detect eye movements without visual fixation</t>
        </is>
      </c>
      <c r="K2" s="369" t="inlineStr">
        <is>
          <t>EOG-based detection of blinks and saccades
Comparison with video-based eye tracking
Testing under light, darkness, eyes-closed, and congenital blindness
Demonstrated that EOG can detect eye movements in blind participants</t>
        </is>
      </c>
      <c r="L2" s="371" t="inlineStr">
        <is>
          <t>Tactile &amp; Sensory Substitution Systems (TSSS)</t>
        </is>
      </c>
      <c r="M2" s="372" t="inlineStr">
        <is>
          <t>Tactile-Actuation, Corridor-Navigation, Human-Factors-Usability, Wearable-Embedded</t>
        </is>
      </c>
      <c r="N2" s="368" t="inlineStr">
        <is>
          <t>Original assignment for David (Row 2)</t>
        </is>
      </c>
      <c r="O2" s="368" t="inlineStr">
        <is>
          <t>Primary SLR Target</t>
        </is>
      </c>
      <c r="P2" s="373" t="inlineStr">
        <is>
          <t>REF-001</t>
        </is>
      </c>
    </row>
    <row r="3" ht="34" customHeight="1" s="270">
      <c r="A3" s="374" t="inlineStr">
        <is>
          <t>David</t>
        </is>
      </c>
      <c r="B3" s="374" t="inlineStr">
        <is>
          <t>10.1016/j.neuroimage.2025.121652</t>
        </is>
      </c>
      <c r="C3" s="375" t="inlineStr">
        <is>
          <t>Long-term visual-to-tactile stimulation induces functional reorganization of thalamic pathways to achieve visual perception</t>
        </is>
      </c>
      <c r="D3" s="374" t="n">
        <v>2025</v>
      </c>
      <c r="E3" s="374" t="inlineStr">
        <is>
          <t>Elsevier</t>
        </is>
      </c>
      <c r="F3" s="375" t="inlineStr">
        <is>
          <t>https://www.sciencedirect.com/science/article/pii/S105381192500655X?via%3Dihub</t>
        </is>
      </c>
      <c r="G3" s="375" t="inlineStr">
        <is>
          <t>Sensory Substitution Device (SSD)
Visual-to-Tactile Conversion
Tactile Stimulation
Resting-State fMRI
Functional Connectivity Analysis
Thalamic/Occipital Brain Imaging</t>
        </is>
      </c>
      <c r="H3" s="370" t="inlineStr">
        <is>
          <t>Included</t>
        </is>
      </c>
      <c r="I3" s="375" t="inlineStr">
        <is>
          <t>Directly relevant: six-month training of blind children with a camera-to-2D-vibrotactile SSD, with resting-state fMRI evidence of thalamo-occipital reorganisation linked to tactile identification performance.</t>
        </is>
      </c>
      <c r="J3" s="375" t="inlineStr">
        <is>
          <t>Limited understanding of how long-term tactile sensory substitution produces visual perception.
Unclear how the brain reorganizes its pathways during prolonged SSD use.</t>
        </is>
      </c>
      <c r="K3" s="375" t="inlineStr">
        <is>
          <t>Long-term visual-to-tactile stimulation/training.
Investigation of changes in thalamic–occipital connectivity to understand the neural mechanism.</t>
        </is>
      </c>
      <c r="L3" s="371" t="inlineStr">
        <is>
          <t>Tactile &amp; Sensory Substitution Systems (TSSS)</t>
        </is>
      </c>
      <c r="M3" s="372" t="inlineStr">
        <is>
          <t>Tactile-Actuation, Corridor-Navigation, Human-Factors-Usability</t>
        </is>
      </c>
      <c r="N3" s="374" t="inlineStr">
        <is>
          <t>Original assignment for David (Row 3)</t>
        </is>
      </c>
      <c r="O3" s="374" t="inlineStr">
        <is>
          <t>Primary SLR Target</t>
        </is>
      </c>
      <c r="P3" s="376" t="inlineStr">
        <is>
          <t>REF-002</t>
        </is>
      </c>
    </row>
    <row r="4" ht="34" customHeight="1" s="270">
      <c r="A4" s="368" t="inlineStr">
        <is>
          <t>David</t>
        </is>
      </c>
      <c r="B4" s="368" t="inlineStr">
        <is>
          <t>10.1016/j.neuroimage.2021.118029</t>
        </is>
      </c>
      <c r="C4" s="369" t="inlineStr">
        <is>
          <t>Topographic maps and neural tuning for sensory substitution dimensions learned in adulthood in a congenital blind subject</t>
        </is>
      </c>
      <c r="D4" s="368" t="n">
        <v>2021</v>
      </c>
      <c r="E4" s="368" t="inlineStr">
        <is>
          <t>Elsevier</t>
        </is>
      </c>
      <c r="F4" s="369" t="inlineStr">
        <is>
          <t>https://www.sciencedirect.com/science/article/pii/S1053811921003062?via%3Dihub</t>
        </is>
      </c>
      <c r="G4" s="369" t="inlineStr">
        <is>
          <t>Auditory Sensory Substitution Device
2D Auditory Soundscape
Pitch Encoding
Temporal Encoding
Population Receptive Field Mapping
fMRI</t>
        </is>
      </c>
      <c r="H4" s="370" t="inlineStr">
        <is>
          <t>Included</t>
        </is>
      </c>
      <c r="I4" s="369" t="inlineStr">
        <is>
          <t>Neuroimaging evidence that a congenitally blind adult trained on a visual-to-auditory SSD forms topographic cortical maps of the learned 2D space; supports learnability of sensory substitution in adulthood.</t>
        </is>
      </c>
      <c r="J4" s="369" t="inlineStr">
        <is>
          <t>How the adult brain represents newly learned sensory dimensions in a person who is congenitally blind.</t>
        </is>
      </c>
      <c r="K4" s="369" t="inlineStr">
        <is>
          <t>Convert spatial information into auditory dimensions.
Train the participant to interpret the auditory representation.
Analyze the resulting neural maps and tuning.</t>
        </is>
      </c>
      <c r="L4" s="371" t="inlineStr">
        <is>
          <t>Tactile &amp; Sensory Substitution Systems (TSSS)</t>
        </is>
      </c>
      <c r="M4" s="372" t="inlineStr">
        <is>
          <t>Tactile-Actuation, Human-Factors-Usability</t>
        </is>
      </c>
      <c r="N4" s="368" t="inlineStr">
        <is>
          <t>Original assignment for David (Row 4)</t>
        </is>
      </c>
      <c r="O4" s="368" t="inlineStr">
        <is>
          <t>Primary SLR Target</t>
        </is>
      </c>
      <c r="P4" s="373" t="inlineStr">
        <is>
          <t>REF-003</t>
        </is>
      </c>
    </row>
    <row r="5" ht="34" customHeight="1" s="270">
      <c r="A5" s="374" t="inlineStr">
        <is>
          <t>David</t>
        </is>
      </c>
      <c r="B5" s="374" t="inlineStr">
        <is>
          <t>10.1016/j.neuroimage.2024.120621</t>
        </is>
      </c>
      <c r="C5" s="375" t="inlineStr">
        <is>
          <t>Visual Mental Imagery and Neural Dynamics of Sensory Substitution in the Blindfolded Subjects</t>
        </is>
      </c>
      <c r="D5" s="374" t="n">
        <v>2024</v>
      </c>
      <c r="E5" s="374" t="inlineStr">
        <is>
          <t>Elsevier</t>
        </is>
      </c>
      <c r="F5" s="375" t="inlineStr">
        <is>
          <t>https://www.sciencedirect.com/science/article/pii/S1053811924001162?via%3Dihub</t>
        </is>
      </c>
      <c r="G5" s="375" t="inlineStr">
        <is>
          <t>Auditory Sensory Substitution
Visual-to-Auditory Encoding
Soundscape Stimuli
Functional MRI
Dynamic Causal Modeling (DCM)
Visual Mental Imagery</t>
        </is>
      </c>
      <c r="H5" s="370" t="inlineStr">
        <is>
          <t>Included</t>
        </is>
      </c>
      <c r="I5" s="375" t="inlineStr">
        <is>
          <t>EEG study of the neural mechanism and learning curve of visual-to-auditory sensory substitution (vOICe soundscapes) in blindfolded sighted subjects; informs SSD training and perception.</t>
        </is>
      </c>
      <c r="J5" s="375" t="inlineStr">
        <is>
          <t>How sensory-substitution information is processed by the brain.
Whether auditory sensory substitution can engage visual mental imagery.</t>
        </is>
      </c>
      <c r="K5" s="375" t="inlineStr">
        <is>
          <t>Train subjects to interpret auditory representations of visual shapes.
Use neuroimaging and DCM to analyze the resulting brain-network dynamics.</t>
        </is>
      </c>
      <c r="L5" s="371" t="inlineStr">
        <is>
          <t>Tactile &amp; Sensory Substitution Systems (TSSS)</t>
        </is>
      </c>
      <c r="M5" s="372" t="inlineStr">
        <is>
          <t>Tactile-Actuation, AI-Object-Detection, Human-Factors-Usability</t>
        </is>
      </c>
      <c r="N5" s="374" t="inlineStr">
        <is>
          <t>Original assignment for David (Row 5)</t>
        </is>
      </c>
      <c r="O5" s="374" t="inlineStr">
        <is>
          <t>Primary SLR Target</t>
        </is>
      </c>
      <c r="P5" s="376" t="inlineStr">
        <is>
          <t>REF-004</t>
        </is>
      </c>
    </row>
    <row r="6" ht="34" customHeight="1" s="270">
      <c r="A6" s="368" t="inlineStr">
        <is>
          <t>David</t>
        </is>
      </c>
      <c r="B6" s="368" t="inlineStr">
        <is>
          <t>10.1177/0145482X19842491</t>
        </is>
      </c>
      <c r="C6" s="369" t="inlineStr">
        <is>
          <t>A Haptic Navigation Aid for Individuals with Visual Impairments: Indoor and Outdoor Feasibility Evaluations of the LaserNavigator</t>
        </is>
      </c>
      <c r="D6" s="368" t="n">
        <v>2019</v>
      </c>
      <c r="E6" s="368" t="inlineStr">
        <is>
          <t>SAGE Publications</t>
        </is>
      </c>
      <c r="F6" s="369" t="inlineStr">
        <is>
          <t>https://journals.sagepub.com/doi/10.1177/0145482X19842491</t>
        </is>
      </c>
      <c r="G6" s="369" t="inlineStr">
        <is>
          <t>Laser Rangefinder
Haptic Feedback
Vibrating Actuator
Handheld Device
Virtual White Cane
Variable Virtual Cane Length</t>
        </is>
      </c>
      <c r="H6" s="370" t="inlineStr">
        <is>
          <t>Included</t>
        </is>
      </c>
      <c r="I6" s="369" t="inlineStr">
        <is>
          <t>Handheld laser-ranging electronic travel aid with haptic (vibration) feedback, evaluated indoors and outdoors with blind users; a direct haptic navigation competitor without AI vision.</t>
        </is>
      </c>
      <c r="J6" s="369" t="inlineStr">
        <is>
          <t>Conventional white canes have a limited detection range.</t>
        </is>
      </c>
      <c r="K6" s="369" t="inlineStr">
        <is>
          <t>Use a laser rangefinder to detect objects beyond normal cane range.
Convert measured distance into haptic feedback.</t>
        </is>
      </c>
      <c r="L6" s="371" t="inlineStr">
        <is>
          <t>Tactile &amp; Sensory Substitution Systems (TSSS)</t>
        </is>
      </c>
      <c r="M6" s="372" t="inlineStr">
        <is>
          <t>Tactile-Actuation, Depth-Sensing, AI-Object-Detection, Corridor-Navigation, Human-Factors-Usability</t>
        </is>
      </c>
      <c r="N6" s="368" t="inlineStr">
        <is>
          <t>Original assignment for David (Row 6)</t>
        </is>
      </c>
      <c r="O6" s="368" t="inlineStr">
        <is>
          <t>Primary SLR Target</t>
        </is>
      </c>
      <c r="P6" s="373" t="inlineStr">
        <is>
          <t>REF-005</t>
        </is>
      </c>
    </row>
    <row r="7" ht="34" customHeight="1" s="270">
      <c r="A7" s="374" t="inlineStr">
        <is>
          <t>David</t>
        </is>
      </c>
      <c r="B7" s="374" t="inlineStr">
        <is>
          <t>10.5220/0006617505550562</t>
        </is>
      </c>
      <c r="C7" s="375" t="inlineStr">
        <is>
          <t>Wearable RGB Camera-based Navigation System for the Visually Impaired</t>
        </is>
      </c>
      <c r="D7" s="374" t="n">
        <v>2018</v>
      </c>
      <c r="E7" s="374" t="inlineStr">
        <is>
          <t>SciTePress</t>
        </is>
      </c>
      <c r="F7" s="375" t="inlineStr">
        <is>
          <t>https://www.scitepress.org/PublishedPapers/2018/66175/</t>
        </is>
      </c>
      <c r="G7" s="375" t="inlineStr">
        <is>
          <t>Laptop in backpack (Intel Core i7-4700MQ, 8 GB RAM; MATLAB)</t>
        </is>
      </c>
      <c r="H7" s="377" t="inlineStr">
        <is>
          <t>Excluded</t>
        </is>
      </c>
      <c r="I7" s="375" t="inlineStr">
        <is>
          <t>Published by SciTePress</t>
        </is>
      </c>
      <c r="J7" s="375" t="inlineStr">
        <is>
          <t>Accuracy drops with occlusion, illumination change between training/testing and sudden camera movements; needs optimisation for real-time devices, cluttered paths, and detection of holes, stairs and obstacles.</t>
        </is>
      </c>
      <c r="K7" s="375" t="inlineStr">
        <is>
          <t>Temporal video alignment via spatial pyramid matching locates the user on a training video; SURF matching plus optimal RANSAC estimate relative camera pose mapped to five instructions every 1 s; tested offline on 6 indoor and 6 outdoor path pairs against human-voted references.</t>
        </is>
      </c>
      <c r="L7" s="371" t="inlineStr">
        <is>
          <t>Edge Computer Vision &amp; 3D Spatial Perception (CV-3D)</t>
        </is>
      </c>
      <c r="M7" s="372" t="inlineStr">
        <is>
          <t>Corridor-Navigation, Human-Factors-Usability, Wearable-Embedded</t>
        </is>
      </c>
      <c r="N7" s="374" t="inlineStr">
        <is>
          <t>Original assignment for David (Row 7)</t>
        </is>
      </c>
      <c r="O7" s="374" t="inlineStr">
        <is>
          <t>Screened / Excluded</t>
        </is>
      </c>
      <c r="P7" s="376" t="inlineStr">
        <is>
          <t>REF-006</t>
        </is>
      </c>
    </row>
    <row r="8" ht="34" customHeight="1" s="270">
      <c r="A8" s="368" t="inlineStr">
        <is>
          <t>David</t>
        </is>
      </c>
      <c r="B8" s="368" t="inlineStr">
        <is>
          <t>10.1609/aaai.v37i2.25233</t>
        </is>
      </c>
      <c r="C8" s="369" t="inlineStr">
        <is>
          <t>BEVDepth: Acquisition of Reliable Depth for Multi-View 3D Object Detection</t>
        </is>
      </c>
      <c r="D8" s="368" t="n">
        <v>2023</v>
      </c>
      <c r="E8" s="368" t="inlineStr">
        <is>
          <t>AAAI</t>
        </is>
      </c>
      <c r="F8" s="369" t="inlineStr">
        <is>
          <t>https://ojs.aaai.org/index.php/AAAI/article/view/25233</t>
        </is>
      </c>
      <c r="G8" s="369" t="inlineStr">
        <is>
          <t>Tactile &amp; Sensory Substitution Hardware</t>
        </is>
      </c>
      <c r="H8" s="377" t="inlineStr">
        <is>
          <t>Excluded</t>
        </is>
      </c>
      <c r="I8" s="369" t="inlineStr">
        <is>
          <t>Because it falls in a different feild of study and is published by AAAI</t>
        </is>
      </c>
      <c r="J8" s="369" t="inlineStr">
        <is>
          <t>Accurate distance estimation and low-latency obstacle identification under embedded edge hardware constraints.</t>
        </is>
      </c>
      <c r="K8" s="369" t="inlineStr">
        <is>
          <t>An embedded computer vision pipeline integrating depth sensing with neural object detection for hazard alerts.</t>
        </is>
      </c>
      <c r="L8" s="371" t="inlineStr">
        <is>
          <t>Edge Computer Vision &amp; 3D Spatial Perception (CV-3D)</t>
        </is>
      </c>
      <c r="M8" s="372" t="inlineStr">
        <is>
          <t>Tactile-Actuation, Depth-Sensing, AI-Object-Detection, Wearable-Embedded</t>
        </is>
      </c>
      <c r="N8" s="368" t="inlineStr">
        <is>
          <t>Original assignment for David (Row 8)</t>
        </is>
      </c>
      <c r="O8" s="368" t="inlineStr">
        <is>
          <t>Screened / Excluded</t>
        </is>
      </c>
      <c r="P8" s="373" t="inlineStr">
        <is>
          <t>REF-007</t>
        </is>
      </c>
    </row>
    <row r="9" ht="34" customHeight="1" s="270">
      <c r="A9" s="374" t="inlineStr">
        <is>
          <t>David</t>
        </is>
      </c>
      <c r="B9" s="374" t="inlineStr">
        <is>
          <t>10.1109/EMBC.2013.6611022</t>
        </is>
      </c>
      <c r="C9" s="375" t="inlineStr">
        <is>
          <t>Electrotactile vision substitution for 3D trajectory following</t>
        </is>
      </c>
      <c r="D9" s="374" t="n">
        <v>2013</v>
      </c>
      <c r="E9" s="374" t="inlineStr">
        <is>
          <t>IEEE</t>
        </is>
      </c>
      <c r="F9" s="375" t="inlineStr">
        <is>
          <t>https://ieeexplore.ieee.org/document/6611022</t>
        </is>
      </c>
      <c r="G9" s="375" t="inlineStr">
        <is>
          <t>Tactile &amp; Sensory Substitution Hardware</t>
        </is>
      </c>
      <c r="H9" s="377" t="inlineStr">
        <is>
          <t>Excluded</t>
        </is>
      </c>
      <c r="I9" s="375" t="inlineStr">
        <is>
          <t>Published in 2013 and The linked IEEE document does not appear to correspond to the assistive-vision/navigation research needed for your review</t>
        </is>
      </c>
      <c r="J9" s="375" t="inlineStr">
        <is>
          <t>High cognitive latency and spatial distortion when conveying complex visual scenes across skin-touch feedback.</t>
        </is>
      </c>
      <c r="K9" s="375" t="inlineStr">
        <is>
          <t>A wearable haptic/tactile feedback matrix encoding spatial clearance and obstacle proximity via cutaneous cues.</t>
        </is>
      </c>
      <c r="L9" s="371" t="inlineStr">
        <is>
          <t>Tactile &amp; Sensory Substitution Systems (TSSS)</t>
        </is>
      </c>
      <c r="M9" s="372" t="inlineStr">
        <is>
          <t>Tactile-Actuation, Corridor-Navigation, Human-Factors-Usability, Wearable-Embedded</t>
        </is>
      </c>
      <c r="N9" s="374" t="inlineStr">
        <is>
          <t>Original assignment for David (Row 9)</t>
        </is>
      </c>
      <c r="O9" s="374" t="inlineStr">
        <is>
          <t>Screened / Excluded</t>
        </is>
      </c>
      <c r="P9" s="376" t="inlineStr">
        <is>
          <t>REF-008</t>
        </is>
      </c>
    </row>
    <row r="10" ht="34" customHeight="1" s="270">
      <c r="A10" s="368" t="inlineStr">
        <is>
          <t>David</t>
        </is>
      </c>
      <c r="B10" s="368" t="inlineStr">
        <is>
          <t>10.1109/EIT51626.2021.9491913</t>
        </is>
      </c>
      <c r="C10" s="369" t="inlineStr">
        <is>
          <t>Visually Impaired Indoor Navigation using YOLO Based Object Recognition, Monocular Depth Estimation and Binaural Sounds</t>
        </is>
      </c>
      <c r="D10" s="368" t="n">
        <v>2021</v>
      </c>
      <c r="E10" s="368" t="inlineStr">
        <is>
          <t>IEEE</t>
        </is>
      </c>
      <c r="F10" s="369" t="inlineStr">
        <is>
          <t>https://ieeexplore.ieee.org/document/9491913</t>
        </is>
      </c>
      <c r="G10" s="369" t="inlineStr">
        <is>
          <t>Monocular RGB Camera
Deep Learning
ResNet-50 Backbone
Encoder–Decoder Network
YOLOv8 Object Detection
Monocular Depth Estimation
Object Distance Estimation
D-Far250 Dataset
KITTI Dataset
Binaural/Spatial Audio
HRTF</t>
        </is>
      </c>
      <c r="H10" s="377" t="inlineStr">
        <is>
          <t>Excluded</t>
        </is>
      </c>
      <c r="I10" s="369" t="inlineStr">
        <is>
          <t>restricted access</t>
        </is>
      </c>
      <c r="J10" s="369" t="inlineStr">
        <is>
          <t>Difficulty detecting objects and understanding their distance and spatial position during indoor navigation.</t>
        </is>
      </c>
      <c r="K10" s="369" t="inlineStr">
        <is>
          <t>YOLO detects objects.
Monocular depth estimation estimates object distance.
Spatial information is converted into binaural audio.
Audio provides directional and distance information to the user.</t>
        </is>
      </c>
      <c r="L10" s="371" t="inlineStr">
        <is>
          <t>Edge Computer Vision &amp; 3D Spatial Perception (CV-3D)</t>
        </is>
      </c>
      <c r="M10" s="372" t="inlineStr">
        <is>
          <t>Depth-Sensing, AI-Object-Detection, Corridor-Navigation, Human-Factors-Usability</t>
        </is>
      </c>
      <c r="N10" s="368" t="inlineStr">
        <is>
          <t>Original assignment for David (Row 10)</t>
        </is>
      </c>
      <c r="O10" s="368" t="inlineStr">
        <is>
          <t>Screened / Excluded</t>
        </is>
      </c>
      <c r="P10" s="373" t="inlineStr">
        <is>
          <t>REF-009</t>
        </is>
      </c>
    </row>
    <row r="11" ht="34" customHeight="1" s="270">
      <c r="A11" s="374" t="inlineStr">
        <is>
          <t>David</t>
        </is>
      </c>
      <c r="B11" s="374" t="inlineStr">
        <is>
          <t>10.1109/TITS.2022.3161141</t>
        </is>
      </c>
      <c r="C11" s="375" t="inlineStr">
        <is>
          <t>Trans4Trans: Efficient Transformer for Transparent Object and Semantic Scene Segmentation in Real-World Navigation Assistance</t>
        </is>
      </c>
      <c r="D11" s="374" t="n">
        <v>2021</v>
      </c>
      <c r="E11" s="374" t="inlineStr">
        <is>
          <t>arXiv</t>
        </is>
      </c>
      <c r="F11" s="375" t="inlineStr">
        <is>
          <t>https://ieeexplore.ieee.org/document/9743965</t>
        </is>
      </c>
      <c r="G11" s="375" t="inlineStr">
        <is>
          <t>RGB-D Camera
Portable GPU
Trans4Trans Transformer
Transformer Parsing Module (TPM)
Semantic Segmentation
Transparent Object Segmentation
Depth Information
Bone-Conduction Earphone</t>
        </is>
      </c>
      <c r="H11" s="377" t="inlineStr">
        <is>
          <t>Excluded</t>
        </is>
      </c>
      <c r="I11" s="375" t="inlineStr">
        <is>
          <t>restricted access</t>
        </is>
      </c>
      <c r="J11" s="375" t="inlineStr">
        <is>
          <t>Transparent objects such as glass doors and glass walls can be incorrectly interpreted as free/walkable space.</t>
        </is>
      </c>
      <c r="K11" s="375" t="inlineStr">
        <is>
          <t>Detect transparent objects separately.
Combine transparent-object segmentation with semantic segmentation and depth information.
Provide navigation feedback to the visually impaired user.</t>
        </is>
      </c>
      <c r="L11" s="371" t="inlineStr">
        <is>
          <t>Edge Computer Vision &amp; 3D Spatial Perception (CV-3D)</t>
        </is>
      </c>
      <c r="M11" s="372" t="inlineStr">
        <is>
          <t>Depth-Sensing, AI-Object-Detection, Corridor-Navigation, Human-Factors-Usability, Wearable-Embedded</t>
        </is>
      </c>
      <c r="N11" s="374" t="inlineStr">
        <is>
          <t>Original assignment for David (Row 11)</t>
        </is>
      </c>
      <c r="O11" s="374" t="inlineStr">
        <is>
          <t>Screened / Excluded</t>
        </is>
      </c>
      <c r="P11" s="376" t="inlineStr">
        <is>
          <t>REF-010</t>
        </is>
      </c>
    </row>
    <row r="12" ht="34" customHeight="1" s="270">
      <c r="A12" s="368" t="inlineStr">
        <is>
          <t>David</t>
        </is>
      </c>
      <c r="B12" s="368" t="inlineStr">
        <is>
          <t>10.1109/TOH.2021.3138590</t>
        </is>
      </c>
      <c r="C12" s="369" t="inlineStr">
        <is>
          <t>In-Device Feedback in Immersive Head-Mounted Displays for Distance Perception During Teleoperation of Unmanned Ground Vehicles</t>
        </is>
      </c>
      <c r="D12" s="368" t="n">
        <v>2022</v>
      </c>
      <c r="E12" s="368" t="inlineStr">
        <is>
          <t>arXiv</t>
        </is>
      </c>
      <c r="F12" s="369" t="inlineStr">
        <is>
          <t>https://ieeexplore.ieee.org/document/9664257</t>
        </is>
      </c>
      <c r="G12" s="369" t="inlineStr">
        <is>
          <t>Tactile &amp; Sensory Substitution Hardware</t>
        </is>
      </c>
      <c r="H12" s="377" t="inlineStr">
        <is>
          <t>Excluded</t>
        </is>
      </c>
      <c r="I12" s="369" t="inlineStr">
        <is>
          <t>Different feild of study (The actual application is remote control of unmanned ground vehicles0</t>
        </is>
      </c>
      <c r="J12" s="369" t="inlineStr">
        <is>
          <t>Sensory substitution bottlenecks and spatial perception limitations in visual impairment assistance.</t>
        </is>
      </c>
      <c r="K12" s="369" t="inlineStr">
        <is>
          <t>A multi-modal assistive navigation framework translating real-time sensory data into intuitive non-visual guidance.</t>
        </is>
      </c>
      <c r="L12" s="371" t="inlineStr">
        <is>
          <t>Tactile &amp; Sensory Substitution Systems (TSSS)</t>
        </is>
      </c>
      <c r="M12" s="372" t="inlineStr">
        <is>
          <t>Tactile-Actuation, Depth-Sensing, Corridor-Navigation, Wearable-Embedded</t>
        </is>
      </c>
      <c r="N12" s="368" t="inlineStr">
        <is>
          <t>Original assignment for David (Row 12)</t>
        </is>
      </c>
      <c r="O12" s="368" t="inlineStr">
        <is>
          <t>Screened / Excluded</t>
        </is>
      </c>
      <c r="P12" s="373" t="inlineStr">
        <is>
          <t>REF-011</t>
        </is>
      </c>
    </row>
    <row r="13" ht="34" customHeight="1" s="270">
      <c r="A13" s="374" t="inlineStr">
        <is>
          <t>David</t>
        </is>
      </c>
      <c r="B13" s="374" t="inlineStr">
        <is>
          <t>10.48550/arXiv.2201.04453</t>
        </is>
      </c>
      <c r="C13" s="375" t="inlineStr">
        <is>
          <t>Obstacle Avoidance for Blind People Using a 3D Camera and a Haptic Feedback Sleeve</t>
        </is>
      </c>
      <c r="D13" s="374" t="n">
        <v>2022</v>
      </c>
      <c r="E13" s="374" t="inlineStr">
        <is>
          <t>arXiv / CoRR</t>
        </is>
      </c>
      <c r="F13" s="375" t="inlineStr">
        <is>
          <t>https://arxiv.org/abs/2201.04453</t>
        </is>
      </c>
      <c r="G13" s="375" t="inlineStr">
        <is>
          <t>Intel RealSense D415 3D Camera
3D Point Cloud
Depth Mapping
AAEON Up Board
5×5 Haptic Feedback Sleeve
Vibration Motor Array
Spatial Depth-to-Haptic Mapping
3D-Printed Glasses</t>
        </is>
      </c>
      <c r="H13" s="370" t="inlineStr">
        <is>
          <t>Included</t>
        </is>
      </c>
      <c r="I13" s="375" t="inlineStr">
        <is>
          <t>Meets inclusion criteria for assistive spatial navigation, tactile feedback, or obstacle detection.</t>
        </is>
      </c>
      <c r="J13" s="375" t="inlineStr">
        <is>
          <t>Limited obstacle detection range using conventional aids.
Difficulty providing multidimensional information about obstacles.
Some existing approaches depend on lighting conditions.</t>
        </is>
      </c>
      <c r="K13" s="375" t="inlineStr">
        <is>
          <t>Capture 3D depth information using the RealSense camera.
Convert the depth map into a 5×5 spatial representation.
Map each region to a corresponding vibration motor.
Use vibration intensity to communicate obstacle distance.</t>
        </is>
      </c>
      <c r="L13" s="371" t="inlineStr">
        <is>
          <t>Edge Computer Vision &amp; 3D Spatial Perception (CV-3D)</t>
        </is>
      </c>
      <c r="M13" s="372" t="inlineStr">
        <is>
          <t>Tactile-Actuation, Depth-Sensing, Corridor-Navigation, Human-Factors-Usability, Wearable-Embedded</t>
        </is>
      </c>
      <c r="N13" s="374" t="inlineStr">
        <is>
          <t>Original assignment for David (Row 13)</t>
        </is>
      </c>
      <c r="O13" s="374" t="inlineStr">
        <is>
          <t>Primary SLR Target</t>
        </is>
      </c>
      <c r="P13" s="376" t="inlineStr">
        <is>
          <t>REF-012</t>
        </is>
      </c>
    </row>
    <row r="14" ht="34" customHeight="1" s="270">
      <c r="A14" s="368" t="inlineStr">
        <is>
          <t>Salma</t>
        </is>
      </c>
      <c r="B14" s="368" t="inlineStr">
        <is>
          <t>10.1080/23311916.2025.2560974</t>
        </is>
      </c>
      <c r="C14" s="369" t="inlineStr">
        <is>
          <t>An assistive haptic-based obstacle avoidance
system for individuals with profound visual
impairment</t>
        </is>
      </c>
      <c r="D14" s="368" t="n">
        <v>2025</v>
      </c>
      <c r="E14" s="368" t="inlineStr">
        <is>
          <t>Taylor &amp; Francis</t>
        </is>
      </c>
      <c r="F14" s="369" t="inlineStr">
        <is>
          <t>https://www.tandfonline.com/doi/full/10.1080/23311916.2025.2560974</t>
        </is>
      </c>
      <c r="G14" s="369" t="inlineStr">
        <is>
          <t>X</t>
        </is>
      </c>
      <c r="H14" s="377" t="inlineStr">
        <is>
          <t>Excluded</t>
        </is>
      </c>
      <c r="I14" s="369" t="inlineStr">
        <is>
          <t xml:space="preserve">because paper published by taylor that not included in our scope </t>
        </is>
      </c>
      <c r="J14" s="369" t="inlineStr">
        <is>
          <t>X</t>
        </is>
      </c>
      <c r="K14" s="369" t="inlineStr">
        <is>
          <t>X</t>
        </is>
      </c>
      <c r="L14" s="371" t="inlineStr">
        <is>
          <t>Tactile &amp; Sensory Substitution Systems (TSSS)</t>
        </is>
      </c>
      <c r="M14" s="372" t="inlineStr">
        <is>
          <t>Tactile-Actuation, Corridor-Navigation</t>
        </is>
      </c>
      <c r="N14" s="368" t="inlineStr">
        <is>
          <t>Original assignment for Salma (Row 14)</t>
        </is>
      </c>
      <c r="O14" s="368" t="inlineStr">
        <is>
          <t>Screened / Excluded</t>
        </is>
      </c>
      <c r="P14" s="373" t="inlineStr">
        <is>
          <t>REF-013</t>
        </is>
      </c>
    </row>
    <row r="15" ht="34" customHeight="1" s="270">
      <c r="A15" s="374" t="inlineStr">
        <is>
          <t>Salma</t>
        </is>
      </c>
      <c r="B15" s="374" t="inlineStr">
        <is>
          <t>https://doi.org/10.1002/aisy.70450Digital Object Identifier (DOI)</t>
        </is>
      </c>
      <c r="C15" s="375" t="inlineStr">
        <is>
          <t>Enhanced Monocular Depth Estimation Using ResNet
Backbone and Multiscale Feature Decoding for Precise
Object Distance Measurement</t>
        </is>
      </c>
      <c r="D15" s="374" t="n">
        <v>2026</v>
      </c>
      <c r="E15" s="374" t="inlineStr">
        <is>
          <t>Wiley</t>
        </is>
      </c>
      <c r="F15" s="375" t="inlineStr">
        <is>
          <t>https://advanced.onlinelibrary.wiley.com/doi/10.1002/aisy.70450</t>
        </is>
      </c>
      <c r="G15" s="375" t="inlineStr">
        <is>
          <t>ResNet-18, YOLOv8, Deep Learning, CNN, Multiscale Feature Decoding, 16-bit Depth Maps</t>
        </is>
      </c>
      <c r="H15" s="370" t="inlineStr">
        <is>
          <t>Included</t>
        </is>
      </c>
      <c r="I15" s="375" t="inlineStr">
        <is>
          <t>Meets inclusion criteria for assistive spatial navigation, tactile feedback, or obstacle detection.</t>
        </is>
      </c>
      <c r="J15" s="375" t="inlineStr">
        <is>
          <t>Inaccurate long-range distance estimation from a single camera image; existing methods have limited range and high hardware costs.</t>
        </is>
      </c>
      <c r="K15" s="375" t="inlineStr">
        <is>
          <t>ResNet-18 encoder-decoder with multiscale supervision, integrated with YOLOv8 for object detection and distance estimation up to 250 m.</t>
        </is>
      </c>
      <c r="L15" s="371" t="inlineStr">
        <is>
          <t>Edge Computer Vision &amp; 3D Spatial Perception (CV-3D)</t>
        </is>
      </c>
      <c r="M15" s="372" t="inlineStr">
        <is>
          <t>Tactile-Actuation, Depth-Sensing, AI-Object-Detection, Corridor-Navigation, Human-Factors-Usability</t>
        </is>
      </c>
      <c r="N15" s="374" t="inlineStr">
        <is>
          <t>Original assignment for Salma (Row 15)</t>
        </is>
      </c>
      <c r="O15" s="374" t="inlineStr">
        <is>
          <t>Primary SLR Target</t>
        </is>
      </c>
      <c r="P15" s="376" t="inlineStr">
        <is>
          <t>REF-014</t>
        </is>
      </c>
    </row>
    <row r="16" ht="34" customHeight="1" s="270">
      <c r="A16" s="368" t="inlineStr">
        <is>
          <t>Salma</t>
        </is>
      </c>
      <c r="B16" s="368" t="inlineStr">
        <is>
          <t>https://doi.org/10.1145/3663547.374633</t>
        </is>
      </c>
      <c r="C16" s="369" t="inlineStr">
        <is>
          <t>Tactile Data Comics: Combining Step-by-step Presentation of
Tactile Graphics with Verbal Narration for the Blind and Visually
Impaired</t>
        </is>
      </c>
      <c r="D16" s="368" t="n">
        <v>2025</v>
      </c>
      <c r="E16" s="368" t="inlineStr">
        <is>
          <t>ACM</t>
        </is>
      </c>
      <c r="F16" s="369" t="inlineStr">
        <is>
          <t>https://dl.acm.org/doi/10.1145/3663547.3746338</t>
        </is>
      </c>
      <c r="G16" s="369" t="inlineStr">
        <is>
          <t>In-house refreshable tactile display (solenoid-driven flip-latch mechanical actuators)</t>
        </is>
      </c>
      <c r="H16" s="377" t="inlineStr">
        <is>
          <t>Excluded</t>
        </is>
      </c>
      <c r="I16" s="369" t="inlineStr">
        <is>
          <t>because paper published by taylor that not included in our scope</t>
        </is>
      </c>
      <c r="J16" s="369" t="inlineStr">
        <is>
          <t>Participants only college students (generalisability to other ages uncertain); limited range of subjects and content; findings not tested in other domains beyond education.</t>
        </is>
      </c>
      <c r="K16" s="369" t="inlineStr">
        <is>
          <t>Within-subjects study, 16 blind college students, 12 educational materials in four subjects; conditions verbal-only, verbal + static tactile graphic, tactile data comics; quiz accuracy (GLMM), UEQ-S, hand-movement visualisation, semi-structured interviews.</t>
        </is>
      </c>
      <c r="L16" s="371" t="inlineStr">
        <is>
          <t>Tactile &amp; Sensory Substitution Systems (TSSS)</t>
        </is>
      </c>
      <c r="M16" s="372" t="inlineStr">
        <is>
          <t>Tactile-Actuation, Depth-Sensing, Human-Factors-Usability</t>
        </is>
      </c>
      <c r="N16" s="368" t="inlineStr">
        <is>
          <t>Original assignment for Salma (Row 16)</t>
        </is>
      </c>
      <c r="O16" s="368" t="inlineStr">
        <is>
          <t>Screened / Excluded</t>
        </is>
      </c>
      <c r="P16" s="373" t="inlineStr">
        <is>
          <t>REF-015</t>
        </is>
      </c>
    </row>
    <row r="17" ht="34" customHeight="1" s="270">
      <c r="A17" s="374" t="inlineStr">
        <is>
          <t>Salma</t>
        </is>
      </c>
      <c r="B17" s="374" t="inlineStr">
        <is>
          <t>N/A</t>
        </is>
      </c>
      <c r="C17" s="375" t="inlineStr">
        <is>
          <t>Sight Guide: A Wearable Assistive Perception and Navigation
System for the Vision Assistance Race in the Cybathlon 2024</t>
        </is>
      </c>
      <c r="D17" s="374" t="n">
        <v>2025</v>
      </c>
      <c r="E17" s="374" t="inlineStr">
        <is>
          <t>Arixiv</t>
        </is>
      </c>
      <c r="F17" s="375" t="inlineStr">
        <is>
          <t>N/A</t>
        </is>
      </c>
      <c r="G17" s="375" t="inlineStr">
        <is>
          <t>NVIDIA Jetson Orin NX 16GB in backpack (ROS, Ubuntu 20.04)</t>
        </is>
      </c>
      <c r="H17" s="377" t="inlineStr">
        <is>
          <t>Excluded</t>
        </is>
      </c>
      <c r="I17" s="375" t="inlineStr">
        <is>
          <t>because paper published by taylor that not included in our scope</t>
        </is>
      </c>
      <c r="J17" s="375" t="inlineStr">
        <is>
          <t>Prototype mechanics hard to don without help; tasks tailored to Cybathlon; depth sensing fails on black/thin/featureless objects; learned perception degrades with blur/low light; audio poor for 3D guidance; task-switch delays.</t>
        </is>
      </c>
      <c r="K17" s="375" t="inlineStr">
        <is>
          <t>Chest-mounted stereo (ZEDx Mini) and ToF depth (Orbbec Femto Bolt) fused; SVO PRO VIO, Wavemap mapping, RANSAC ground/boundary fitting, A* planning on inflated 2D cost map; YOLO and OCR for scene tasks; 10 randomized training runs plus competition.</t>
        </is>
      </c>
      <c r="L17" s="371" t="inlineStr">
        <is>
          <t>Edge Computer Vision &amp; 3D Spatial Perception (CV-3D)</t>
        </is>
      </c>
      <c r="M17" s="372" t="inlineStr">
        <is>
          <t>Tactile-Actuation, Depth-Sensing, AI-Object-Detection, Corridor-Navigation, Wearable-Embedded</t>
        </is>
      </c>
      <c r="N17" s="374" t="inlineStr">
        <is>
          <t>Original assignment for Salma (Row 17)</t>
        </is>
      </c>
      <c r="O17" s="374" t="inlineStr">
        <is>
          <t>Screened / Excluded</t>
        </is>
      </c>
      <c r="P17" s="376" t="inlineStr">
        <is>
          <t>REF-016</t>
        </is>
      </c>
    </row>
    <row r="18" ht="34" customHeight="1" s="270">
      <c r="A18" s="368" t="inlineStr">
        <is>
          <t>Salma</t>
        </is>
      </c>
      <c r="B18" s="368" t="inlineStr">
        <is>
          <t>10.1109/ICRA40945.2020.9196782</t>
        </is>
      </c>
      <c r="C18" s="369" t="inlineStr">
        <is>
          <t>A Visual Positioning System for Indoor Blind Navigation</t>
        </is>
      </c>
      <c r="D18" s="368" t="n">
        <v>2020</v>
      </c>
      <c r="E18" s="368" t="inlineStr">
        <is>
          <t>IEEE</t>
        </is>
      </c>
      <c r="F18" s="369" t="inlineStr">
        <is>
          <t>https://www.researchgate.net/publication/339725908_A_Visual_Positioning_System_for_Indoor_Blind_Navigation</t>
        </is>
      </c>
      <c r="G18" s="369" t="inlineStr">
        <is>
          <t>RGB-D Camera, IMU, Visual-Inertial Odometry (DVIO), Particle Filter Localization (PFL), ROS, SLAM</t>
        </is>
      </c>
      <c r="H18" s="370" t="inlineStr">
        <is>
          <t>Included</t>
        </is>
      </c>
      <c r="I18" s="369" t="inlineStr">
        <is>
          <t>Meets inclusion criteria for assistive spatial navigation, tactile feedback, or obstacle detection.</t>
        </is>
      </c>
      <c r="J18" s="369" t="inlineStr">
        <is>
          <t>Existing indoor navigation systems struggle in textureless environments and often require powerful external computers.</t>
        </is>
      </c>
      <c r="K18" s="369" t="inlineStr">
        <is>
          <t>Combines depth-enhanced visual-inertial odometry with particle-filter localization for indoor positioning, path planning, and obstacle avoidance.</t>
        </is>
      </c>
      <c r="L18" s="371" t="inlineStr">
        <is>
          <t>Ground Segmentation &amp; Safe Path Navigation (GS-PN)</t>
        </is>
      </c>
      <c r="M18" s="372" t="inlineStr">
        <is>
          <t>Tactile-Actuation, Depth-Sensing, Corridor-Navigation, Human-Factors-Usability</t>
        </is>
      </c>
      <c r="N18" s="368" t="inlineStr">
        <is>
          <t>Original assignment for Salma (Row 18)</t>
        </is>
      </c>
      <c r="O18" s="368" t="inlineStr">
        <is>
          <t>Primary SLR Target</t>
        </is>
      </c>
      <c r="P18" s="373" t="inlineStr">
        <is>
          <t>REF-017</t>
        </is>
      </c>
    </row>
    <row r="19" ht="34" customHeight="1" s="270">
      <c r="A19" s="374" t="inlineStr">
        <is>
          <t>Salma</t>
        </is>
      </c>
      <c r="B19" s="374" t="inlineStr">
        <is>
          <t>10.1109/ACCESS.2023.3244073</t>
        </is>
      </c>
      <c r="C19" s="375" t="inlineStr">
        <is>
          <t>A Survey on Outdoor Navigation Applications for
People With Visual Impairments</t>
        </is>
      </c>
      <c r="D19" s="374" t="n">
        <v>2023</v>
      </c>
      <c r="E19" s="374" t="inlineStr">
        <is>
          <t>IEEE</t>
        </is>
      </c>
      <c r="F19" s="375" t="inlineStr">
        <is>
          <t>https://ieeexplore.ieee.org/document/10041898</t>
        </is>
      </c>
      <c r="G19" s="375" t="inlineStr">
        <is>
          <t>Deep Learning
Computer Vision
GPS Localization
Sensory Substitution Devices
Geographic Information Systems</t>
        </is>
      </c>
      <c r="H19" s="370" t="inlineStr">
        <is>
          <t>Included</t>
        </is>
      </c>
      <c r="I19" s="375" t="inlineStr">
        <is>
          <t>User-centred questionnaire of 49 PVI on outdoor navigation needs, obstacles and injuries, plus literature review and proposed solution; informs requirements for VI navigation aids.</t>
        </is>
      </c>
      <c r="J19" s="375" t="inlineStr">
        <is>
          <t>Existing navigation apps lack critical accessibility and hazard information, causing frequent injuries and low independence for visually impaired pedestrians.</t>
        </is>
      </c>
      <c r="K19" s="375" t="inlineStr">
        <is>
          <t>A four-phase assistive navigation framework that plans and guides routes based on safety, controlled intersections, and obstacle avoidance instead of distance.</t>
        </is>
      </c>
      <c r="L19" s="371" t="inlineStr">
        <is>
          <t>Ground Segmentation &amp; Safe Path Navigation (GS-PN)</t>
        </is>
      </c>
      <c r="M19" s="372" t="inlineStr">
        <is>
          <t>Tactile-Actuation, Depth-Sensing, AI-Object-Detection, Corridor-Navigation, Human-Factors-Usability</t>
        </is>
      </c>
      <c r="N19" s="374" t="inlineStr">
        <is>
          <t>Original assignment for Salma (Row 19)</t>
        </is>
      </c>
      <c r="O19" s="374" t="inlineStr">
        <is>
          <t>Primary SLR Target</t>
        </is>
      </c>
      <c r="P19" s="376" t="inlineStr">
        <is>
          <t>REF-018</t>
        </is>
      </c>
    </row>
    <row r="20" ht="34" customHeight="1" s="270">
      <c r="A20" s="368" t="inlineStr">
        <is>
          <t>Salma</t>
        </is>
      </c>
      <c r="B20" s="368" t="inlineStr">
        <is>
          <t>https://doi.org/10.1016/j.eswa.2023.121065</t>
        </is>
      </c>
      <c r="C20" s="369" t="inlineStr">
        <is>
          <t>A data fusion framework based on heterogeneous information network
embedding for trigger-action programming in IoT</t>
        </is>
      </c>
      <c r="D20" s="368" t="n">
        <v>2023</v>
      </c>
      <c r="E20" s="368" t="inlineStr">
        <is>
          <t>Elsevier</t>
        </is>
      </c>
      <c r="F20" s="369" t="inlineStr">
        <is>
          <t>https://www.sciencedirect.com/science/article/abs/pii/S0957417423015671?via%3Dihub</t>
        </is>
      </c>
      <c r="G20" s="369" t="inlineStr">
        <is>
          <t>Heterogeneous Information Networks
Graph Representation Learning
Metagraph-Guided Random Walk
Natural Language Processing
Multi-Label Classification</t>
        </is>
      </c>
      <c r="H20" s="370" t="inlineStr">
        <is>
          <t>Included</t>
        </is>
      </c>
      <c r="I20" s="369" t="inlineStr">
        <is>
          <t>IoT trigger-action recipe recommendation via graph embedding; no link to visual impairment, haptics, sensory substitution or navigation perception.</t>
        </is>
      </c>
      <c r="J20" s="369" t="inlineStr">
        <is>
          <t>Manual creation of IoT trigger-action rules is impractical due to exponential device combinations, and existing methods fail to bridge semantics between user descriptions and device interactions.</t>
        </is>
      </c>
      <c r="K20" s="369" t="inlineStr">
        <is>
          <t>A data fusion framework named TAPFuser that maps natural language demands to IoT recipes using heterogeneous network embedding and metagraph-guided random walks.</t>
        </is>
      </c>
      <c r="L20" s="371" t="inlineStr">
        <is>
          <t>Tactile &amp; Sensory Substitution Systems (TSSS)</t>
        </is>
      </c>
      <c r="M20" s="372" t="inlineStr">
        <is>
          <t>Tactile-Actuation, Corridor-Navigation, Human-Factors-Usability</t>
        </is>
      </c>
      <c r="N20" s="368" t="inlineStr">
        <is>
          <t>Original assignment for Salma (Row 20)</t>
        </is>
      </c>
      <c r="O20" s="368" t="inlineStr">
        <is>
          <t>Primary SLR Target</t>
        </is>
      </c>
      <c r="P20" s="373" t="inlineStr">
        <is>
          <t>REF-019</t>
        </is>
      </c>
    </row>
    <row r="21" ht="34" customHeight="1" s="270">
      <c r="A21" s="374" t="inlineStr">
        <is>
          <t>Salma</t>
        </is>
      </c>
      <c r="B21" s="374" t="inlineStr">
        <is>
          <t>https://doi.org/10.48550/arXiv.2511.10026</t>
        </is>
      </c>
      <c r="C21" s="375" t="inlineStr">
        <is>
          <t>Grating haptic perception through touchscreen: Sighted vs. Visually
Impaired</t>
        </is>
      </c>
      <c r="D21" s="374" t="n">
        <v>2026</v>
      </c>
      <c r="E21" s="374" t="inlineStr">
        <is>
          <t>arXiv</t>
        </is>
      </c>
      <c r="F21" s="375" t="inlineStr">
        <is>
          <t>https://arxiv.org/abs/2511.10026v3</t>
        </is>
      </c>
      <c r="G21" s="375" t="inlineStr">
        <is>
          <t>X</t>
        </is>
      </c>
      <c r="H21" s="377" t="inlineStr">
        <is>
          <t>Excluded</t>
        </is>
      </c>
      <c r="I21" s="375" t="inlineStr">
        <is>
          <t xml:space="preserve">because paper published by arix that not included in our scope </t>
        </is>
      </c>
      <c r="J21" s="375" t="inlineStr">
        <is>
          <t>X</t>
        </is>
      </c>
      <c r="K21" s="375" t="inlineStr">
        <is>
          <t>X</t>
        </is>
      </c>
      <c r="L21" s="371" t="inlineStr">
        <is>
          <t>Tactile &amp; Sensory Substitution Systems (TSSS)</t>
        </is>
      </c>
      <c r="M21" s="372" t="inlineStr">
        <is>
          <t>Tactile-Actuation</t>
        </is>
      </c>
      <c r="N21" s="374" t="inlineStr">
        <is>
          <t>Original assignment for Salma (Row 21)</t>
        </is>
      </c>
      <c r="O21" s="374" t="inlineStr">
        <is>
          <t>Screened / Excluded</t>
        </is>
      </c>
      <c r="P21" s="376" t="inlineStr">
        <is>
          <t>REF-020</t>
        </is>
      </c>
    </row>
    <row r="22" ht="34" customHeight="1" s="270">
      <c r="A22" s="368" t="inlineStr">
        <is>
          <t>Salma</t>
        </is>
      </c>
      <c r="B22" s="368" t="inlineStr">
        <is>
          <t>https://doi.org/10.1007/s42486-023-00136-7</t>
        </is>
      </c>
      <c r="C22" s="369" t="inlineStr">
        <is>
          <t>A smart obstacle avoiding technology based on depth camera
for blind and visually impaired people  (Regular Paper)</t>
        </is>
      </c>
      <c r="D22" s="368" t="n">
        <v>2023</v>
      </c>
      <c r="E22" s="368" t="inlineStr">
        <is>
          <t>Springer</t>
        </is>
      </c>
      <c r="F22" s="369" t="inlineStr">
        <is>
          <t>https://link.springer.com/article/10.1007/s42486-023-00136-7</t>
        </is>
      </c>
      <c r="G22" s="369" t="inlineStr">
        <is>
          <t>Point Cloud Processing
Depthwise Separable Convolution
3D Object Detection
Attention Mechanism
Edge Computing</t>
        </is>
      </c>
      <c r="H22" s="370" t="inlineStr">
        <is>
          <t>Included</t>
        </is>
      </c>
      <c r="I22" s="369" t="inlineStr">
        <is>
          <t>Wearable RGB-D obstacle detection travel aid for BVI people on an edge device; feedback is audio rather than tactile.</t>
        </is>
      </c>
      <c r="J22" s="369" t="inlineStr">
        <is>
          <t>Existing 3D obstacle detection models are too computationally heavy and power-intensive for real-time execution on low-cost wearable edge devices for visually impaired pedestrians.</t>
        </is>
      </c>
      <c r="K22" s="369" t="inlineStr">
        <is>
          <t>A lightweight 3D obstacle detection network called L-PointPillars deployed on a wearable edge device to provide real-time audio warnings with significantly reduced parameters.</t>
        </is>
      </c>
      <c r="L22" s="371" t="inlineStr">
        <is>
          <t>Edge Computer Vision &amp; 3D Spatial Perception (CV-3D)</t>
        </is>
      </c>
      <c r="M22" s="372" t="inlineStr">
        <is>
          <t>Tactile-Actuation, Depth-Sensing, AI-Object-Detection, Corridor-Navigation, Human-Factors-Usability, Wearable-Embedded</t>
        </is>
      </c>
      <c r="N22" s="368" t="inlineStr">
        <is>
          <t>Original assignment for Salma (Row 22)</t>
        </is>
      </c>
      <c r="O22" s="368" t="inlineStr">
        <is>
          <t>Primary SLR Target</t>
        </is>
      </c>
      <c r="P22" s="373" t="inlineStr">
        <is>
          <t>REF-021</t>
        </is>
      </c>
    </row>
    <row r="23" ht="34" customHeight="1" s="270">
      <c r="A23" s="374" t="inlineStr">
        <is>
          <t>Salma</t>
        </is>
      </c>
      <c r="B23" s="374" t="inlineStr">
        <is>
          <t>10.1177/20552076251408522</t>
        </is>
      </c>
      <c r="C23" s="375" t="inlineStr">
        <is>
          <t>Sensory-driven micro-interventions for improved health and wellbeing(Commentary)</t>
        </is>
      </c>
      <c r="D23" s="374" t="n">
        <v>2025</v>
      </c>
      <c r="E23" s="374" t="inlineStr">
        <is>
          <t>Sage</t>
        </is>
      </c>
      <c r="F23" s="375" t="inlineStr">
        <is>
          <t>https://journals.sagepub.com/doi/10.1177/20552076251408522</t>
        </is>
      </c>
      <c r="G23" s="375" t="inlineStr">
        <is>
          <t>Wearable Sensors
Internet of Things
Machine Learning
Sensory Substitution Systems
Digital Olfactory Interfaces</t>
        </is>
      </c>
      <c r="H23" s="370" t="inlineStr">
        <is>
          <t>Included</t>
        </is>
      </c>
      <c r="I23" s="375" t="inlineStr">
        <is>
          <t>Commentary on technology-delivered sensory training/substitution for preventive healthcare (mainly smell, ageing, Parkinson's); VI navigation and tactile substitution only mentioned in passing.</t>
        </is>
      </c>
      <c r="J23" s="375" t="inlineStr">
        <is>
          <t>Age- and disease-related sensory decline often goes undetected until late stages, lacking proactive and personalized interventions in daily life.</t>
        </is>
      </c>
      <c r="K23" s="375" t="inlineStr">
        <is>
          <t>A digital healthcare paradigm of sensory-driven micro-interventions that tracks sensory changes through daily technology interactions and delivers timely, personalized sensory stimulation.</t>
        </is>
      </c>
      <c r="L23" s="371" t="inlineStr">
        <is>
          <t>Tactile &amp; Sensory Substitution Systems (TSSS)</t>
        </is>
      </c>
      <c r="M23" s="372" t="inlineStr">
        <is>
          <t>Tactile-Actuation, AI-Object-Detection, Corridor-Navigation, Human-Factors-Usability, Wearable-Embedded</t>
        </is>
      </c>
      <c r="N23" s="374" t="inlineStr">
        <is>
          <t>Original assignment for Salma (Row 23)</t>
        </is>
      </c>
      <c r="O23" s="374" t="inlineStr">
        <is>
          <t>Primary SLR Target</t>
        </is>
      </c>
      <c r="P23" s="376" t="inlineStr">
        <is>
          <t>REF-022</t>
        </is>
      </c>
    </row>
    <row r="24" ht="34" customHeight="1" s="270">
      <c r="A24" s="368" t="inlineStr">
        <is>
          <t>Salma</t>
        </is>
      </c>
      <c r="B24" s="368" t="inlineStr">
        <is>
          <t>https://doi.org/10.1038/s41928-023-01074-z</t>
        </is>
      </c>
      <c r="C24" s="369" t="inlineStr">
        <is>
          <t>A skin-integrated multimodal haptic
interface for immersive tactile feedback</t>
        </is>
      </c>
      <c r="D24" s="368" t="n">
        <v>2023</v>
      </c>
      <c r="E24" s="368" t="inlineStr">
        <is>
          <t>Nature</t>
        </is>
      </c>
      <c r="F24" s="369" t="inlineStr">
        <is>
          <t>https://www.nature.com/articles/s41928-023-01074-z</t>
        </is>
      </c>
      <c r="G24" s="369" t="inlineStr">
        <is>
          <t>Multimodal Haptic Feedback, Mechanical Actuators, Electrotactile Stimulation, Thermoelectric Actuators, BLE, VR</t>
        </is>
      </c>
      <c r="H24" s="370" t="inlineStr">
        <is>
          <t>Included</t>
        </is>
      </c>
      <c r="I24" s="369" t="inlineStr">
        <is>
          <t>Wearable skin-integrated tactile actuator arrays (mechanical, electrotactile, thermal) for VR; relevant to the tactile display layer, though not designed or tested for VI navigation.</t>
        </is>
      </c>
      <c r="J24" s="369" t="inlineStr">
        <is>
          <t>Wearable haptic devices provide limited feedback, mainly simple vibration and single tactile sensations.</t>
        </is>
      </c>
      <c r="K24" s="369" t="inlineStr">
        <is>
          <t>Skin-integrated multimodal interface combining thermal, mechanical and electrotactile feedback to reproduce diverse tactile sensations.</t>
        </is>
      </c>
      <c r="L24" s="371" t="inlineStr">
        <is>
          <t>Tactile &amp; Sensory Substitution Systems (TSSS)</t>
        </is>
      </c>
      <c r="M24" s="372" t="inlineStr">
        <is>
          <t>Tactile-Actuation, Corridor-Navigation, Wearable-Embedded</t>
        </is>
      </c>
      <c r="N24" s="368" t="inlineStr">
        <is>
          <t>Original assignment for Salma (Row 24)</t>
        </is>
      </c>
      <c r="O24" s="368" t="inlineStr">
        <is>
          <t>Primary SLR Target</t>
        </is>
      </c>
      <c r="P24" s="373" t="inlineStr">
        <is>
          <t>REF-023</t>
        </is>
      </c>
    </row>
    <row r="25" ht="34" customHeight="1" s="270">
      <c r="A25" s="374" t="inlineStr">
        <is>
          <t>Salma</t>
        </is>
      </c>
      <c r="B25" s="374" t="inlineStr">
        <is>
          <t>https://doi.org/10.1145/3517428.3544797</t>
        </is>
      </c>
      <c r="C25" s="375" t="inlineStr">
        <is>
          <t>Animations at Your Fingertips: Using a Refreshable Tactile
Display to Convey Motion Graphics for People who are Blind or
have Low Vision</t>
        </is>
      </c>
      <c r="D25" s="374" t="n">
        <v>2022</v>
      </c>
      <c r="E25" s="374" t="inlineStr">
        <is>
          <t>ACM</t>
        </is>
      </c>
      <c r="F25" s="375" t="inlineStr">
        <is>
          <t>https://dl.acm.org/doi/10.1145/3517428.354479</t>
        </is>
      </c>
      <c r="G25" s="375" t="inlineStr">
        <is>
          <t>Graphiti refreshable tactile display (Orbit Research)</t>
        </is>
      </c>
      <c r="H25" s="377" t="inlineStr">
        <is>
          <t>Excluded</t>
        </is>
      </c>
      <c r="I25" s="375" t="inlineStr">
        <is>
          <t>Evaluates a 2D refreshable pin-array display with multi-level pin heights for conveying dynamic graphics to BLV users; directly relevant to pin/shape tactile display design, though not navigation.</t>
        </is>
      </c>
      <c r="J25" s="375" t="inlineStr">
        <is>
          <t>Participants did not operate the RTD themselves; descriptions given verbally; slow top-to-bottom refresh (up to 5 s/page); low resolution and wide pin spacing; real-world independent use untested.</t>
        </is>
      </c>
      <c r="K25" s="375" t="inlineStr">
        <is>
          <t>Online survey (19 touch readers, 7 experts); co-design of animations with a blind researcher; counterbalanced user study with 12 BLV adults comparing four animations on Graphiti RTD vs swell-paper tactile graphics; preferences, frame rate, SUS, qualitative analysis.</t>
        </is>
      </c>
      <c r="L25" s="371" t="inlineStr">
        <is>
          <t>Tactile &amp; Sensory Substitution Systems (TSSS)</t>
        </is>
      </c>
      <c r="M25" s="372" t="inlineStr">
        <is>
          <t>Tactile-Actuation, Corridor-Navigation, Human-Factors-Usability</t>
        </is>
      </c>
      <c r="N25" s="374" t="inlineStr">
        <is>
          <t>Original assignment for Salma (Row 25)</t>
        </is>
      </c>
      <c r="O25" s="374" t="inlineStr">
        <is>
          <t>Screened / Excluded</t>
        </is>
      </c>
      <c r="P25" s="376" t="inlineStr">
        <is>
          <t>REF-024</t>
        </is>
      </c>
    </row>
    <row r="26" ht="34" customHeight="1" s="270">
      <c r="A26" s="368" t="inlineStr">
        <is>
          <t>Taha</t>
        </is>
      </c>
      <c r="B26" s="368" t="inlineStr">
        <is>
          <t>10.3233/APC210058</t>
        </is>
      </c>
      <c r="C26" s="369" t="inlineStr">
        <is>
          <t>A Robotic Assisted System Using Deep Learning for Navigation and Reading IoT Based Home Automation for Visually Impaired</t>
        </is>
      </c>
      <c r="D26" s="368" t="n">
        <v>2021</v>
      </c>
      <c r="E26" s="368" t="inlineStr">
        <is>
          <t>IOS Press</t>
        </is>
      </c>
      <c r="F26" s="369" t="inlineStr">
        <is>
          <t>https://ebooks.iospress.nl/doi/10.3233/APC210058</t>
        </is>
      </c>
      <c r="G26" s="369" t="inlineStr">
        <is>
          <t>X</t>
        </is>
      </c>
      <c r="H26" s="377" t="inlineStr">
        <is>
          <t>Excluded</t>
        </is>
      </c>
      <c r="I26" s="369" t="inlineStr">
        <is>
          <t xml:space="preserve">because paper published by IOS press that not included in our scope </t>
        </is>
      </c>
      <c r="J26" s="369" t="inlineStr">
        <is>
          <t>X</t>
        </is>
      </c>
      <c r="K26" s="369" t="inlineStr">
        <is>
          <t>X</t>
        </is>
      </c>
      <c r="L26" s="371" t="inlineStr">
        <is>
          <t>Cognitive Ergonomics &amp; Blind Usability (CE-BU)</t>
        </is>
      </c>
      <c r="M26" s="372" t="inlineStr">
        <is>
          <t>AI-Object-Detection, Corridor-Navigation, Human-Factors-Usability</t>
        </is>
      </c>
      <c r="N26" s="368" t="inlineStr">
        <is>
          <t>Original assignment for Taha (Row 26)</t>
        </is>
      </c>
      <c r="O26" s="368" t="inlineStr">
        <is>
          <t>Screened / Excluded</t>
        </is>
      </c>
      <c r="P26" s="373" t="inlineStr">
        <is>
          <t>REF-025</t>
        </is>
      </c>
    </row>
    <row r="27" ht="34" customHeight="1" s="270">
      <c r="A27" s="374" t="inlineStr">
        <is>
          <t>Taha</t>
        </is>
      </c>
      <c r="B27" s="374" t="inlineStr">
        <is>
          <t>10.1196/annals.1305.006</t>
        </is>
      </c>
      <c r="C27" s="375" t="inlineStr">
        <is>
          <t>Tactile Sensory Substitution Studies</t>
        </is>
      </c>
      <c r="D27" s="374" t="n">
        <v>2004</v>
      </c>
      <c r="E27" s="374" t="inlineStr">
        <is>
          <t>Wiley</t>
        </is>
      </c>
      <c r="F27" s="375" t="inlineStr">
        <is>
          <t xml:space="preserve">https://nyaspubs.onlinelibrary.wiley.com/doi/epdf/10.1196/annals.1305.006
</t>
        </is>
      </c>
      <c r="G27" s="375" t="inlineStr">
        <is>
          <t>camera - Sensory Substitution - Tongue Electrotactile Interface - Vibrotactile Stimulation</t>
        </is>
      </c>
      <c r="H27" s="370" t="inlineStr">
        <is>
          <t>Included</t>
        </is>
      </c>
      <c r="I27" s="375" t="inlineStr">
        <is>
          <t>The paper is included because it helps blind users by explaining sensory 
substitution by info from camera converted into tactile information that brain can learn to understand</t>
        </is>
      </c>
      <c r="J27" s="375" t="inlineStr">
        <is>
          <t>problem is to how to provide a visiual info to blind peoples by using tactile stimulation the chalenge is to create an effective brain -machine interface(BMI)</t>
        </is>
      </c>
      <c r="K27" s="375"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L27" s="371" t="inlineStr">
        <is>
          <t>Tactile &amp; Sensory Substitution Systems (TSSS)</t>
        </is>
      </c>
      <c r="M27" s="372" t="inlineStr">
        <is>
          <t>Tactile-Actuation, Human-Factors-Usability</t>
        </is>
      </c>
      <c r="N27" s="374" t="inlineStr">
        <is>
          <t>Original assignment for Taha (Row 27)</t>
        </is>
      </c>
      <c r="O27" s="374" t="inlineStr">
        <is>
          <t>Primary SLR Target</t>
        </is>
      </c>
      <c r="P27" s="376" t="inlineStr">
        <is>
          <t>REF-026</t>
        </is>
      </c>
    </row>
    <row r="28" ht="34" customHeight="1" s="270">
      <c r="A28" s="368" t="inlineStr">
        <is>
          <t>Taha</t>
        </is>
      </c>
      <c r="B28" s="368" t="inlineStr">
        <is>
          <t>10.1016/j.asej.2023.102387</t>
        </is>
      </c>
      <c r="C28" s="369" t="inlineStr">
        <is>
          <t>An effective obstacle detection system using deep learning advantages to aid blind and visually impaired navigation</t>
        </is>
      </c>
      <c r="D28" s="368" t="n">
        <v>2024</v>
      </c>
      <c r="E28" s="368" t="inlineStr">
        <is>
          <t>Elsevier</t>
        </is>
      </c>
      <c r="F28" s="369" t="inlineStr">
        <is>
          <t>https://www.sciencedirect.com/science/article/pii/S2090447923002769?via%3Dihub</t>
        </is>
      </c>
      <c r="G28" s="369" t="inlineStr">
        <is>
          <t>Deep Learning
Modified YOLOv5
Computer Vision
Obstacle/Object Detection
Indoor &amp; Outdoor Environment
Model optimization for deployment on embedded devices</t>
        </is>
      </c>
      <c r="H28" s="370" t="inlineStr">
        <is>
          <t>Included</t>
        </is>
      </c>
      <c r="I28" s="369" t="inlineStr">
        <is>
          <t>Paper focus on obstacle detection for blind using YOLOv5 model it cover indoor andoutdoor objects and uses optimization method to make model lightweight</t>
        </is>
      </c>
      <c r="J28" s="369" t="inlineStr">
        <is>
          <t>Blind and visually impaired people have difficulty detecting obstacles and navigating safely in their surroundings.</t>
        </is>
      </c>
      <c r="K28" s="369" t="inlineStr">
        <is>
          <t>The paper proposes a modified YOLOv5-based obstacle 
detection system to detect objects/obstacles and provide information
 that can assist blind and visually impaired users during navigation</t>
        </is>
      </c>
      <c r="L28" s="371" t="inlineStr">
        <is>
          <t>Edge Computer Vision &amp; 3D Spatial Perception (CV-3D)</t>
        </is>
      </c>
      <c r="M28" s="372" t="inlineStr">
        <is>
          <t>AI-Object-Detection, Corridor-Navigation, Human-Factors-Usability, Wearable-Embedded</t>
        </is>
      </c>
      <c r="N28" s="368" t="inlineStr">
        <is>
          <t>Original assignment for Taha (Row 28)</t>
        </is>
      </c>
      <c r="O28" s="368" t="inlineStr">
        <is>
          <t>Primary SLR Target</t>
        </is>
      </c>
      <c r="P28" s="373" t="inlineStr">
        <is>
          <t>REF-027</t>
        </is>
      </c>
    </row>
    <row r="29" ht="34" customHeight="1" s="270">
      <c r="A29" s="374" t="inlineStr">
        <is>
          <t>Taha</t>
        </is>
      </c>
      <c r="B29" s="374" t="inlineStr">
        <is>
          <t>10.1109/JAS.2021.1004084</t>
        </is>
      </c>
      <c r="C29" s="375" t="inlineStr">
        <is>
          <t>An RGB-D Camera Based Visual Positioning System for Assistive Navigation by a Robotic Navigation Aid</t>
        </is>
      </c>
      <c r="D29" s="374" t="n">
        <v>2021</v>
      </c>
      <c r="E29" s="374" t="inlineStr">
        <is>
          <t>IEEE</t>
        </is>
      </c>
      <c r="F29" s="375" t="inlineStr">
        <is>
          <t>https://www.ieee-jas.net/article/doi/10.1109/JAS.2021.1004084?pageType=en</t>
        </is>
      </c>
      <c r="G29" s="375" t="inlineStr">
        <is>
          <t>RGB-D Camera
IMU
Visual-Inertial Odometry (VIO)
6-DOF Pose Estimation
Particle Filter Localization
Indoor CAD/Floor Plans
Path Planning &amp; Obstacle Avoidance
Real-time processing</t>
        </is>
      </c>
      <c r="H29" s="370" t="inlineStr">
        <is>
          <t>Included</t>
        </is>
      </c>
      <c r="I29" s="375" t="inlineStr">
        <is>
          <t xml:space="preserve">Because it focuses on assistiv navigation for impaired users and combine computer vision with RGB and  real time navigation </t>
        </is>
      </c>
      <c r="J29" s="375" t="inlineStr">
        <is>
          <t>blind people need reliable navigation assistance in large indoor environments
Existing mobility tools such as white canes and guide dogs do not provide electronic localization/navigation information</t>
        </is>
      </c>
      <c r="K29" s="375"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L29" s="371" t="inlineStr">
        <is>
          <t>Ground Segmentation &amp; Safe Path Navigation (GS-PN)</t>
        </is>
      </c>
      <c r="M29" s="372" t="inlineStr">
        <is>
          <t>Depth-Sensing, AI-Object-Detection, Corridor-Navigation, Human-Factors-Usability</t>
        </is>
      </c>
      <c r="N29" s="374" t="inlineStr">
        <is>
          <t>Original assignment for Taha (Row 29)</t>
        </is>
      </c>
      <c r="O29" s="374" t="inlineStr">
        <is>
          <t>Primary SLR Target</t>
        </is>
      </c>
      <c r="P29" s="376" t="inlineStr">
        <is>
          <t>REF-028</t>
        </is>
      </c>
    </row>
    <row r="30" ht="34" customHeight="1" s="270">
      <c r="A30" s="378" t="inlineStr">
        <is>
          <t>Taha</t>
        </is>
      </c>
      <c r="B30" s="378" t="inlineStr">
        <is>
          <t>N/A</t>
        </is>
      </c>
      <c r="C30" s="379" t="inlineStr">
        <is>
          <t>[Reserved Template Slot / Excluded]</t>
        </is>
      </c>
      <c r="D30" s="378" t="inlineStr">
        <is>
          <t>N/A</t>
        </is>
      </c>
      <c r="E30" s="378" t="inlineStr">
        <is>
          <t>N/A</t>
        </is>
      </c>
      <c r="F30" s="379" t="inlineStr">
        <is>
          <t>N/A</t>
        </is>
      </c>
      <c r="G30" s="379" t="inlineStr">
        <is>
          <t>N/A</t>
        </is>
      </c>
      <c r="H30" s="379" t="inlineStr">
        <is>
          <t>Excluded</t>
        </is>
      </c>
      <c r="I30" s="379" t="inlineStr">
        <is>
          <t>Empty placeholder slot in original allocation template.</t>
        </is>
      </c>
      <c r="J30" s="379" t="inlineStr">
        <is>
          <t>N/A</t>
        </is>
      </c>
      <c r="K30" s="379" t="inlineStr">
        <is>
          <t>N/A</t>
        </is>
      </c>
      <c r="L30" s="379" t="inlineStr">
        <is>
          <t>Excluded (Template Slot)</t>
        </is>
      </c>
      <c r="M30" s="379" t="inlineStr"/>
      <c r="N30" s="378" t="inlineStr">
        <is>
          <t>Reserved slot for Taha (Empty in original)</t>
        </is>
      </c>
      <c r="O30" s="378" t="inlineStr">
        <is>
          <t>Template Slot</t>
        </is>
      </c>
      <c r="P30" s="378" t="inlineStr">
        <is>
          <t>REF-SLOT-030</t>
        </is>
      </c>
    </row>
    <row r="31" ht="34" customHeight="1" s="270">
      <c r="A31" s="374" t="inlineStr">
        <is>
          <t>Taha</t>
        </is>
      </c>
      <c r="B31" s="374" t="inlineStr">
        <is>
          <t>10.5220/0006617505550562</t>
        </is>
      </c>
      <c r="C31" s="375" t="inlineStr">
        <is>
          <t>Wearable RGB Camera-based Navigation System for the Visually Impaired</t>
        </is>
      </c>
      <c r="D31" s="374" t="n">
        <v>2018</v>
      </c>
      <c r="E31" s="374" t="inlineStr">
        <is>
          <t>SciTePress</t>
        </is>
      </c>
      <c r="F31" s="375" t="inlineStr">
        <is>
          <t>https://www.scitepress.org/PublishedPapers/2018/66175/</t>
        </is>
      </c>
      <c r="G31" s="375" t="inlineStr">
        <is>
          <t>X</t>
        </is>
      </c>
      <c r="H31" s="377" t="inlineStr">
        <is>
          <t>Excluded</t>
        </is>
      </c>
      <c r="I31" s="375" t="inlineStr">
        <is>
          <t>Published by SciTePress</t>
        </is>
      </c>
      <c r="J31" s="375" t="inlineStr">
        <is>
          <t>X</t>
        </is>
      </c>
      <c r="K31" s="375" t="inlineStr">
        <is>
          <t>X</t>
        </is>
      </c>
      <c r="L31" s="371" t="inlineStr">
        <is>
          <t>Edge Computer Vision &amp; 3D Spatial Perception (CV-3D)</t>
        </is>
      </c>
      <c r="M31" s="372" t="inlineStr">
        <is>
          <t>Corridor-Navigation, Human-Factors-Usability, Wearable-Embedded</t>
        </is>
      </c>
      <c r="N31" s="374" t="inlineStr">
        <is>
          <t>Original assignment for Taha (Row 31)</t>
        </is>
      </c>
      <c r="O31" s="374" t="inlineStr">
        <is>
          <t>Screened / Excluded</t>
        </is>
      </c>
      <c r="P31" s="376" t="inlineStr">
        <is>
          <t>REF-029</t>
        </is>
      </c>
    </row>
    <row r="32" ht="34" customHeight="1" s="270">
      <c r="A32" s="368" t="inlineStr">
        <is>
          <t>Taha</t>
        </is>
      </c>
      <c r="B32" s="368" t="inlineStr">
        <is>
          <t>10.1177/20552076251408522</t>
        </is>
      </c>
      <c r="C32" s="369" t="inlineStr">
        <is>
          <t>Sensory-driven micro-interventions 
for improved health and wellbeing</t>
        </is>
      </c>
      <c r="D32" s="368" t="n">
        <v>2025</v>
      </c>
      <c r="E32" s="368" t="inlineStr">
        <is>
          <t>Sage</t>
        </is>
      </c>
      <c r="F32" s="369" t="inlineStr">
        <is>
          <t>https://journals.sagepub.com/home/dhj</t>
        </is>
      </c>
      <c r="G32" s="369" t="inlineStr">
        <is>
          <t>AI / Machine Learning
IoT
Wearable sensors
Sensory devices &amp; interfaces
Real-time data collection and processing
Sensory substitution
Vibrotactile / haptic feedback
Smartphones and connected devices
Embedded sensors</t>
        </is>
      </c>
      <c r="H32" s="370" t="inlineStr">
        <is>
          <t>Included</t>
        </is>
      </c>
      <c r="I32" s="369" t="inlineStr">
        <is>
          <t>included because paper support  sensory substituation and hapitic
 feedback concept of super Brain it discusses technologies that 
convert environmental/visual information into tactile feedback for
 visually impaired users</t>
        </is>
      </c>
      <c r="J32" s="369" t="inlineStr">
        <is>
          <t xml:space="preserve">sensory technologies work separately there no simple system for
 continuously monitoring sensory changes and providing 
personalized help when needed
</t>
        </is>
      </c>
      <c r="K32" s="369" t="inlineStr">
        <is>
          <t>The paper proposes using AI IoT wearable sensors and sensory
 devices to monitor sensory changes and provide personalized 
sensory training</t>
        </is>
      </c>
      <c r="L32" s="371" t="inlineStr">
        <is>
          <t>Tactile &amp; Sensory Substitution Systems (TSSS)</t>
        </is>
      </c>
      <c r="M32" s="372" t="inlineStr">
        <is>
          <t>Tactile-Actuation, AI-Object-Detection, Human-Factors-Usability, Wearable-Embedded</t>
        </is>
      </c>
      <c r="N32" s="368" t="inlineStr">
        <is>
          <t>Original assignment for Taha (Row 32)</t>
        </is>
      </c>
      <c r="O32" s="368" t="inlineStr">
        <is>
          <t>Primary SLR Target</t>
        </is>
      </c>
      <c r="P32" s="373" t="inlineStr">
        <is>
          <t>REF-030</t>
        </is>
      </c>
    </row>
    <row r="33" ht="34" customHeight="1" s="270">
      <c r="A33" s="374" t="inlineStr">
        <is>
          <t>Taha</t>
        </is>
      </c>
      <c r="B33" s="374" t="inlineStr">
        <is>
          <t>10.1007/s42486-023-00136-7</t>
        </is>
      </c>
      <c r="C33" s="375" t="inlineStr">
        <is>
          <t>A smart obstacle avoiding technology 
based on depth camera for blind and visually impaired people</t>
        </is>
      </c>
      <c r="D33" s="374" t="n">
        <v>2023</v>
      </c>
      <c r="E33" s="374" t="inlineStr">
        <is>
          <t>Springer Nature</t>
        </is>
      </c>
      <c r="F33" s="375" t="inlineStr">
        <is>
          <t>https://link.springer.com/article/10.1007/s42486-023-00136-7?</t>
        </is>
      </c>
      <c r="G33" s="375" t="inlineStr">
        <is>
          <t>Depth/RGB-D Camera — Intel RealSense D435i
3D Point Cloud
L-PointPillars
Deep Learning / Neural Network
Depthwise Separable Convolution
Attention Mechanism
NVIDIA Jetson Xavier NX
PyTorch + Python
Text-to-Speech (TTS)
Audio Feedback</t>
        </is>
      </c>
      <c r="H33" s="370" t="inlineStr">
        <is>
          <t>Included</t>
        </is>
      </c>
      <c r="I33" s="375" t="inlineStr">
        <is>
          <t>Included because it uses a depth camera and AI-based obstacle
 detection to help blind and visually impaired people navigate safely
 outdoors</t>
        </is>
      </c>
      <c r="J33" s="375" t="inlineStr">
        <is>
          <t>impaired people difficult detecting and avoiding obstacles when 
traveling outdoors. Existing assistive devices have limited detection
 range and limited computing power</t>
        </is>
      </c>
      <c r="K33" s="375" t="inlineStr">
        <is>
          <t>The paper proposes a wearable system that uses a depth camera
 and L-PointPillars to detect obstacles in real time and gives audio
 information about the obstacle and its distance</t>
        </is>
      </c>
      <c r="L33" s="371" t="inlineStr">
        <is>
          <t>Edge Computer Vision &amp; 3D Spatial Perception (CV-3D)</t>
        </is>
      </c>
      <c r="M33" s="372" t="inlineStr">
        <is>
          <t>Depth-Sensing, AI-Object-Detection, Corridor-Navigation, Human-Factors-Usability, Wearable-Embedded</t>
        </is>
      </c>
      <c r="N33" s="374" t="inlineStr">
        <is>
          <t>Original assignment for Taha (Row 33)</t>
        </is>
      </c>
      <c r="O33" s="374" t="inlineStr">
        <is>
          <t>Primary SLR Target</t>
        </is>
      </c>
      <c r="P33" s="376" t="inlineStr">
        <is>
          <t>REF-031</t>
        </is>
      </c>
    </row>
    <row r="34" ht="34" customHeight="1" s="270">
      <c r="A34" s="368" t="inlineStr">
        <is>
          <t>Taha</t>
        </is>
      </c>
      <c r="B34" s="368" t="inlineStr">
        <is>
          <t>10.1016/j.eswa.2023.121065</t>
        </is>
      </c>
      <c r="C34" s="369" t="inlineStr">
        <is>
          <t>A data fusion framework based on 
heterogeneous information network embedding 
for trigger-action programming in IoT</t>
        </is>
      </c>
      <c r="D34" s="368" t="n">
        <v>2023</v>
      </c>
      <c r="E34" s="368" t="inlineStr">
        <is>
          <t>Elsevier</t>
        </is>
      </c>
      <c r="F34" s="369" t="inlineStr">
        <is>
          <t>https://www.sciencedirect.com/science/article/abs/pii/S0957417423015671?via%3Dihub</t>
        </is>
      </c>
      <c r="G34" s="369" t="inlineStr">
        <is>
          <t>IoT
Artificial Intelligence of Things
(NLP)
Heterogeneous Information Network 
HIN Embedding
Metagraph-guided Random Walk 
Skip-gram
Multi-label Classification</t>
        </is>
      </c>
      <c r="H34" s="370" t="inlineStr">
        <is>
          <t>Included</t>
        </is>
      </c>
      <c r="I34" s="369" t="inlineStr">
        <is>
          <t>there are too many trigger-action combinations that is difficult and 
time-consuming for users to create IoT recipes manually</t>
        </is>
      </c>
      <c r="J34" s="369" t="inlineStr">
        <is>
          <t>Limited environmental awareness for visually impaired individuals; high cognitive load from unsimplified sensory streams; lack of intuitive distance perception.</t>
        </is>
      </c>
      <c r="K34" s="369" t="inlineStr">
        <is>
          <t>The paper proposes TAPFuser an IoT framework that uses NLP and
 HIN embedding to understand natural-language requests and 
automatically recommend suitable trigger-action recipe</t>
        </is>
      </c>
      <c r="L34" s="371" t="inlineStr">
        <is>
          <t>Cognitive Ergonomics &amp; Blind Usability (CE-BU)</t>
        </is>
      </c>
      <c r="M34" s="372" t="inlineStr">
        <is>
          <t>Depth-Sensing, Human-Factors-Usability</t>
        </is>
      </c>
      <c r="N34" s="368" t="inlineStr">
        <is>
          <t>Original assignment for Taha (Row 34)</t>
        </is>
      </c>
      <c r="O34" s="368" t="inlineStr">
        <is>
          <t>Primary SLR Target</t>
        </is>
      </c>
      <c r="P34" s="373" t="inlineStr">
        <is>
          <t>REF-032</t>
        </is>
      </c>
    </row>
    <row r="35" ht="34" customHeight="1" s="270">
      <c r="A35" s="374" t="inlineStr">
        <is>
          <t>Taha</t>
        </is>
      </c>
      <c r="B35" s="374" t="inlineStr">
        <is>
          <t>10.1038/s41928-023-01074-z</t>
        </is>
      </c>
      <c r="C35" s="375" t="inlineStr">
        <is>
          <t>A skin-integrated multimodal haptic interface for immersive tactile feedback</t>
        </is>
      </c>
      <c r="D35" s="374" t="n">
        <v>2023</v>
      </c>
      <c r="E35" s="374" t="inlineStr">
        <is>
          <t>Nature</t>
        </is>
      </c>
      <c r="F35" s="375" t="inlineStr">
        <is>
          <t>https://doi.org/10.1038/s41928-023-01074-z</t>
        </is>
      </c>
      <c r="G35" s="375" t="inlineStr">
        <is>
          <t>RGB Camera, Raspberry Pi &amp; ESP32, Electrotactile Array, Classical CV &amp; Feature Extraction, Electrotactile Array</t>
        </is>
      </c>
      <c r="H35" s="370" t="inlineStr">
        <is>
          <t>Included</t>
        </is>
      </c>
      <c r="I35" s="375" t="inlineStr">
        <is>
          <t>Wearable skin-integrated tactile actuator arrays (mechanical, electrotactile, thermal) for VR; relevant to the tactile display layer, though not designed or tested for VI navigation.</t>
        </is>
      </c>
      <c r="J35" s="375" t="inlineStr">
        <is>
          <t>X</t>
        </is>
      </c>
      <c r="K35" s="375" t="inlineStr">
        <is>
          <t>X</t>
        </is>
      </c>
      <c r="L35" s="371" t="inlineStr">
        <is>
          <t>Tactile &amp; Sensory Substitution Systems (TSSS)</t>
        </is>
      </c>
      <c r="M35" s="372" t="inlineStr">
        <is>
          <t>Tactile-Actuation, Corridor-Navigation, Wearable-Embedded</t>
        </is>
      </c>
      <c r="N35" s="374" t="inlineStr">
        <is>
          <t>Original assignment for Taha (Row 35)</t>
        </is>
      </c>
      <c r="O35" s="374" t="inlineStr">
        <is>
          <t>Primary SLR Target</t>
        </is>
      </c>
      <c r="P35" s="376" t="inlineStr">
        <is>
          <t>REF-033</t>
        </is>
      </c>
    </row>
    <row r="36" ht="34" customHeight="1" s="270">
      <c r="A36" s="368" t="inlineStr">
        <is>
          <t>Taha</t>
        </is>
      </c>
      <c r="B36" s="368" t="inlineStr">
        <is>
          <t>10.1002/aisy.70450</t>
        </is>
      </c>
      <c r="C36" s="369" t="inlineStr">
        <is>
          <t>Enhanced Monocular Depth Estimation Using ResNet Backbone and Multiscale Feature
 Decoding for Precise Object Distance Measurement</t>
        </is>
      </c>
      <c r="D36" s="368" t="n">
        <v>2026</v>
      </c>
      <c r="E36" s="368" t="inlineStr">
        <is>
          <t>Wiley</t>
        </is>
      </c>
      <c r="F36" s="369" t="inlineStr">
        <is>
          <t>https://www.nature.com/articles/s41928-023-01074-z</t>
        </is>
      </c>
      <c r="G36" s="369" t="inlineStr">
        <is>
          <t>Monocular RGB Camera
Deep Learning
ResNet-based Encoder–Decoder
Multiscale Feature Decoding
YOLOv8 Object Detection
Monocular Depth Estimation
Object Distance Estimation
D-Far250 Dataset
KITTI Dataset</t>
        </is>
      </c>
      <c r="H36" s="370" t="inlineStr">
        <is>
          <t>Included</t>
        </is>
      </c>
      <c r="I36" s="369" t="inlineStr">
        <is>
          <t>because it uses deep learning and object detection and and monocular depth estimation to detect objects
 and measure their distance and  that support obstacle detection and navigation in Super Brain</t>
        </is>
      </c>
      <c r="J36" s="369" t="inlineStr">
        <is>
          <t>Traditional depth systems often need expensive sensors such as LiDAR or stereo cameras
 while monocular systems can have difficulty estimating accurate distances especially for far objects.</t>
        </is>
      </c>
      <c r="K36" s="369" t="inlineStr">
        <is>
          <t>The paper proposes a deep-learning system that uses a single RGB camera 
with a ResNet-based model and YOLOv8 to estimate object depth and 
distance without LiDAR or stereo cameras</t>
        </is>
      </c>
      <c r="L36" s="371" t="inlineStr">
        <is>
          <t>Edge Computer Vision &amp; 3D Spatial Perception (CV-3D)</t>
        </is>
      </c>
      <c r="M36" s="372" t="inlineStr">
        <is>
          <t>Depth-Sensing, AI-Object-Detection, Corridor-Navigation, Human-Factors-Usability</t>
        </is>
      </c>
      <c r="N36" s="368" t="inlineStr">
        <is>
          <t>Original assignment for Taha (Row 36)</t>
        </is>
      </c>
      <c r="O36" s="368" t="inlineStr">
        <is>
          <t>Primary SLR Target</t>
        </is>
      </c>
      <c r="P36" s="373" t="inlineStr">
        <is>
          <t>REF-034</t>
        </is>
      </c>
    </row>
    <row r="37" ht="34" customHeight="1" s="270">
      <c r="A37" s="374" t="inlineStr">
        <is>
          <t>Taha</t>
        </is>
      </c>
      <c r="B37" s="374" t="inlineStr">
        <is>
          <t>https://doi.org/10.1016/j.patrec.2019.03.008</t>
        </is>
      </c>
      <c r="C37" s="375" t="inlineStr">
        <is>
          <t>Enhancing perception for 
the visually impaired with
 deep learning techniques and low-cost
 wearable sensors</t>
        </is>
      </c>
      <c r="D37" s="374" t="n">
        <v>2020</v>
      </c>
      <c r="E37" s="374" t="inlineStr">
        <is>
          <t>Elsevier</t>
        </is>
      </c>
      <c r="F37" s="375" t="inlineStr">
        <is>
          <t>https://www.sciencedirect.com/science/article/abs/pii/S0167865519300881?via%3Dihub</t>
        </is>
      </c>
      <c r="G37" s="375"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370" t="inlineStr">
        <is>
          <t>Included</t>
        </is>
      </c>
      <c r="I37" s="375" t="inlineStr">
        <is>
          <t xml:space="preserve">Deeplearning Techniques for Enhancing  Perception for Visuall impaired </t>
        </is>
      </c>
      <c r="J37" s="375" t="inlineStr">
        <is>
          <t xml:space="preserve">* visually impaired people face the outdoor environment and connot detect teh distance of the obstacles 
* ETAs : Travel aids ---&gt; relying on RGB camera , LIDAR  are heavy , big  , fail in sunlight , expensive  </t>
        </is>
      </c>
      <c r="K37" s="375" t="inlineStr">
        <is>
          <t xml:space="preserve">
* lightweigh , low cost , replace with physical
depth sensors 
* monocular depth , couples with object dedector 
* descretizes 3d space  , delivers continuous 
3 intensity habtic vibration </t>
        </is>
      </c>
      <c r="L37" s="371" t="inlineStr">
        <is>
          <t>Edge Computer Vision &amp; 3D Spatial Perception (CV-3D)</t>
        </is>
      </c>
      <c r="M37" s="372" t="inlineStr">
        <is>
          <t>Tactile-Actuation, Depth-Sensing, AI-Object-Detection, Human-Factors-Usability, Wearable-Embedded</t>
        </is>
      </c>
      <c r="N37" s="374" t="inlineStr">
        <is>
          <t>Original assignment for Taha (Row 37)</t>
        </is>
      </c>
      <c r="O37" s="374" t="inlineStr">
        <is>
          <t>Primary SLR Target</t>
        </is>
      </c>
      <c r="P37" s="376" t="inlineStr">
        <is>
          <t>REF-035</t>
        </is>
      </c>
    </row>
    <row r="38" ht="34" customHeight="1" s="270">
      <c r="A38" s="368" t="inlineStr">
        <is>
          <t>Abdallah</t>
        </is>
      </c>
      <c r="B38" s="368" t="inlineStr">
        <is>
          <t>https://doi.org/10.1016/j.neunet.2023.12.042</t>
        </is>
      </c>
      <c r="C38" s="369" t="inlineStr">
        <is>
          <t>Bidirectional visual-tactile 
cross-modal generation using latent
 feature space flow model</t>
        </is>
      </c>
      <c r="D38" s="368" t="n">
        <v>2023</v>
      </c>
      <c r="E38" s="368" t="inlineStr">
        <is>
          <t>Elsevier</t>
        </is>
      </c>
      <c r="F38" s="369" t="inlineStr">
        <is>
          <t>https://www.sciencedirect.com/science/article/pii/S0893608023007499?via%3Dihub</t>
        </is>
      </c>
      <c r="G38" s="369"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370" t="inlineStr">
        <is>
          <t>Included</t>
        </is>
      </c>
      <c r="I38" s="369" t="inlineStr">
        <is>
          <t xml:space="preserve"> artificial sensory substitution by translating 2D visual inputs into tactile representations</t>
        </is>
      </c>
      <c r="J38" s="369"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369"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c r="L38" s="371" t="inlineStr">
        <is>
          <t>Tactile &amp; Sensory Substitution Systems (TSSS)</t>
        </is>
      </c>
      <c r="M38" s="372" t="inlineStr">
        <is>
          <t>Tactile-Actuation, AI-Object-Detection</t>
        </is>
      </c>
      <c r="N38" s="368" t="inlineStr">
        <is>
          <t>Original assignment for Abdallah (Row 38)</t>
        </is>
      </c>
      <c r="O38" s="368" t="inlineStr">
        <is>
          <t>Primary SLR Target</t>
        </is>
      </c>
      <c r="P38" s="373" t="inlineStr">
        <is>
          <t>REF-036</t>
        </is>
      </c>
    </row>
    <row r="39" ht="34" customHeight="1" s="270">
      <c r="A39" s="374" t="inlineStr">
        <is>
          <t>Abdallah</t>
        </is>
      </c>
      <c r="B39" s="374" t="inlineStr">
        <is>
          <t>https://ieeexplore.ieee.org/document/5165018</t>
        </is>
      </c>
      <c r="C39" s="375" t="inlineStr">
        <is>
          <t>Wearable Obstacle Avoidance Electronic
 Travel Aids for Blind: A Survey</t>
        </is>
      </c>
      <c r="D39" s="374" t="n">
        <v>2010</v>
      </c>
      <c r="E39" s="374" t="inlineStr">
        <is>
          <t>IEEE</t>
        </is>
      </c>
      <c r="F39" s="375" t="inlineStr">
        <is>
          <t>https://ieeexplore.ieee.org/document/5165018</t>
        </is>
      </c>
      <c r="G39" s="375" t="inlineStr">
        <is>
          <t>------------------</t>
        </is>
      </c>
      <c r="H39" s="377" t="inlineStr">
        <is>
          <t>Excluded</t>
        </is>
      </c>
      <c r="I39" s="375" t="inlineStr">
        <is>
          <t>Survey</t>
        </is>
      </c>
      <c r="J39" s="375" t="inlineStr">
        <is>
          <t>------------------</t>
        </is>
      </c>
      <c r="K39" s="375" t="inlineStr">
        <is>
          <t>------------------</t>
        </is>
      </c>
      <c r="L39" s="371" t="inlineStr">
        <is>
          <t>Ground Segmentation &amp; Safe Path Navigation (GS-PN)</t>
        </is>
      </c>
      <c r="M39" s="372" t="inlineStr">
        <is>
          <t>Corridor-Navigation, Human-Factors-Usability, Wearable-Embedded</t>
        </is>
      </c>
      <c r="N39" s="374" t="inlineStr">
        <is>
          <t>Original assignment for Abdallah (Row 39)</t>
        </is>
      </c>
      <c r="O39" s="374" t="inlineStr">
        <is>
          <t>Screened / Excluded</t>
        </is>
      </c>
      <c r="P39" s="376" t="inlineStr">
        <is>
          <t>REF-037</t>
        </is>
      </c>
    </row>
    <row r="40" ht="34" customHeight="1" s="270">
      <c r="A40" s="368" t="inlineStr">
        <is>
          <t>Abdallah</t>
        </is>
      </c>
      <c r="B40" s="368" t="inlineStr">
        <is>
          <t>https://doi.org/10.1007/s11042-021-11287-z</t>
        </is>
      </c>
      <c r="C40" s="369" t="inlineStr">
        <is>
          <t>Design and development of an indoor
 navigation system using denoising autoencoder based convolutional neural network for visually impaired people</t>
        </is>
      </c>
      <c r="D40" s="368" t="n">
        <v>2021</v>
      </c>
      <c r="E40" s="368" t="inlineStr">
        <is>
          <t xml:space="preserve">Springer </t>
        </is>
      </c>
      <c r="F40" s="369" t="inlineStr">
        <is>
          <t>https://link.springer.com/article/10.1007/s11042-021-11287-z</t>
        </is>
      </c>
      <c r="G40" s="369" t="inlineStr">
        <is>
          <t>* DAECNN Architecture 
* Multi-Angle Visual Localization --&gt; Classifies 12 discrete viewing angles
* Evaluation &amp; Dataset---&gt; Trained on 11,190 indoor frames</t>
        </is>
      </c>
      <c r="H40" s="370" t="inlineStr">
        <is>
          <t>Included</t>
        </is>
      </c>
      <c r="I40" s="369" t="inlineStr">
        <is>
          <t>Vision-Based Indoor Navigation &amp; Visual Localization</t>
        </is>
      </c>
      <c r="J40" s="369" t="inlineStr">
        <is>
          <t xml:space="preserve">* GPS satellite signals cannot penetrate indoor environments 
* Alternative indoor positioning technologies ----&gt; expensive, power consumpsion
* Camera images captured while walking suffer from heavy motion blur, camera shaking, </t>
        </is>
      </c>
      <c r="K40" s="369" t="inlineStr">
        <is>
          <t>* Implements the DAECNN pipeline ---&gt; enoising autoencoder to strip noise and motion blur 
* user positioning accuracy without external infrastructure</t>
        </is>
      </c>
      <c r="L40" s="371" t="inlineStr">
        <is>
          <t>Edge Computer Vision &amp; 3D Spatial Perception (CV-3D)</t>
        </is>
      </c>
      <c r="M40" s="372" t="inlineStr">
        <is>
          <t>AI-Object-Detection, Corridor-Navigation, Human-Factors-Usability</t>
        </is>
      </c>
      <c r="N40" s="368" t="inlineStr">
        <is>
          <t>Original assignment for Abdallah (Row 40)</t>
        </is>
      </c>
      <c r="O40" s="368" t="inlineStr">
        <is>
          <t>Primary SLR Target</t>
        </is>
      </c>
      <c r="P40" s="373" t="inlineStr">
        <is>
          <t>REF-038</t>
        </is>
      </c>
    </row>
    <row r="41" ht="34" customHeight="1" s="270">
      <c r="A41" s="374" t="inlineStr">
        <is>
          <t>Abdallah</t>
        </is>
      </c>
      <c r="B41" s="374" t="inlineStr">
        <is>
          <t>https://doi.org/10.1007/s11042-023-16355-0</t>
        </is>
      </c>
      <c r="C41" s="375" t="inlineStr">
        <is>
          <t>Development of a visual to audio and tactile substitution
system for mobility and orientation of visually impaired
people: a review</t>
        </is>
      </c>
      <c r="D41" s="374" t="n">
        <v>2023</v>
      </c>
      <c r="E41" s="374" t="inlineStr">
        <is>
          <t>Springer</t>
        </is>
      </c>
      <c r="F41" s="375" t="inlineStr">
        <is>
          <t>https://link.springer.com/article/10.1007/s11042-023-16355-0</t>
        </is>
      </c>
      <c r="G41" s="375" t="inlineStr">
        <is>
          <t>* Sensory Substitution ---&gt;  visual-to-audio , visual-to-tactile 
*  Reviews RGB cameras, depth sensors, ultrasonic transducers, and deep learning
 object/obstacle recognition models.</t>
        </is>
      </c>
      <c r="H41" s="370" t="inlineStr">
        <is>
          <t>Included</t>
        </is>
      </c>
      <c r="I41" s="375" t="inlineStr">
        <is>
          <t>Comprehensive Review of Visual-to-Tactile &amp; Audio Sensory Substitution</t>
        </is>
      </c>
      <c r="J41" s="375" t="inlineStr">
        <is>
          <t>* white canes cannot detect elevated, head-height, or distant obstacles.
* Existing assistive systems are non-adaptable, expensive, and heavily</t>
        </is>
      </c>
      <c r="K41" s="375" t="inlineStr">
        <is>
          <t>* prioritizing low-cost wearable tactile arrays that preserve hearing
, simplify visual scene features into intuitive haptic patterns, and utilize
 structured user training protocols.</t>
        </is>
      </c>
      <c r="L41" s="371" t="inlineStr">
        <is>
          <t>Tactile &amp; Sensory Substitution Systems (TSSS)</t>
        </is>
      </c>
      <c r="M41" s="372" t="inlineStr">
        <is>
          <t>Tactile-Actuation, Depth-Sensing, AI-Object-Detection, Human-Factors-Usability, Wearable-Embedded</t>
        </is>
      </c>
      <c r="N41" s="374" t="inlineStr">
        <is>
          <t>Original assignment for Abdallah (Row 41)</t>
        </is>
      </c>
      <c r="O41" s="374" t="inlineStr">
        <is>
          <t>Primary SLR Target</t>
        </is>
      </c>
      <c r="P41" s="376" t="inlineStr">
        <is>
          <t>REF-039</t>
        </is>
      </c>
    </row>
    <row r="42" ht="34" customHeight="1" s="270">
      <c r="A42" s="368" t="inlineStr">
        <is>
          <t>Abdallah</t>
        </is>
      </c>
      <c r="B42" s="368" t="inlineStr">
        <is>
          <t>https://doi.org/10.1049/ell2.70570</t>
        </is>
      </c>
      <c r="C42" s="369" t="inlineStr">
        <is>
          <t>A Portable Intelligent Navigation 
System Based on Embedded Hybrid 
Computing for Visually Impaired 
People</t>
        </is>
      </c>
      <c r="D42" s="368" t="n">
        <v>2026</v>
      </c>
      <c r="E42" s="368" t="inlineStr">
        <is>
          <t>Wiley</t>
        </is>
      </c>
      <c r="F42" s="369" t="inlineStr">
        <is>
          <t>https://ietresearch.onlinelibrary.wiley.com/doi/10.1049/ell2.70570</t>
        </is>
      </c>
      <c r="G42" s="369" t="inlineStr">
        <is>
          <t>* Multi-core STM32MP157F system 
* Hybrid Edge-Cloud Architecture 
* natural-language voice feedback for destination guidance and traffic</t>
        </is>
      </c>
      <c r="H42" s="370" t="inlineStr">
        <is>
          <t>Included</t>
        </is>
      </c>
      <c r="I42" s="369" t="inlineStr">
        <is>
          <t>Embedded System Design &amp; Hybrid Vision-Tactile Navigation</t>
        </is>
      </c>
      <c r="J42" s="369" t="inlineStr">
        <is>
          <t>* risks at street intersections, pedestrian crossings, and outdoor sidewalks 
* Running deep visual-language models entirely on-device causes overheating 
* battery exhaustion   , lag  
*cloud services risks complete failure in poor network coverage</t>
        </is>
      </c>
      <c r="K42" s="369" t="inlineStr">
        <is>
          <t>* A layered, hybrid embedded architecture where a multi-core STM32
* manages local low-latency sensor 
* high-level visual scene interpretation to cloud vision-language models</t>
        </is>
      </c>
      <c r="L42" s="371" t="inlineStr">
        <is>
          <t>Ground Segmentation &amp; Safe Path Navigation (GS-PN)</t>
        </is>
      </c>
      <c r="M42" s="372" t="inlineStr">
        <is>
          <t>Tactile-Actuation, AI-Object-Detection, Corridor-Navigation, Human-Factors-Usability, Wearable-Embedded</t>
        </is>
      </c>
      <c r="N42" s="368" t="inlineStr">
        <is>
          <t>Original assignment for Abdallah (Row 42)</t>
        </is>
      </c>
      <c r="O42" s="368" t="inlineStr">
        <is>
          <t>Primary SLR Target</t>
        </is>
      </c>
      <c r="P42" s="373" t="inlineStr">
        <is>
          <t>REF-040</t>
        </is>
      </c>
    </row>
    <row r="43" ht="34" customHeight="1" s="270">
      <c r="A43" s="374" t="inlineStr">
        <is>
          <t>Abdallah</t>
        </is>
      </c>
      <c r="B43" s="374" t="inlineStr">
        <is>
          <t>https://doi.org/10.1007/s11554-023-01314-7</t>
        </is>
      </c>
      <c r="C43" s="375" t="inlineStr">
        <is>
          <t>Enhanced data fusion of ultrasonic and stereo vision in real‑time
obstacle detection</t>
        </is>
      </c>
      <c r="D43" s="374" t="n">
        <v>2023</v>
      </c>
      <c r="E43" s="374" t="inlineStr">
        <is>
          <t>Springer</t>
        </is>
      </c>
      <c r="F43" s="375" t="inlineStr">
        <is>
          <t>https://link.springer.com/article/10.1007/s11554-023-01314-7</t>
        </is>
      </c>
      <c r="G43" s="375" t="inlineStr">
        <is>
          <t xml:space="preserve">* Ultrasonic and stereo vision sensor fusion, truncated local stereo matching 
*  GPU CUDA parallel acceleration 
</t>
        </is>
      </c>
      <c r="H43" s="370" t="inlineStr">
        <is>
          <t>Included</t>
        </is>
      </c>
      <c r="I43" s="375" t="inlineStr">
        <is>
          <t>Sensing &amp; Real-Time Obstacle Detection Algorithm</t>
        </is>
      </c>
      <c r="J43" s="375" t="inlineStr">
        <is>
          <t xml:space="preserve">* Full stereo matching requires high computational power  
* ultrasonic sensors suffer from poor angular resolution and wide beam reflection errors </t>
        </is>
      </c>
      <c r="K43" s="375" t="inlineStr">
        <is>
          <t>* Combines ultrasonic range cues with local stereo matchin 
* executing on GPU at 41 FPS speedup over unconstrained matching</t>
        </is>
      </c>
      <c r="L43" s="371" t="inlineStr">
        <is>
          <t>Edge Computer Vision &amp; 3D Spatial Perception (CV-3D)</t>
        </is>
      </c>
      <c r="M43" s="372" t="inlineStr">
        <is>
          <t>Depth-Sensing</t>
        </is>
      </c>
      <c r="N43" s="374" t="inlineStr">
        <is>
          <t>Original assignment for Abdallah (Row 43)</t>
        </is>
      </c>
      <c r="O43" s="374" t="inlineStr">
        <is>
          <t>Primary SLR Target</t>
        </is>
      </c>
      <c r="P43" s="376" t="inlineStr">
        <is>
          <t>REF-041</t>
        </is>
      </c>
    </row>
    <row r="44" ht="34" customHeight="1" s="270">
      <c r="A44" s="368" t="inlineStr">
        <is>
          <t>Abdallah</t>
        </is>
      </c>
      <c r="B44" s="368" t="inlineStr">
        <is>
          <t>https://doi.org/10.1007/s10209-023-00973-4</t>
        </is>
      </c>
      <c r="C44" s="369" t="inlineStr">
        <is>
          <t>Exploiting the haptic and audio 
channels to improve orientation and mobility apps for the visually impaired</t>
        </is>
      </c>
      <c r="D44" s="368" t="n">
        <v>2023</v>
      </c>
      <c r="E44" s="368" t="inlineStr">
        <is>
          <t>Springer</t>
        </is>
      </c>
      <c r="F44" s="369" t="inlineStr">
        <is>
          <t>https://link.springer.com/article/10.1007/s10209-023-00973-4</t>
        </is>
      </c>
      <c r="G44" s="369" t="inlineStr">
        <is>
          <t>* Android touchscreen interface 
* GeoJSON digital map modeling
* semantic RGB overlay layer for POI classification 
* Text-to-Speech (TTS) audio narration</t>
        </is>
      </c>
      <c r="H44" s="370" t="inlineStr">
        <is>
          <t>Included</t>
        </is>
      </c>
      <c r="I44" s="369" t="inlineStr">
        <is>
          <t>Multimodal Haptic/Audio Feedback &amp; Cognitive Mapping for Navigation</t>
        </is>
      </c>
      <c r="J44" s="369" t="inlineStr">
        <is>
          <t>* navigation apps deliver isolated that fail to provide an allocentric environmental overview 
* while physical embossed tactile maps are static, , and expensive.</t>
        </is>
      </c>
      <c r="K44" s="369" t="inlineStr">
        <is>
          <t xml:space="preserve">* accessible Android prototype converting GeoJSON urban maps
 into interactive touchscreen
</t>
        </is>
      </c>
      <c r="L44" s="371" t="inlineStr">
        <is>
          <t>Tactile &amp; Sensory Substitution Systems (TSSS)</t>
        </is>
      </c>
      <c r="M44" s="372" t="inlineStr">
        <is>
          <t>Tactile-Actuation, AI-Object-Detection, Corridor-Navigation, Human-Factors-Usability</t>
        </is>
      </c>
      <c r="N44" s="368" t="inlineStr">
        <is>
          <t>Original assignment for Abdallah (Row 44)</t>
        </is>
      </c>
      <c r="O44" s="368" t="inlineStr">
        <is>
          <t>Primary SLR Target</t>
        </is>
      </c>
      <c r="P44" s="373" t="inlineStr">
        <is>
          <t>REF-042</t>
        </is>
      </c>
    </row>
    <row r="45" ht="34" customHeight="1" s="270">
      <c r="A45" s="374" t="inlineStr">
        <is>
          <t>Abdallah</t>
        </is>
      </c>
      <c r="B45" s="374" t="inlineStr">
        <is>
          <t>https://doi.org/10.1109/TOH.2025.3616046</t>
        </is>
      </c>
      <c r="C45" s="375" t="inlineStr">
        <is>
          <t>Exploring Tactile Perception: Development and
Evaluation of the PinArray, a Novel Haptic Device</t>
        </is>
      </c>
      <c r="D45" s="374" t="n">
        <v>2025</v>
      </c>
      <c r="E45" s="374" t="inlineStr">
        <is>
          <t>IEEE</t>
        </is>
      </c>
      <c r="F45" s="375" t="inlineStr">
        <is>
          <t>https://ieeexplore.ieee.org/document/11186136</t>
        </is>
      </c>
      <c r="G45" s="375" t="inlineStr">
        <is>
          <t>* PinArray haptic display 
* multi-touch mode actuation 
*  frequency-differential tactile shape/edge encoding across RAI and RAII mechanoreceptors</t>
        </is>
      </c>
      <c r="H45" s="370" t="inlineStr">
        <is>
          <t>Included</t>
        </is>
      </c>
      <c r="I45" s="375" t="inlineStr">
        <is>
          <t>Tactile Display Hardware &amp; Tactile Shape/Edge Perception</t>
        </is>
      </c>
      <c r="J45" s="375" t="inlineStr">
        <is>
          <t xml:space="preserve">* Conventional vibrotactile displays are restricted to low frequencies or uniform global vibrations
* requency-differentiated stimulation across individual pins to render salient shapes and edges.
</t>
        </is>
      </c>
      <c r="K45" s="375" t="inlineStr">
        <is>
          <t>* Developed the PinArray, featuring 12 independently controlled pins operating</t>
        </is>
      </c>
      <c r="L45" s="371" t="inlineStr">
        <is>
          <t>Tactile &amp; Sensory Substitution Systems (TSSS)</t>
        </is>
      </c>
      <c r="M45" s="372" t="inlineStr">
        <is>
          <t>Tactile-Actuation, AI-Object-Detection, Human-Factors-Usability</t>
        </is>
      </c>
      <c r="N45" s="374" t="inlineStr">
        <is>
          <t>Original assignment for Abdallah (Row 45)</t>
        </is>
      </c>
      <c r="O45" s="374" t="inlineStr">
        <is>
          <t>Primary SLR Target</t>
        </is>
      </c>
      <c r="P45" s="376" t="inlineStr">
        <is>
          <t>REF-043</t>
        </is>
      </c>
    </row>
    <row r="46" ht="34" customHeight="1" s="270">
      <c r="A46" s="368" t="inlineStr">
        <is>
          <t>Abdallah</t>
        </is>
      </c>
      <c r="B46" s="368" t="inlineStr">
        <is>
          <t>https://doi.org/10.3233/FAIA231495</t>
        </is>
      </c>
      <c r="C46" s="369" t="inlineStr">
        <is>
          <t>Research on Multimodal Interaction Design
Patterns for Visually Impaired People Under
Sensory Compensation Theory</t>
        </is>
      </c>
      <c r="D46" s="368" t="n">
        <v>2024</v>
      </c>
      <c r="E46" s="368" t="inlineStr">
        <is>
          <t>IOS Press</t>
        </is>
      </c>
      <c r="F46" s="369" t="inlineStr">
        <is>
          <t>https://doi.org/10.3233/FAIA231495</t>
        </is>
      </c>
      <c r="G46" s="369" t="inlineStr">
        <is>
          <t>RGB Camera, Raspberry Pi &amp; ESP32, Vibrotactile (ERM/LRA), Classical CV &amp; Feature Extraction, Vibrotactile (ERM/LRA)</t>
        </is>
      </c>
      <c r="H46" s="377" t="inlineStr">
        <is>
          <t>Excluded</t>
        </is>
      </c>
      <c r="I46" s="369" t="inlineStr">
        <is>
          <t xml:space="preserve">Not authrized </t>
        </is>
      </c>
      <c r="J46" s="369" t="inlineStr">
        <is>
          <t>Limited environmental awareness for visually impaired individuals; high cognitive load from unsimplified sensory streams; lack of intuitive distance perception.</t>
        </is>
      </c>
      <c r="K46" s="369" t="inlineStr">
        <is>
          <t>8x8 (64) Vibrotactile (ERM/LRA) display placed on Torso / Vest using Classical CV &amp; Feature Extraction.</t>
        </is>
      </c>
      <c r="L46" s="371" t="inlineStr">
        <is>
          <t>Tactile &amp; Sensory Substitution Systems (TSSS)</t>
        </is>
      </c>
      <c r="M46" s="372" t="inlineStr">
        <is>
          <t>Tactile-Actuation, Depth-Sensing, Human-Factors-Usability, Wearable-Embedded</t>
        </is>
      </c>
      <c r="N46" s="368" t="inlineStr">
        <is>
          <t>Original assignment for Abdallah (Row 46)</t>
        </is>
      </c>
      <c r="O46" s="368" t="inlineStr">
        <is>
          <t>Screened / Excluded</t>
        </is>
      </c>
      <c r="P46" s="373" t="inlineStr">
        <is>
          <t>REF-044</t>
        </is>
      </c>
    </row>
    <row r="47" ht="34" customHeight="1" s="270">
      <c r="A47" s="374" t="inlineStr">
        <is>
          <t>Abdallah</t>
        </is>
      </c>
      <c r="B47" s="374" t="inlineStr">
        <is>
          <t>https://doi.org/10.1016/j.actpsy.2019.102950</t>
        </is>
      </c>
      <c r="C47" s="375" t="inlineStr">
        <is>
          <t>Tactile aesthetics: Textures that we like or hate to touch</t>
        </is>
      </c>
      <c r="D47" s="374" t="n">
        <v>2019</v>
      </c>
      <c r="E47" s="374" t="inlineStr">
        <is>
          <t>Elsevier</t>
        </is>
      </c>
      <c r="F47" s="375" t="inlineStr">
        <is>
          <t>https://www.sciencedirect.com/science/article/abs/pii/S0001691819302008?via%3Dihub</t>
        </is>
      </c>
      <c r="G47" s="375" t="inlineStr">
        <is>
          <t>RGB Camera, Raspberry Pi &amp; ESP32, Vibrotactile (ERM/LRA), Classical CV &amp; Feature Extraction, Vibrotactile (ERM/LRA)</t>
        </is>
      </c>
      <c r="H47" s="377" t="inlineStr">
        <is>
          <t>Excluded</t>
        </is>
      </c>
      <c r="I47" s="375" t="inlineStr">
        <is>
          <t>out of scope &amp; out dated</t>
        </is>
      </c>
      <c r="J47" s="375" t="inlineStr">
        <is>
          <t>Limited environmental awareness for visually impaired individuals; high cognitive load from unsimplified sensory streams; lack of intuitive distance perception.</t>
        </is>
      </c>
      <c r="K47" s="375" t="inlineStr">
        <is>
          <t>8x8 (64) Vibrotactile (ERM/LRA) display placed on Torso / Vest using Classical CV &amp; Feature Extraction.</t>
        </is>
      </c>
      <c r="L47" s="371" t="inlineStr">
        <is>
          <t>Tactile &amp; Sensory Substitution Systems (TSSS)</t>
        </is>
      </c>
      <c r="M47" s="372" t="inlineStr">
        <is>
          <t>Tactile-Actuation, Depth-Sensing, Human-Factors-Usability, Wearable-Embedded</t>
        </is>
      </c>
      <c r="N47" s="374" t="inlineStr">
        <is>
          <t>Original assignment for Abdallah (Row 47)</t>
        </is>
      </c>
      <c r="O47" s="374" t="inlineStr">
        <is>
          <t>Screened / Excluded</t>
        </is>
      </c>
      <c r="P47" s="376" t="inlineStr">
        <is>
          <t>REF-045</t>
        </is>
      </c>
    </row>
    <row r="48" ht="34" customHeight="1" s="270">
      <c r="A48" s="368" t="inlineStr">
        <is>
          <t>Abdallah</t>
        </is>
      </c>
      <c r="B48" s="368" t="inlineStr">
        <is>
          <t>https://doi.org/10.3389/fnhum.2014.00291</t>
        </is>
      </c>
      <c r="C48" s="369" t="inlineStr">
        <is>
          <t>Successful tactile based visual 
sensory substitution use functions independently of visual pathway integrity</t>
        </is>
      </c>
      <c r="D48" s="368" t="n">
        <v>2014</v>
      </c>
      <c r="E48" s="368" t="inlineStr">
        <is>
          <t xml:space="preserve">Frontiers </t>
        </is>
      </c>
      <c r="F48" s="369" t="inlineStr">
        <is>
          <t>https://www.frontiersin.org/journals/human-neuroscience/articles/10.3389/fnhum.2014.00291/full</t>
        </is>
      </c>
      <c r="G48" s="369" t="inlineStr">
        <is>
          <t>RGB Camera, Raspberry Pi &amp; ESP32, Electrotactile Array, Classical CV &amp; Feature Extraction, Electrotactile Array</t>
        </is>
      </c>
      <c r="H48" s="377" t="inlineStr">
        <is>
          <t>Excluded</t>
        </is>
      </c>
      <c r="I48" s="369" t="inlineStr">
        <is>
          <t>Not authrized  &amp; out dated</t>
        </is>
      </c>
      <c r="J48" s="369" t="inlineStr">
        <is>
          <t>Limited environmental awareness for visually impaired individuals; high cognitive load from unsimplified sensory streams; lack of intuitive distance perception.</t>
        </is>
      </c>
      <c r="K48" s="369" t="inlineStr">
        <is>
          <t>12x12 (144) Electrotactile Array display placed on Tongue / Palate using Classical CV &amp; Feature Extraction.</t>
        </is>
      </c>
      <c r="L48" s="371" t="inlineStr">
        <is>
          <t>Tactile &amp; Sensory Substitution Systems (TSSS)</t>
        </is>
      </c>
      <c r="M48" s="372" t="inlineStr">
        <is>
          <t>Tactile-Actuation, Depth-Sensing, Corridor-Navigation, Human-Factors-Usability, Wearable-Embedded</t>
        </is>
      </c>
      <c r="N48" s="368" t="inlineStr">
        <is>
          <t>Original assignment for Abdallah (Row 48)</t>
        </is>
      </c>
      <c r="O48" s="368" t="inlineStr">
        <is>
          <t>Screened / Excluded</t>
        </is>
      </c>
      <c r="P48" s="373" t="inlineStr">
        <is>
          <t>REF-046</t>
        </is>
      </c>
    </row>
    <row r="49" ht="34" customHeight="1" s="270">
      <c r="A49" s="374" t="inlineStr">
        <is>
          <t>Abdallah</t>
        </is>
      </c>
      <c r="B49" s="374" t="inlineStr">
        <is>
          <t>https://doi.org/10.3233/FAIA231495</t>
        </is>
      </c>
      <c r="C49" s="375" t="inlineStr">
        <is>
          <t>Research on Multimodal Interaction Design
Patterns for Visually Impaired People Under
Sensory Compensation Theory</t>
        </is>
      </c>
      <c r="D49" s="374" t="n">
        <v>2024</v>
      </c>
      <c r="E49" s="374" t="inlineStr">
        <is>
          <t>Sage</t>
        </is>
      </c>
      <c r="F49" s="375" t="inlineStr">
        <is>
          <t>https://ebooks.iospress.nl/doi/10.3233/FAIA231495</t>
        </is>
      </c>
      <c r="G49" s="375" t="inlineStr">
        <is>
          <t>RGB Camera, Raspberry Pi &amp; ESP32, Vibrotactile (ERM/LRA), Classical CV &amp; Feature Extraction, Vibrotactile (ERM/LRA)</t>
        </is>
      </c>
      <c r="H49" s="370" t="inlineStr">
        <is>
          <t>Included</t>
        </is>
      </c>
      <c r="I49" s="375"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375"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375"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c r="L49" s="371" t="inlineStr">
        <is>
          <t>Tactile &amp; Sensory Substitution Systems (TSSS)</t>
        </is>
      </c>
      <c r="M49" s="372" t="inlineStr">
        <is>
          <t>Tactile-Actuation, AI-Object-Detection, Corridor-Navigation, Human-Factors-Usability, Wearable-Embedded</t>
        </is>
      </c>
      <c r="N49" s="374" t="inlineStr">
        <is>
          <t>Original assignment for Abdallah (Row 49)</t>
        </is>
      </c>
      <c r="O49" s="374" t="inlineStr">
        <is>
          <t>Primary SLR Target</t>
        </is>
      </c>
      <c r="P49" s="376" t="inlineStr">
        <is>
          <t>REF-047</t>
        </is>
      </c>
    </row>
    <row r="50" ht="34" customHeight="1" s="270">
      <c r="A50" s="368" t="inlineStr">
        <is>
          <t>Habiba</t>
        </is>
      </c>
      <c r="B50" s="368" t="inlineStr">
        <is>
          <t>https://doi.org/10.3233/FAIA231495</t>
        </is>
      </c>
      <c r="C50" s="369" t="inlineStr">
        <is>
          <t>Research on Multimodal Interaction Design
Patterns for Visually Impaired People Under
Sensory Compensation Theory</t>
        </is>
      </c>
      <c r="D50" s="368" t="n">
        <v>2024</v>
      </c>
      <c r="E50" s="368" t="inlineStr">
        <is>
          <t>IOS Press</t>
        </is>
      </c>
      <c r="F50" s="369" t="inlineStr">
        <is>
          <t>https://ebooks.iospress.nl/doi/10.3233/FAIA231495</t>
        </is>
      </c>
      <c r="G50" s="369" t="inlineStr">
        <is>
          <t>X</t>
        </is>
      </c>
      <c r="H50" s="377" t="inlineStr">
        <is>
          <t>Excluded</t>
        </is>
      </c>
      <c r="I50" s="369"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369" t="inlineStr">
        <is>
          <t>X</t>
        </is>
      </c>
      <c r="K50" s="369" t="inlineStr">
        <is>
          <t>X</t>
        </is>
      </c>
      <c r="L50" s="371" t="inlineStr">
        <is>
          <t>Tactile &amp; Sensory Substitution Systems (TSSS)</t>
        </is>
      </c>
      <c r="M50" s="372" t="inlineStr">
        <is>
          <t>Tactile-Actuation, Human-Factors-Usability</t>
        </is>
      </c>
      <c r="N50" s="368" t="inlineStr">
        <is>
          <t>Original assignment for Habiba (Row 50)</t>
        </is>
      </c>
      <c r="O50" s="368" t="inlineStr">
        <is>
          <t>Screened / Excluded</t>
        </is>
      </c>
      <c r="P50" s="373" t="inlineStr">
        <is>
          <t>REF-048</t>
        </is>
      </c>
    </row>
    <row r="51" ht="34" customHeight="1" s="270">
      <c r="A51" s="374" t="inlineStr">
        <is>
          <t>Habiba</t>
        </is>
      </c>
      <c r="B51" s="374" t="inlineStr">
        <is>
          <t>https://doi.org/10.1016/j.actpsy.2019.102950</t>
        </is>
      </c>
      <c r="C51" s="375" t="inlineStr">
        <is>
          <t>Tactile aesthetics: Textures that we like or hate to touch</t>
        </is>
      </c>
      <c r="D51" s="374" t="n">
        <v>2019</v>
      </c>
      <c r="E51" s="374" t="inlineStr">
        <is>
          <t>Elsevier</t>
        </is>
      </c>
      <c r="F51" s="375" t="inlineStr">
        <is>
          <t>https://www.sciencedirect.com/science/article/abs/pii/S0001691819302008?via%3Dihub</t>
        </is>
      </c>
      <c r="G51" s="375" t="inlineStr">
        <is>
          <t>X</t>
        </is>
      </c>
      <c r="H51" s="377" t="inlineStr">
        <is>
          <t>Excluded</t>
        </is>
      </c>
      <c r="I51" s="375"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1" s="375" t="inlineStr">
        <is>
          <t>X</t>
        </is>
      </c>
      <c r="K51" s="375" t="inlineStr">
        <is>
          <t>X</t>
        </is>
      </c>
      <c r="L51" s="371" t="inlineStr">
        <is>
          <t>Tactile &amp; Sensory Substitution Systems (TSSS)</t>
        </is>
      </c>
      <c r="M51" s="372" t="inlineStr">
        <is>
          <t>Tactile-Actuation, Human-Factors-Usability</t>
        </is>
      </c>
      <c r="N51" s="374" t="inlineStr">
        <is>
          <t>Original assignment for Habiba (Row 51)</t>
        </is>
      </c>
      <c r="O51" s="374" t="inlineStr">
        <is>
          <t>Screened / Excluded</t>
        </is>
      </c>
      <c r="P51" s="376" t="inlineStr">
        <is>
          <t>REF-049</t>
        </is>
      </c>
    </row>
    <row r="52" ht="34" customHeight="1" s="270">
      <c r="A52" s="368" t="inlineStr">
        <is>
          <t>Habiba</t>
        </is>
      </c>
      <c r="B52" s="368" t="inlineStr">
        <is>
          <t>https://doi.org/10.3389/fnhum.2014.00291</t>
        </is>
      </c>
      <c r="C52" s="369" t="inlineStr">
        <is>
          <t>Successful tactile based visual sensory substitution use functions independently of visual pathway integrity</t>
        </is>
      </c>
      <c r="D52" s="368" t="n">
        <v>2014</v>
      </c>
      <c r="E52" s="368" t="inlineStr">
        <is>
          <t>Frontiers in Human Neuroscience</t>
        </is>
      </c>
      <c r="F52" s="369" t="inlineStr">
        <is>
          <t>https://www.frontiersin.org/journals/human-neuroscience/articles/10.3389/fnhum.2014.00291/full</t>
        </is>
      </c>
      <c r="G52" s="369" t="inlineStr">
        <is>
          <t>X</t>
        </is>
      </c>
      <c r="H52" s="377" t="inlineStr">
        <is>
          <t>Excluded</t>
        </is>
      </c>
      <c r="I52" s="369" t="inlineStr">
        <is>
          <t>This paper is excluded because it does not meet the required publisher criteria.</t>
        </is>
      </c>
      <c r="J52" s="369" t="inlineStr">
        <is>
          <t>X</t>
        </is>
      </c>
      <c r="K52" s="369" t="inlineStr">
        <is>
          <t>X</t>
        </is>
      </c>
      <c r="L52" s="371" t="inlineStr">
        <is>
          <t>Tactile &amp; Sensory Substitution Systems (TSSS)</t>
        </is>
      </c>
      <c r="M52" s="372" t="inlineStr">
        <is>
          <t>Tactile-Actuation, Corridor-Navigation</t>
        </is>
      </c>
      <c r="N52" s="368" t="inlineStr">
        <is>
          <t>Original assignment for Habiba (Row 52)</t>
        </is>
      </c>
      <c r="O52" s="368" t="inlineStr">
        <is>
          <t>Screened / Excluded</t>
        </is>
      </c>
      <c r="P52" s="373" t="inlineStr">
        <is>
          <t>REF-050</t>
        </is>
      </c>
    </row>
    <row r="53" ht="34" customHeight="1" s="270">
      <c r="A53" s="374" t="inlineStr">
        <is>
          <t>Habiba</t>
        </is>
      </c>
      <c r="B53" s="374" t="inlineStr">
        <is>
          <t>https://doi.org/10.1007/s10846-023-01824-3</t>
        </is>
      </c>
      <c r="C53" s="375" t="inlineStr">
        <is>
          <t>Haptic Feedback Remote Control System for Electric Mechanical Assembly Vehicle Developed to Avoid Obstacles</t>
        </is>
      </c>
      <c r="D53" s="374" t="n">
        <v>2023</v>
      </c>
      <c r="E53" s="374" t="inlineStr">
        <is>
          <t>Springer Nature</t>
        </is>
      </c>
      <c r="F53" s="375" t="inlineStr">
        <is>
          <t>https://link.springer.com/article/10.1007/s10846-023-01824-3</t>
        </is>
      </c>
      <c r="G53" s="375" t="inlineStr">
        <is>
          <t>X</t>
        </is>
      </c>
      <c r="H53" s="370" t="inlineStr">
        <is>
          <t>Included</t>
        </is>
      </c>
      <c r="I53" s="375" t="inlineStr">
        <is>
          <t>excluded Bec focuses on visuo-haptic augmented reality, texture presentation, and social touch rather than assistive technology for blind or visually impaired people.</t>
        </is>
      </c>
      <c r="J53" s="375" t="inlineStr">
        <is>
          <t>X</t>
        </is>
      </c>
      <c r="K53" s="375" t="inlineStr">
        <is>
          <t>X</t>
        </is>
      </c>
      <c r="L53" s="371" t="inlineStr">
        <is>
          <t>Tactile &amp; Sensory Substitution Systems (TSSS)</t>
        </is>
      </c>
      <c r="M53" s="372" t="inlineStr">
        <is>
          <t>Tactile-Actuation, Human-Factors-Usability</t>
        </is>
      </c>
      <c r="N53" s="374" t="inlineStr">
        <is>
          <t>Original assignment for Habiba (Row 53)</t>
        </is>
      </c>
      <c r="O53" s="374" t="inlineStr">
        <is>
          <t>Primary SLR Target</t>
        </is>
      </c>
      <c r="P53" s="376" t="inlineStr">
        <is>
          <t>REF-051</t>
        </is>
      </c>
    </row>
    <row r="54" ht="34" customHeight="1" s="270">
      <c r="A54" s="368" t="inlineStr">
        <is>
          <t>Habiba</t>
        </is>
      </c>
      <c r="B54" s="368" t="inlineStr">
        <is>
          <t>10.1109/TVCG.2021.3136214</t>
        </is>
      </c>
      <c r="C54" s="369" t="inlineStr">
        <is>
          <t>HaptoMapping: Visuo-Haptic Augmented Reality by Embedding User-Imperceptible Tactile Display Control Signals in a Projected Image</t>
        </is>
      </c>
      <c r="D54" s="368" t="n">
        <v>2022</v>
      </c>
      <c r="E54" s="368" t="inlineStr">
        <is>
          <t>IEEE</t>
        </is>
      </c>
      <c r="F54" s="369" t="inlineStr">
        <is>
          <t>https://www.researchgate.net/publication/357424856_HaptoMapping_Visuo-Haptic_Augmented_Reality_by_Embedding_User-Imperceptible_Tactile_Display_Control_Signals_in_a_Projected_Image</t>
        </is>
      </c>
      <c r="G54" s="369" t="inlineStr">
        <is>
          <t>X</t>
        </is>
      </c>
      <c r="H54" s="377" t="inlineStr">
        <is>
          <t>Excluded</t>
        </is>
      </c>
      <c r="I54" s="369" t="inlineStr">
        <is>
          <t>Reason for Exclusion  Out of Scope:
The study focuses on enhancing visual experiences through haptic feedback in augmented reality rather than providing sensory substitution for visually impaired individuals. The proposed system supplements visual information with tactile sensations instead of converting visual information into an alternative sensory form that can be interpreted without vision. Therefore, it does not directly address the objectives of visual sensory substitution for blind users.</t>
        </is>
      </c>
      <c r="J54" s="369" t="inlineStr">
        <is>
          <t>X</t>
        </is>
      </c>
      <c r="K54" s="369" t="inlineStr">
        <is>
          <t>X</t>
        </is>
      </c>
      <c r="L54" s="371" t="inlineStr">
        <is>
          <t>Tactile &amp; Sensory Substitution Systems (TSSS)</t>
        </is>
      </c>
      <c r="M54" s="372" t="inlineStr">
        <is>
          <t>Tactile-Actuation, Human-Factors-Usability</t>
        </is>
      </c>
      <c r="N54" s="368" t="inlineStr">
        <is>
          <t>Original assignment for Habiba (Row 54)</t>
        </is>
      </c>
      <c r="O54" s="368" t="inlineStr">
        <is>
          <t>Screened / Excluded</t>
        </is>
      </c>
      <c r="P54" s="373" t="inlineStr">
        <is>
          <t>REF-052</t>
        </is>
      </c>
    </row>
    <row r="55" ht="34" customHeight="1" s="270">
      <c r="A55" s="374" t="inlineStr">
        <is>
          <t>Habiba</t>
        </is>
      </c>
      <c r="B55" s="374" t="inlineStr">
        <is>
          <t>10.1109/EMBC.2013.6610223</t>
        </is>
      </c>
      <c r="C55" s="375" t="inlineStr">
        <is>
          <t>A tactile vision substitution system for the study of active sensing</t>
        </is>
      </c>
      <c r="D55" s="374" t="n">
        <v>2013</v>
      </c>
      <c r="E55" s="374" t="inlineStr">
        <is>
          <t>IEEE</t>
        </is>
      </c>
      <c r="F55" s="375" t="inlineStr">
        <is>
          <t>https://ieeexplore.ieee.org/document/6610223</t>
        </is>
      </c>
      <c r="G55" s="375" t="inlineStr">
        <is>
          <t>- VTMouse: 96-pin tactile display.
- Camera: Captures visual information.
- Image Processing: Grayscale Conversion, Histogram Equalization, Low-pass Filtering, Thresholding, Morphological Operations.
- Discrete Wavelet Transform (DWT): Image resolution reduction.
- Trajectory Tracking: Laser Pointer, Fixed Camera, Image Subtraction, Pearson Correlation.F56</t>
        </is>
      </c>
      <c r="H55" s="370" t="inlineStr">
        <is>
          <t>Included</t>
        </is>
      </c>
      <c r="I55" s="375" t="inlineStr">
        <is>
          <t>The paper presents a Tactile Vision Substitution System that converts visual information from a camera into tactile feedback to help visually impaired people perceive objects.
Although it is highly relevant to our project, it was published in 2013, which is outside our preferred publication period (2020–2026). However, we could keep it as a background reference because its image processing and visual-to-tactile conversion techniques may be useful for our system.</t>
        </is>
      </c>
      <c r="J55" s="375"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5" s="375"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c r="L55" s="371" t="inlineStr">
        <is>
          <t>Tactile &amp; Sensory Substitution Systems (TSSS)</t>
        </is>
      </c>
      <c r="M55" s="372" t="inlineStr">
        <is>
          <t>Tactile-Actuation, Corridor-Navigation, Human-Factors-Usability</t>
        </is>
      </c>
      <c r="N55" s="374" t="inlineStr">
        <is>
          <t>Original assignment for Habiba (Row 55)</t>
        </is>
      </c>
      <c r="O55" s="374" t="inlineStr">
        <is>
          <t>Primary SLR Target</t>
        </is>
      </c>
      <c r="P55" s="376" t="inlineStr">
        <is>
          <t>REF-053</t>
        </is>
      </c>
    </row>
    <row r="56" ht="34" customHeight="1" s="270">
      <c r="A56" s="368" t="inlineStr">
        <is>
          <t>Habiba</t>
        </is>
      </c>
      <c r="B56" s="368" t="inlineStr">
        <is>
          <t>https://doi.org/10.1177/10711813251360704</t>
        </is>
      </c>
      <c r="C56" s="369" t="inlineStr">
        <is>
          <t>The Multimodal Exhibition: Tangible Interactions for People With Visual Impairments</t>
        </is>
      </c>
      <c r="D56" s="368" t="n">
        <v>2025</v>
      </c>
      <c r="E56" s="368" t="inlineStr">
        <is>
          <t xml:space="preserve">Sage </t>
        </is>
      </c>
      <c r="F56" s="369" t="inlineStr">
        <is>
          <t>https://journals.sagepub.com/doi/10.1177/10711813251360704</t>
        </is>
      </c>
      <c r="G56" s="369" t="inlineStr">
        <is>
          <t>Smartphone, Raspberry Pi</t>
        </is>
      </c>
      <c r="H56" s="377" t="inlineStr">
        <is>
          <t>Excluded</t>
        </is>
      </c>
      <c r="I56" s="369" t="inlineStr">
        <is>
          <t>**Exclude — Limited Technical Relevance**
Although the study presents and evaluates six multimodal interaction prototypes for people with visual impairments, its primary contribution focuses on inclusive interaction design and usability rather than advanced assistive technologies. The proposed prototypes do not incorporate real-time object detection, environmental sensing, depth estimation, or dynamic sensory substitution mechanisms. Therefore, their technical contribution is limited in relation to the core technological objectives of our proposed system.</t>
        </is>
      </c>
      <c r="J56" s="369" t="inlineStr">
        <is>
          <t>Controlled dark-room setting does not mirror unpredictability of public environments; real-world longitudinal trials still needed.</t>
        </is>
      </c>
      <c r="K56" s="369" t="inlineStr">
        <is>
          <t>Dark-room exhibition (Multimodal Box) with tactile, auditory and olfactory orientation cues; six prototypes (e.g., Magic Platform QR-audio kiosk, Tactosketchboard); pre/post semi-structured interviews, behavioural observation, usability ratings and SUS.</t>
        </is>
      </c>
      <c r="L56" s="371" t="inlineStr">
        <is>
          <t>Cognitive Ergonomics &amp; Blind Usability (CE-BU)</t>
        </is>
      </c>
      <c r="M56" s="372" t="inlineStr">
        <is>
          <t>Tactile-Actuation, Depth-Sensing, AI-Object-Detection, Human-Factors-Usability, Wearable-Embedded</t>
        </is>
      </c>
      <c r="N56" s="368" t="inlineStr">
        <is>
          <t>Original assignment for Habiba (Row 56)</t>
        </is>
      </c>
      <c r="O56" s="368" t="inlineStr">
        <is>
          <t>Screened / Excluded</t>
        </is>
      </c>
      <c r="P56" s="373" t="inlineStr">
        <is>
          <t>REF-054</t>
        </is>
      </c>
    </row>
    <row r="57" ht="34" customHeight="1" s="270">
      <c r="A57" s="374" t="inlineStr">
        <is>
          <t>Habiba</t>
        </is>
      </c>
      <c r="B57" s="374" t="inlineStr">
        <is>
          <t>10.1016/j.ijhcs.2007.08.001</t>
        </is>
      </c>
      <c r="C57" s="375" t="inlineStr">
        <is>
          <t>Haptic-feedback support for cognitive mapping of unknown spaces by people who are blind</t>
        </is>
      </c>
      <c r="D57" s="374" t="n">
        <v>2008</v>
      </c>
      <c r="E57" s="374" t="inlineStr">
        <is>
          <t>Elsevier</t>
        </is>
      </c>
      <c r="F57" s="375" t="inlineStr">
        <is>
          <t>linkinghub.elsevier.com/retrieve/pii/S1071581907001012</t>
        </is>
      </c>
      <c r="G57" s="375" t="inlineStr">
        <is>
          <t>RGB Camera, Raspberry Pi &amp; ESP32, Vibrotactile (ERM/LRA), Classical CV &amp; Feature Extraction, Vibrotactile (ERM/LRA)</t>
        </is>
      </c>
      <c r="H57" s="377" t="inlineStr">
        <is>
          <t>Excluded</t>
        </is>
      </c>
      <c r="I57" s="375" t="inlineStr">
        <is>
          <t>outdated</t>
        </is>
      </c>
      <c r="J57" s="375" t="inlineStr">
        <is>
          <t>Limited environmental awareness for visually impaired individuals; high cognitive load from unsimplified sensory streams; lack of intuitive distance perception.</t>
        </is>
      </c>
      <c r="K57" s="375" t="inlineStr">
        <is>
          <t>8x8 (64) Vibrotactile (ERM/LRA) display placed on Torso / Vest using Classical CV &amp; Feature Extraction.</t>
        </is>
      </c>
      <c r="L57" s="371" t="inlineStr">
        <is>
          <t>Tactile &amp; Sensory Substitution Systems (TSSS)</t>
        </is>
      </c>
      <c r="M57" s="372" t="inlineStr">
        <is>
          <t>Tactile-Actuation, Depth-Sensing, Human-Factors-Usability, Wearable-Embedded</t>
        </is>
      </c>
      <c r="N57" s="374" t="inlineStr">
        <is>
          <t>Original assignment for Habiba (Row 57)</t>
        </is>
      </c>
      <c r="O57" s="374" t="inlineStr">
        <is>
          <t>Screened / Excluded</t>
        </is>
      </c>
      <c r="P57" s="376" t="inlineStr">
        <is>
          <t>REF-055</t>
        </is>
      </c>
    </row>
    <row r="58" ht="34" customHeight="1" s="270">
      <c r="A58" s="368" t="inlineStr">
        <is>
          <t>Habiba</t>
        </is>
      </c>
      <c r="B58" s="368" t="inlineStr">
        <is>
          <t>https://doi.org/10.1186/s41235-020-00240-7</t>
        </is>
      </c>
      <c r="C58" s="369" t="inlineStr">
        <is>
          <t>Multisensory inclusive design with sensory
substitution</t>
        </is>
      </c>
      <c r="D58" s="368" t="n">
        <v>2020</v>
      </c>
      <c r="E58" s="368" t="inlineStr">
        <is>
          <t>Springer Nature</t>
        </is>
      </c>
      <c r="F58" s="369" t="inlineStr">
        <is>
          <t>https://link.springer.com/article/10.1186/s41235-020-00240-7</t>
        </is>
      </c>
      <c r="G58" s="369" t="inlineStr">
        <is>
          <t>RGB Camera, Raspberry Pi &amp; ESP32, Vibrotactile (ERM/LRA), Classical CV &amp; Feature Extraction, Vibrotactile (ERM/LRA)</t>
        </is>
      </c>
      <c r="H58" s="377" t="inlineStr">
        <is>
          <t>Excluded</t>
        </is>
      </c>
      <c r="I58" s="369" t="inlineStr">
        <is>
          <t>Review not a reasearch paper</t>
        </is>
      </c>
      <c r="J58" s="369" t="inlineStr">
        <is>
          <t>Limited environmental awareness for visually impaired individuals; high cognitive load from unsimplified sensory streams; lack of intuitive distance perception.</t>
        </is>
      </c>
      <c r="K58" s="369" t="inlineStr">
        <is>
          <t>8x8 (64) Vibrotactile (ERM/LRA) display placed on Abdomen / Waist Belt using Classical CV &amp; Feature Extraction.</t>
        </is>
      </c>
      <c r="L58" s="371" t="inlineStr">
        <is>
          <t>Tactile &amp; Sensory Substitution Systems (TSSS)</t>
        </is>
      </c>
      <c r="M58" s="372" t="inlineStr">
        <is>
          <t>Tactile-Actuation, Depth-Sensing, Human-Factors-Usability, Wearable-Embedded</t>
        </is>
      </c>
      <c r="N58" s="368" t="inlineStr">
        <is>
          <t>Original assignment for Habiba (Row 58)</t>
        </is>
      </c>
      <c r="O58" s="368" t="inlineStr">
        <is>
          <t>Screened / Excluded</t>
        </is>
      </c>
      <c r="P58" s="373" t="inlineStr">
        <is>
          <t>REF-056</t>
        </is>
      </c>
    </row>
    <row r="59" ht="34" customHeight="1" s="270">
      <c r="A59" s="374" t="inlineStr">
        <is>
          <t>Habiba</t>
        </is>
      </c>
      <c r="B59" s="374" t="inlineStr">
        <is>
          <t>https://doi.org/10.1177/1460458222111260</t>
        </is>
      </c>
      <c r="C59" s="375" t="inlineStr">
        <is>
          <t>Multi-obstacle aware smart
navigation system for visually
impaired people in fog connected
IoT-cloud environment</t>
        </is>
      </c>
      <c r="D59" s="374" t="n">
        <v>2022</v>
      </c>
      <c r="E59" s="374" t="inlineStr">
        <is>
          <t>Sage</t>
        </is>
      </c>
      <c r="F59" s="375" t="inlineStr">
        <is>
          <t>https://journals.sagepub.com/doi/10.1177/14604582221112609</t>
        </is>
      </c>
      <c r="G59" s="375" t="inlineStr">
        <is>
          <t>X</t>
        </is>
      </c>
      <c r="H59" s="377" t="inlineStr">
        <is>
          <t>Excluded</t>
        </is>
      </c>
      <c r="I59" s="375" t="inlineStr">
        <is>
          <t>This paper is excluded because it does not meet the required publisher criteria.</t>
        </is>
      </c>
      <c r="J59" s="375" t="inlineStr">
        <is>
          <t>X</t>
        </is>
      </c>
      <c r="K59" s="375" t="inlineStr">
        <is>
          <t>X</t>
        </is>
      </c>
      <c r="L59" s="371" t="inlineStr">
        <is>
          <t>Ground Segmentation &amp; Safe Path Navigation (GS-PN)</t>
        </is>
      </c>
      <c r="M59" s="372" t="inlineStr">
        <is>
          <t>Corridor-Navigation</t>
        </is>
      </c>
      <c r="N59" s="374" t="inlineStr">
        <is>
          <t>Original assignment for Habiba (Row 59)</t>
        </is>
      </c>
      <c r="O59" s="374" t="inlineStr">
        <is>
          <t>Screened / Excluded</t>
        </is>
      </c>
      <c r="P59" s="376" t="inlineStr">
        <is>
          <t>REF-057</t>
        </is>
      </c>
    </row>
    <row r="60" ht="34" customHeight="1" s="270">
      <c r="A60" s="368" t="inlineStr">
        <is>
          <t>Habiba</t>
        </is>
      </c>
      <c r="B60" s="368" t="inlineStr">
        <is>
          <t>https://doi.org/10.1080/17483107.2025.2463541</t>
        </is>
      </c>
      <c r="C60" s="369" t="inlineStr">
        <is>
          <t>Multi-faceted sensory substitution using wearable
technology for curb alerting: a pilot investigation
with persons with blindness and low vision</t>
        </is>
      </c>
      <c r="D60" s="368" t="n">
        <v>2025</v>
      </c>
      <c r="E60" s="368" t="inlineStr">
        <is>
          <t>Taylor &amp; Francis</t>
        </is>
      </c>
      <c r="F60" s="369" t="inlineStr">
        <is>
          <t>https://www.tandfonline.com/doi/full/10.1080/17483107.2025.2463541</t>
        </is>
      </c>
      <c r="G60" s="369" t="inlineStr">
        <is>
          <t>X</t>
        </is>
      </c>
      <c r="H60" s="377" t="inlineStr">
        <is>
          <t>Excluded</t>
        </is>
      </c>
      <c r="I60" s="369" t="inlineStr">
        <is>
          <t>This paper is excluded because it does not meet the required publisher criteria.</t>
        </is>
      </c>
      <c r="J60" s="369" t="inlineStr">
        <is>
          <t>X</t>
        </is>
      </c>
      <c r="K60" s="369" t="inlineStr">
        <is>
          <t>X</t>
        </is>
      </c>
      <c r="L60" s="371" t="inlineStr">
        <is>
          <t>Tactile &amp; Sensory Substitution Systems (TSSS)</t>
        </is>
      </c>
      <c r="M60" s="372" t="inlineStr">
        <is>
          <t>Tactile-Actuation, Corridor-Navigation, Human-Factors-Usability, Wearable-Embedded</t>
        </is>
      </c>
      <c r="N60" s="368" t="inlineStr">
        <is>
          <t>Original assignment for Habiba (Row 60)</t>
        </is>
      </c>
      <c r="O60" s="368" t="inlineStr">
        <is>
          <t>Screened / Excluded</t>
        </is>
      </c>
      <c r="P60" s="373" t="inlineStr">
        <is>
          <t>REF-058</t>
        </is>
      </c>
    </row>
    <row r="61" ht="34" customHeight="1" s="270">
      <c r="A61" s="374" t="inlineStr">
        <is>
          <t>Habiba</t>
        </is>
      </c>
      <c r="B61" s="374" t="inlineStr">
        <is>
          <t>https://dx.doi.org/10.1109/ACCESS.2024.3419102</t>
        </is>
      </c>
      <c r="C61" s="375" t="inlineStr">
        <is>
          <t>Impact of Device and Environment on
Visual-Auditory Sensory Substitution:
A Comprehensive Behavioral
Analysis Using the vOICe
Algorithm</t>
        </is>
      </c>
      <c r="D61" s="374" t="n">
        <v>2024</v>
      </c>
      <c r="E61" s="374" t="inlineStr">
        <is>
          <t>IEEE</t>
        </is>
      </c>
      <c r="F61" s="375" t="inlineStr">
        <is>
          <t>https://ieeexplore.ieee.org/document/10571914/</t>
        </is>
      </c>
      <c r="G61" s="375" t="inlineStr">
        <is>
          <t>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t>
        </is>
      </c>
      <c r="H61" s="370" t="inlineStr">
        <is>
          <t>Included</t>
        </is>
      </c>
      <c r="I61" s="375" t="inlineStr">
        <is>
          <t>related to sensor substitution</t>
        </is>
      </c>
      <c r="J61" s="375"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375"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c r="L61" s="371" t="inlineStr">
        <is>
          <t>Tactile &amp; Sensory Substitution Systems (TSSS)</t>
        </is>
      </c>
      <c r="M61" s="372" t="inlineStr">
        <is>
          <t>Tactile-Actuation, Human-Factors-Usability, Wearable-Embedded</t>
        </is>
      </c>
      <c r="N61" s="374" t="inlineStr">
        <is>
          <t>Original assignment for Habiba (Row 61)</t>
        </is>
      </c>
      <c r="O61" s="374" t="inlineStr">
        <is>
          <t>Primary SLR Target</t>
        </is>
      </c>
      <c r="P61" s="376" t="inlineStr">
        <is>
          <t>REF-059</t>
        </is>
      </c>
    </row>
    <row r="62" ht="34" customHeight="1" s="270">
      <c r="A62" s="368" t="inlineStr">
        <is>
          <t>Hend</t>
        </is>
      </c>
      <c r="B62" s="368" t="inlineStr">
        <is>
          <t>10.1016/j.neubiorev.2007.05.010</t>
        </is>
      </c>
      <c r="C62" s="369" t="inlineStr">
        <is>
          <t>What neuroimaging tells us about sensory substitution</t>
        </is>
      </c>
      <c r="D62" s="368" t="n">
        <v>2007</v>
      </c>
      <c r="E62" s="368" t="inlineStr">
        <is>
          <t>Elsevier</t>
        </is>
      </c>
      <c r="F62" s="369" t="inlineStr">
        <is>
          <t>https://www.sciencedirect.com/science/article/abs/pii/S0149763407000668?via%3Dihub</t>
        </is>
      </c>
      <c r="G62" s="369" t="inlineStr">
        <is>
          <t>RGB Camera, Raspberry Pi &amp; ESP32, Vibrotactile (ERM/LRA), Classical CV &amp; Feature Extraction, Vibrotactile (ERM/LRA)</t>
        </is>
      </c>
      <c r="H62" s="377" t="inlineStr">
        <is>
          <t>Excluded</t>
        </is>
      </c>
      <c r="I62" s="369" t="inlineStr">
        <is>
          <t>Reviews neuroimaging of visual-to-tactile/auditory sensory substitution in blind and blindfolded sighted subjects; underpins neural basis of substitution learning.</t>
        </is>
      </c>
      <c r="J62" s="369" t="inlineStr">
        <is>
          <t>Limited environmental awareness for visually impaired individuals; high cognitive load from unsimplified sensory streams; lack of intuitive distance perception.</t>
        </is>
      </c>
      <c r="K62" s="369" t="inlineStr">
        <is>
          <t>8x8 (64) Vibrotactile (ERM/LRA) display placed on Torso / Vest using Classical CV &amp; Feature Extraction.</t>
        </is>
      </c>
      <c r="L62" s="371" t="inlineStr">
        <is>
          <t>Tactile &amp; Sensory Substitution Systems (TSSS)</t>
        </is>
      </c>
      <c r="M62" s="372" t="inlineStr">
        <is>
          <t>Tactile-Actuation, Depth-Sensing, Human-Factors-Usability, Wearable-Embedded</t>
        </is>
      </c>
      <c r="N62" s="368" t="inlineStr">
        <is>
          <t>Original assignment for Hend (Row 62)</t>
        </is>
      </c>
      <c r="O62" s="368" t="inlineStr">
        <is>
          <t>Screened / Excluded</t>
        </is>
      </c>
      <c r="P62" s="373" t="inlineStr">
        <is>
          <t>REF-060</t>
        </is>
      </c>
    </row>
    <row r="63" ht="34" customHeight="1" s="270">
      <c r="A63" s="374" t="inlineStr">
        <is>
          <t>Hend</t>
        </is>
      </c>
      <c r="B63" s="374" t="inlineStr">
        <is>
          <t>10.1109/TCE.2024.3366763</t>
        </is>
      </c>
      <c r="C63" s="375" t="inlineStr">
        <is>
          <t>ODD-M3D: Object-Wise Dense Depth Estimation
for Monocular 3-D Object Detection</t>
        </is>
      </c>
      <c r="D63" s="374" t="n">
        <v>2024</v>
      </c>
      <c r="E63" s="374" t="inlineStr">
        <is>
          <t>IEEE</t>
        </is>
      </c>
      <c r="F63" s="375" t="inlineStr">
        <is>
          <t>https://ieeexplore.ieee.org/document/10438849</t>
        </is>
      </c>
      <c r="G63" s="375" t="inlineStr">
        <is>
          <t>we create a sampling space and obtain the ground truth by moving them from the sampling space to the object space</t>
        </is>
      </c>
      <c r="H63" s="370" t="inlineStr">
        <is>
          <t>Included</t>
        </is>
      </c>
      <c r="I63" s="375" t="inlineStr">
        <is>
          <t>Depth Estimation for Monocular 3-D Object Detection</t>
        </is>
      </c>
      <c r="J63" s="375" t="inlineStr">
        <is>
          <t>estimating depth from a single 2D image remains challenging due to the typical ill-posed nature of the problem</t>
        </is>
      </c>
      <c r="K63" s="375" t="inlineStr">
        <is>
          <t xml:space="preserve">we propose a new method that improves depth estimation accuracy by randomly sampling object-wise points instead of relying on a single center point, </t>
        </is>
      </c>
      <c r="L63" s="371" t="inlineStr">
        <is>
          <t>Edge Computer Vision &amp; 3D Spatial Perception (CV-3D)</t>
        </is>
      </c>
      <c r="M63" s="372" t="inlineStr">
        <is>
          <t>Depth-Sensing, AI-Object-Detection, Corridor-Navigation</t>
        </is>
      </c>
      <c r="N63" s="374" t="inlineStr">
        <is>
          <t>Original assignment for Hend (Row 63)</t>
        </is>
      </c>
      <c r="O63" s="374" t="inlineStr">
        <is>
          <t>Primary SLR Target</t>
        </is>
      </c>
      <c r="P63" s="376" t="inlineStr">
        <is>
          <t>REF-061</t>
        </is>
      </c>
    </row>
    <row r="64" ht="34" customHeight="1" s="270">
      <c r="A64" s="368" t="inlineStr">
        <is>
          <t>Hend</t>
        </is>
      </c>
      <c r="B64" s="368" t="inlineStr">
        <is>
          <t>10.1177/20556683251316305</t>
        </is>
      </c>
      <c r="C64" s="369" t="inlineStr">
        <is>
          <t>The development of a wearable goggle
echolocation device to support people who
are visually impaired with unhindered and
unaided movement</t>
        </is>
      </c>
      <c r="D64" s="368" t="n">
        <v>2025</v>
      </c>
      <c r="E64" s="368" t="inlineStr">
        <is>
          <t>Sage</t>
        </is>
      </c>
      <c r="F64" s="369" t="inlineStr">
        <is>
          <t>https://journals.sagepub.com/doi/10.1177/20556683251316305</t>
        </is>
      </c>
      <c r="G64" s="369" t="inlineStr">
        <is>
          <t>The wearable echolocation device was developed using three ultrasonic sensors, one placed in the right, left, and middle of the goggle with each connected to a buzzer</t>
        </is>
      </c>
      <c r="H64" s="370" t="inlineStr">
        <is>
          <t>Included</t>
        </is>
      </c>
      <c r="I64" s="369" t="inlineStr">
        <is>
          <t>Low-cost wearable goggle with three ultrasonic sensors and audio cues plus audible compass for VI obstacle avoidance; tested with VI/blind users.</t>
        </is>
      </c>
      <c r="J64" s="369" t="inlineStr">
        <is>
          <t>Cannot detect drop-offs such as gutters or valleys; soft fabrics and foams distort ultrasonic ranging; small sample; goggle fabrication not described.</t>
        </is>
      </c>
      <c r="K64" s="369" t="inlineStr">
        <is>
          <t>Community-engaged design; three HC-SR04 ultrasonic sensors (left/centre/right) on a VR goggle shell, Arduino Nano, ISD voice chip playing 8 recorded sounds, HMC5883L audible compass; five indoor tasks repeated 10 times by VI participants.</t>
        </is>
      </c>
      <c r="L64" s="371" t="inlineStr">
        <is>
          <t>Ground Segmentation &amp; Safe Path Navigation (GS-PN)</t>
        </is>
      </c>
      <c r="M64" s="372" t="inlineStr">
        <is>
          <t>Depth-Sensing, Corridor-Navigation, Human-Factors-Usability, Wearable-Embedded</t>
        </is>
      </c>
      <c r="N64" s="368" t="inlineStr">
        <is>
          <t>Original assignment for Hend (Row 64)</t>
        </is>
      </c>
      <c r="O64" s="368" t="inlineStr">
        <is>
          <t>Primary SLR Target</t>
        </is>
      </c>
      <c r="P64" s="373" t="inlineStr">
        <is>
          <t>REF-062</t>
        </is>
      </c>
    </row>
    <row r="65" ht="34" customHeight="1" s="270">
      <c r="A65" s="374" t="inlineStr">
        <is>
          <t>Hend</t>
        </is>
      </c>
      <c r="B65" s="374" t="inlineStr">
        <is>
          <t>N/A</t>
        </is>
      </c>
      <c r="C65" s="375" t="inlineStr">
        <is>
          <t>EMPOWERING VISUALLY IMPAIRED INDIVIDUALS WITH HOLISTIC
ASSISTANCE USING REAL-TIME SPATIAL AWARENESS SYSTEM</t>
        </is>
      </c>
      <c r="D65" s="374" t="n">
        <v>2024</v>
      </c>
      <c r="E65" s="380" t="n">
        <v>2024</v>
      </c>
      <c r="F65" s="375" t="inlineStr">
        <is>
          <t>N/A</t>
        </is>
      </c>
      <c r="G65" s="375" t="inlineStr">
        <is>
          <t>Jetson Orin Nano</t>
        </is>
      </c>
      <c r="H65" s="377" t="inlineStr">
        <is>
          <t>Excluded</t>
        </is>
      </c>
      <c r="I65" s="375" t="inlineStr">
        <is>
          <t>unknown</t>
        </is>
      </c>
      <c r="J65" s="375" t="inlineStr">
        <is>
          <t>NR (results and conclusion chapters not included in the 24-page excerpt)</t>
        </is>
      </c>
      <c r="K65" s="375" t="inlineStr">
        <is>
          <t>Layered architecture: ArUco markers for place recognition and node-map path planning, YOLOv8 detection/tracking, depth-based object localisation and obstacle avoidance, TTS/STT interface; evaluated in environments simulating real-world scenarios.</t>
        </is>
      </c>
      <c r="L65" s="371" t="inlineStr">
        <is>
          <t>Edge Computer Vision &amp; 3D Spatial Perception (CV-3D)</t>
        </is>
      </c>
      <c r="M65" s="372" t="inlineStr">
        <is>
          <t>Depth-Sensing, AI-Object-Detection, Corridor-Navigation, Human-Factors-Usability, Wearable-Embedded</t>
        </is>
      </c>
      <c r="N65" s="374" t="inlineStr">
        <is>
          <t>Original assignment for Hend (Row 65)</t>
        </is>
      </c>
      <c r="O65" s="374" t="inlineStr">
        <is>
          <t>Screened / Excluded</t>
        </is>
      </c>
      <c r="P65" s="376" t="inlineStr">
        <is>
          <t>REF-063</t>
        </is>
      </c>
    </row>
    <row r="66" ht="34" customHeight="1" s="270">
      <c r="A66" s="368" t="inlineStr">
        <is>
          <t>Hend</t>
        </is>
      </c>
      <c r="B66" s="368" t="inlineStr">
        <is>
          <t>N/A</t>
        </is>
      </c>
      <c r="C66" s="369" t="inlineStr">
        <is>
          <t>Computer Vision for Assistive Technologies: Enhancing
Environmental Perception for the Visually Impaired</t>
        </is>
      </c>
      <c r="D66" s="368" t="inlineStr">
        <is>
          <t>45778</t>
        </is>
      </c>
      <c r="E66" s="368" t="inlineStr">
        <is>
          <t>New York University (ProQuest)</t>
        </is>
      </c>
      <c r="F66" s="369" t="inlineStr">
        <is>
          <t>N/A</t>
        </is>
      </c>
      <c r="G66" s="369" t="inlineStr">
        <is>
          <t>Nvidia Jetson Xavier NX (backpack); ESP32S3 + smartphone for ChatMap</t>
        </is>
      </c>
      <c r="H66" s="377" t="inlineStr">
        <is>
          <t>Excluded</t>
        </is>
      </c>
      <c r="I66" s="369" t="inlineStr">
        <is>
          <t>unknown</t>
        </is>
      </c>
      <c r="J66" s="369" t="inlineStr">
        <is>
          <t>NR (limitations sections not included in the 24-page excerpt)</t>
        </is>
      </c>
      <c r="K66" s="369" t="inlineStr">
        <is>
          <t>Monocular wearable system with resolution-adaptive YOLO and trajectory estimation; vision-language models anchored in scene graphs; CORA and EMBOSR robotic reasoning models; evaluated on KITTI, Visual7W, LVSQA, SQA3D and own datasets.</t>
        </is>
      </c>
      <c r="L66" s="371" t="inlineStr">
        <is>
          <t>Edge Computer Vision &amp; 3D Spatial Perception (CV-3D)</t>
        </is>
      </c>
      <c r="M66" s="372" t="inlineStr">
        <is>
          <t>AI-Object-Detection, Human-Factors-Usability, Wearable-Embedded</t>
        </is>
      </c>
      <c r="N66" s="368" t="inlineStr">
        <is>
          <t>Original assignment for Hend (Row 66)</t>
        </is>
      </c>
      <c r="O66" s="368" t="inlineStr">
        <is>
          <t>Screened / Excluded</t>
        </is>
      </c>
      <c r="P66" s="373" t="inlineStr">
        <is>
          <t>REF-064</t>
        </is>
      </c>
    </row>
    <row r="67" ht="34" customHeight="1" s="270">
      <c r="A67" s="374" t="inlineStr">
        <is>
          <t>Hend</t>
        </is>
      </c>
      <c r="B67" s="374" t="inlineStr">
        <is>
          <t>https://doi.org/10.1016/j.heliyon.2024.e31825</t>
        </is>
      </c>
      <c r="C67" s="375" t="inlineStr">
        <is>
          <t>A comprehensive review of navigation systems for visually
impaired individuals</t>
        </is>
      </c>
      <c r="D67" s="374" t="n">
        <v>2024</v>
      </c>
      <c r="E67" s="374" t="inlineStr">
        <is>
          <t>heliyon</t>
        </is>
      </c>
      <c r="F67" s="375" t="inlineStr">
        <is>
          <t>https://www.cell.com/heliyon/fulltext/S2405-8440(24)07856-3?_returnURL=https%3A%2F%2Flinkinghub.elsevier.com%2Fretrieve%2Fpii%2FS2405844024078563%3Fshowall%3Dtrue</t>
        </is>
      </c>
      <c r="G67" s="375" t="inlineStr">
        <is>
          <t>RGB Camera, Raspberry Pi &amp; ESP32, Vibrotactile (ERM/LRA), Visual SLAM &amp; Tracking, Vibrotactile (ERM/LRA)</t>
        </is>
      </c>
      <c r="H67" s="377" t="inlineStr">
        <is>
          <t>Excluded</t>
        </is>
      </c>
      <c r="I67" s="375" t="inlineStr">
        <is>
          <t>unknown</t>
        </is>
      </c>
      <c r="J67" s="375" t="inlineStr">
        <is>
          <t>Limited environmental awareness for visually impaired individuals; high cognitive load from unsimplified sensory streams; lack of intuitive distance perception.</t>
        </is>
      </c>
      <c r="K67" s="375" t="inlineStr">
        <is>
          <t>8x8 (64) Vibrotactile (ERM/LRA) display placed on Torso / Vest using Visual SLAM &amp; Tracking.</t>
        </is>
      </c>
      <c r="L67" s="371" t="inlineStr">
        <is>
          <t>Tactile &amp; Sensory Substitution Systems (TSSS)</t>
        </is>
      </c>
      <c r="M67" s="372" t="inlineStr">
        <is>
          <t>Tactile-Actuation, Depth-Sensing, Corridor-Navigation, Human-Factors-Usability, Wearable-Embedded</t>
        </is>
      </c>
      <c r="N67" s="374" t="inlineStr">
        <is>
          <t>Original assignment for Hend (Row 67)</t>
        </is>
      </c>
      <c r="O67" s="374" t="inlineStr">
        <is>
          <t>Screened / Excluded</t>
        </is>
      </c>
      <c r="P67" s="376" t="inlineStr">
        <is>
          <t>REF-065</t>
        </is>
      </c>
    </row>
    <row r="68" ht="34" customHeight="1" s="270">
      <c r="A68" s="368" t="inlineStr">
        <is>
          <t>Hend</t>
        </is>
      </c>
      <c r="B68" s="368" t="inlineStr">
        <is>
          <t>1905-07-17 00:00:00</t>
        </is>
      </c>
      <c r="C68" s="369" t="inlineStr">
        <is>
          <t>Recruitment of Occipital Cortex during Sensory
Substitution Training Linked to Subjective Experience of
Seeing in People with Blindness</t>
        </is>
      </c>
      <c r="D68" s="368" t="inlineStr">
        <is>
          <t>40765</t>
        </is>
      </c>
      <c r="E68" s="368" t="inlineStr">
        <is>
          <t>plos one</t>
        </is>
      </c>
      <c r="F68" s="369" t="inlineStr">
        <is>
          <t>https://doi.org/1905-07-17 00:00:00</t>
        </is>
      </c>
      <c r="G68" s="369" t="inlineStr">
        <is>
          <t>Tactile &amp; Sensory Substitution Hardware</t>
        </is>
      </c>
      <c r="H68" s="377" t="inlineStr">
        <is>
          <t>Excluded</t>
        </is>
      </c>
      <c r="I68" s="369" t="inlineStr">
        <is>
          <t>unknown</t>
        </is>
      </c>
      <c r="J68" s="369" t="inlineStr">
        <is>
          <t>Sensory substitution bottlenecks and spatial perception limitations in visual impairment assistance.</t>
        </is>
      </c>
      <c r="K68" s="369" t="inlineStr">
        <is>
          <t>A multi-modal assistive navigation framework translating real-time sensory data into intuitive non-visual guidance.</t>
        </is>
      </c>
      <c r="L68" s="371" t="inlineStr">
        <is>
          <t>Tactile &amp; Sensory Substitution Systems (TSSS)</t>
        </is>
      </c>
      <c r="M68" s="372" t="inlineStr">
        <is>
          <t>Tactile-Actuation, Corridor-Navigation, Human-Factors-Usability</t>
        </is>
      </c>
      <c r="N68" s="368" t="inlineStr">
        <is>
          <t>Original assignment for Hend (Row 68)</t>
        </is>
      </c>
      <c r="O68" s="368" t="inlineStr">
        <is>
          <t>Screened / Excluded</t>
        </is>
      </c>
      <c r="P68" s="373" t="inlineStr">
        <is>
          <t>REF-066</t>
        </is>
      </c>
    </row>
    <row r="69" ht="34" customHeight="1" s="270">
      <c r="A69" s="378" t="inlineStr">
        <is>
          <t>Hend</t>
        </is>
      </c>
      <c r="B69" s="378" t="inlineStr">
        <is>
          <t>N/A</t>
        </is>
      </c>
      <c r="C69" s="379" t="inlineStr">
        <is>
          <t>[Reserved Template Slot / Excluded]</t>
        </is>
      </c>
      <c r="D69" s="378" t="inlineStr">
        <is>
          <t>N/A</t>
        </is>
      </c>
      <c r="E69" s="378" t="inlineStr">
        <is>
          <t>N/A</t>
        </is>
      </c>
      <c r="F69" s="379" t="inlineStr">
        <is>
          <t>N/A</t>
        </is>
      </c>
      <c r="G69" s="379" t="inlineStr">
        <is>
          <t>N/A</t>
        </is>
      </c>
      <c r="H69" s="379" t="inlineStr">
        <is>
          <t>Excluded</t>
        </is>
      </c>
      <c r="I69" s="379" t="inlineStr">
        <is>
          <t>Empty placeholder slot in original allocation template.</t>
        </is>
      </c>
      <c r="J69" s="379" t="inlineStr">
        <is>
          <t>N/A</t>
        </is>
      </c>
      <c r="K69" s="379" t="inlineStr">
        <is>
          <t>N/A</t>
        </is>
      </c>
      <c r="L69" s="379" t="inlineStr">
        <is>
          <t>Excluded (Template Slot)</t>
        </is>
      </c>
      <c r="M69" s="379" t="inlineStr"/>
      <c r="N69" s="378" t="inlineStr">
        <is>
          <t>Reserved slot for Hend (Empty in original)</t>
        </is>
      </c>
      <c r="O69" s="378" t="inlineStr">
        <is>
          <t>Template Slot</t>
        </is>
      </c>
      <c r="P69" s="378" t="inlineStr">
        <is>
          <t>REF-SLOT-069</t>
        </is>
      </c>
    </row>
    <row r="70" ht="34" customHeight="1" s="270">
      <c r="A70" s="378" t="inlineStr">
        <is>
          <t>Hend</t>
        </is>
      </c>
      <c r="B70" s="378" t="inlineStr">
        <is>
          <t>N/A</t>
        </is>
      </c>
      <c r="C70" s="379" t="inlineStr">
        <is>
          <t>[Reserved Template Slot / Excluded]</t>
        </is>
      </c>
      <c r="D70" s="378" t="inlineStr">
        <is>
          <t>N/A</t>
        </is>
      </c>
      <c r="E70" s="378" t="inlineStr">
        <is>
          <t>N/A</t>
        </is>
      </c>
      <c r="F70" s="379" t="inlineStr">
        <is>
          <t>N/A</t>
        </is>
      </c>
      <c r="G70" s="379" t="inlineStr">
        <is>
          <t>N/A</t>
        </is>
      </c>
      <c r="H70" s="379" t="inlineStr">
        <is>
          <t>Excluded</t>
        </is>
      </c>
      <c r="I70" s="379" t="inlineStr">
        <is>
          <t>Empty placeholder slot in original allocation template.</t>
        </is>
      </c>
      <c r="J70" s="379" t="inlineStr">
        <is>
          <t>N/A</t>
        </is>
      </c>
      <c r="K70" s="379" t="inlineStr">
        <is>
          <t>N/A</t>
        </is>
      </c>
      <c r="L70" s="379" t="inlineStr">
        <is>
          <t>Excluded (Template Slot)</t>
        </is>
      </c>
      <c r="M70" s="379" t="inlineStr"/>
      <c r="N70" s="378" t="inlineStr">
        <is>
          <t>Reserved slot for Hend (Empty in original)</t>
        </is>
      </c>
      <c r="O70" s="378" t="inlineStr">
        <is>
          <t>Template Slot</t>
        </is>
      </c>
      <c r="P70" s="378" t="inlineStr">
        <is>
          <t>REF-SLOT-070</t>
        </is>
      </c>
    </row>
    <row r="71" ht="34" customHeight="1" s="270">
      <c r="A71" s="378" t="inlineStr">
        <is>
          <t>Hend</t>
        </is>
      </c>
      <c r="B71" s="378" t="inlineStr">
        <is>
          <t>N/A</t>
        </is>
      </c>
      <c r="C71" s="379" t="inlineStr">
        <is>
          <t>[Reserved Template Slot / Excluded]</t>
        </is>
      </c>
      <c r="D71" s="378" t="inlineStr">
        <is>
          <t>N/A</t>
        </is>
      </c>
      <c r="E71" s="378" t="inlineStr">
        <is>
          <t>N/A</t>
        </is>
      </c>
      <c r="F71" s="379" t="inlineStr">
        <is>
          <t>N/A</t>
        </is>
      </c>
      <c r="G71" s="379" t="inlineStr">
        <is>
          <t>N/A</t>
        </is>
      </c>
      <c r="H71" s="379" t="inlineStr">
        <is>
          <t>Excluded</t>
        </is>
      </c>
      <c r="I71" s="379" t="inlineStr">
        <is>
          <t>Empty placeholder slot in original allocation template.</t>
        </is>
      </c>
      <c r="J71" s="379" t="inlineStr">
        <is>
          <t>N/A</t>
        </is>
      </c>
      <c r="K71" s="379" t="inlineStr">
        <is>
          <t>N/A</t>
        </is>
      </c>
      <c r="L71" s="379" t="inlineStr">
        <is>
          <t>Excluded (Template Slot)</t>
        </is>
      </c>
      <c r="M71" s="379" t="inlineStr"/>
      <c r="N71" s="378" t="inlineStr">
        <is>
          <t>Reserved slot for Hend (Empty in original)</t>
        </is>
      </c>
      <c r="O71" s="378" t="inlineStr">
        <is>
          <t>Template Slot</t>
        </is>
      </c>
      <c r="P71" s="378" t="inlineStr">
        <is>
          <t>REF-SLOT-071</t>
        </is>
      </c>
    </row>
    <row r="72" ht="34" customHeight="1" s="270">
      <c r="A72" s="378" t="inlineStr">
        <is>
          <t>Hend</t>
        </is>
      </c>
      <c r="B72" s="378" t="inlineStr">
        <is>
          <t>N/A</t>
        </is>
      </c>
      <c r="C72" s="379" t="inlineStr">
        <is>
          <t>[Reserved Template Slot / Excluded]</t>
        </is>
      </c>
      <c r="D72" s="378" t="inlineStr">
        <is>
          <t>N/A</t>
        </is>
      </c>
      <c r="E72" s="378" t="inlineStr">
        <is>
          <t>N/A</t>
        </is>
      </c>
      <c r="F72" s="379" t="inlineStr">
        <is>
          <t>N/A</t>
        </is>
      </c>
      <c r="G72" s="379" t="inlineStr">
        <is>
          <t>N/A</t>
        </is>
      </c>
      <c r="H72" s="379" t="inlineStr">
        <is>
          <t>Excluded</t>
        </is>
      </c>
      <c r="I72" s="379" t="inlineStr">
        <is>
          <t>Empty placeholder slot in original allocation template.</t>
        </is>
      </c>
      <c r="J72" s="379" t="inlineStr">
        <is>
          <t>N/A</t>
        </is>
      </c>
      <c r="K72" s="379" t="inlineStr">
        <is>
          <t>N/A</t>
        </is>
      </c>
      <c r="L72" s="379" t="inlineStr">
        <is>
          <t>Excluded (Template Slot)</t>
        </is>
      </c>
      <c r="M72" s="379" t="inlineStr"/>
      <c r="N72" s="378" t="inlineStr">
        <is>
          <t>Reserved slot for Hend (Empty in original)</t>
        </is>
      </c>
      <c r="O72" s="378" t="inlineStr">
        <is>
          <t>Template Slot</t>
        </is>
      </c>
      <c r="P72" s="378" t="inlineStr">
        <is>
          <t>REF-SLOT-072</t>
        </is>
      </c>
    </row>
    <row r="73" ht="34" customHeight="1" s="270">
      <c r="A73" s="374" t="inlineStr">
        <is>
          <t>Hend</t>
        </is>
      </c>
      <c r="B73" s="374" t="inlineStr">
        <is>
          <t>10.1007/s12559-026-10547-0</t>
        </is>
      </c>
      <c r="C73" s="375" t="inlineStr">
        <is>
          <t>Multi-modal Zebra Crossing Detection Framework for Visually
Impaired Navigation</t>
        </is>
      </c>
      <c r="D73" s="374" t="n">
        <v>2026</v>
      </c>
      <c r="E73" s="374" t="inlineStr">
        <is>
          <t xml:space="preserve">Springer </t>
        </is>
      </c>
      <c r="F73" s="375" t="inlineStr">
        <is>
          <t>https://link.springer.com/article/10.1007/s12559-026-10547-0</t>
        </is>
      </c>
      <c r="G73" s="375" t="inlineStr">
        <is>
          <t>YOLOv11 - Hough Line Transform (HLT) - Haze U-Net + LeNet-MFCN - CNN + Cross-Attention - Text-to-Speech (TTS)</t>
        </is>
      </c>
      <c r="H73" s="370" t="inlineStr">
        <is>
          <t>Included</t>
        </is>
      </c>
      <c r="I73" s="375" t="inlineStr">
        <is>
          <t>The AI-powered navigation system detects pedestrian crossings, traffic signals, and obstacles, assisting the blind and visually impaired.
 This is linked to the "Super Brain" initiative, which focuses on technologies that ensure highly safe navigation.</t>
        </is>
      </c>
      <c r="J73" s="375" t="inlineStr">
        <is>
          <t>Blind individuals face challenges such as the high cost of assistive technologies, 
limited datasets, overfitting, and poor detection in low-light conditions, fog, and complex traffic situations.</t>
        </is>
      </c>
      <c r="K73" s="375" t="inlineStr">
        <is>
          <t>MZCDFVIN + YOLOv11 + HLT + CNN + Haze U-Net + LeNet + SROA for real-time detection and navigation assistance.</t>
        </is>
      </c>
      <c r="L73" s="371" t="inlineStr">
        <is>
          <t>Ground Segmentation &amp; Safe Path Navigation (GS-PN)</t>
        </is>
      </c>
      <c r="M73" s="372" t="inlineStr">
        <is>
          <t>AI-Object-Detection, Corridor-Navigation, Human-Factors-Usability</t>
        </is>
      </c>
      <c r="N73" s="374" t="inlineStr">
        <is>
          <t>Original assignment for Hend (Row 73)</t>
        </is>
      </c>
      <c r="O73" s="374" t="inlineStr">
        <is>
          <t>Primary SLR Target</t>
        </is>
      </c>
      <c r="P73" s="376" t="inlineStr">
        <is>
          <t>REF-067</t>
        </is>
      </c>
    </row>
    <row r="74" ht="34" customHeight="1" s="270">
      <c r="A74" s="368" t="inlineStr">
        <is>
          <t>Mostafa</t>
        </is>
      </c>
      <c r="B74" s="368" t="inlineStr">
        <is>
          <t>10.1007/s12193-025-00463-2</t>
        </is>
      </c>
      <c r="C74" s="369" t="inlineStr">
        <is>
          <t>Haptic and auditory cues: a study on independent navigation for visually impaired individuals</t>
        </is>
      </c>
      <c r="D74" s="368" t="n">
        <v>2025</v>
      </c>
      <c r="E74" s="368" t="inlineStr">
        <is>
          <t>Springer</t>
        </is>
      </c>
      <c r="F74" s="369" t="inlineStr">
        <is>
          <t>https://link.springer.com/article/10.1007/s12193-025-00463-2</t>
        </is>
      </c>
      <c r="G74" s="369" t="inlineStr">
        <is>
          <t>Intel RealSense D435i stereo vision camera - Depth-map processing &amp; obstacle detection - Odroid-N2 single-board computer - Wearable haptic belt with - 22 vibrating actuators - Auditory feedback / speakers - Bluetooth</t>
        </is>
      </c>
      <c r="H74" s="370" t="inlineStr">
        <is>
          <t>Included</t>
        </is>
      </c>
      <c r="I74" s="369"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369" t="inlineStr">
        <is>
          <t>Current assistive navigation systems struggle to convert visual information into tactile or auditory information in a way that is easy to understand.</t>
        </is>
      </c>
      <c r="K74" s="369" t="inlineStr">
        <is>
          <t>Stereo vision + depth processing + haptic belt + auditory feedback + user-controlled operating modes.</t>
        </is>
      </c>
      <c r="L74" s="371" t="inlineStr">
        <is>
          <t>Tactile &amp; Sensory Substitution Systems (TSSS)</t>
        </is>
      </c>
      <c r="M74" s="372" t="inlineStr">
        <is>
          <t>Tactile-Actuation, Depth-Sensing, Corridor-Navigation, Human-Factors-Usability, Wearable-Embedded</t>
        </is>
      </c>
      <c r="N74" s="368" t="inlineStr">
        <is>
          <t>Original assignment for Mostafa (Row 74)</t>
        </is>
      </c>
      <c r="O74" s="368" t="inlineStr">
        <is>
          <t>Primary SLR Target</t>
        </is>
      </c>
      <c r="P74" s="373" t="inlineStr">
        <is>
          <t>REF-068</t>
        </is>
      </c>
    </row>
    <row r="75" ht="34" customHeight="1" s="270">
      <c r="A75" s="374" t="inlineStr">
        <is>
          <t>Mostafa</t>
        </is>
      </c>
      <c r="B75" s="374" t="inlineStr">
        <is>
          <t>10.1007/s12193-024-00447-8</t>
        </is>
      </c>
      <c r="C75" s="375" t="inlineStr">
        <is>
          <t>The effects of haptic, visual and olfactory augmentations on food consumed while wearing an extended reality headset</t>
        </is>
      </c>
      <c r="D75" s="374" t="n">
        <v>2024</v>
      </c>
      <c r="E75" s="374" t="inlineStr">
        <is>
          <t>Springer</t>
        </is>
      </c>
      <c r="F75" s="375" t="inlineStr">
        <is>
          <t>https://link.springer.com/article/10.1007/s12193-024-00447-8</t>
        </is>
      </c>
      <c r="G75" s="375" t="inlineStr">
        <is>
          <t xml:space="preserve">Varjo XR-3 extended reality headset - QR-code tracking cube - Electromagnetic actuators - Arduino control system - Olfactory necklace display - Air compressor + odor bottles </t>
        </is>
      </c>
      <c r="H75" s="370" t="inlineStr">
        <is>
          <t>Included</t>
        </is>
      </c>
      <c r="I75" s="375" t="inlineStr">
        <is>
          <t>Paper employs haptic, visual, and olfactory feedback delivered via an extended reality headset to alter how people perceive food. 
this is linked to the Super Brain concept, as it utilizes sensory-based technology to modify human sensory perception.</t>
        </is>
      </c>
      <c r="J75" s="375" t="inlineStr">
        <is>
          <t>Plant-based foods can be healthier and more sustainable, but they may not provide the same pleasant eating experience people expect from conventional foods.</t>
        </is>
      </c>
      <c r="K75" s="375" t="inlineStr">
        <is>
          <t>A multisensory XR system combining visual + haptic + olfactory augmentation.</t>
        </is>
      </c>
      <c r="L75" s="371" t="inlineStr">
        <is>
          <t>Tactile &amp; Sensory Substitution Systems (TSSS)</t>
        </is>
      </c>
      <c r="M75" s="372" t="inlineStr">
        <is>
          <t>Tactile-Actuation, Human-Factors-Usability, Wearable-Embedded</t>
        </is>
      </c>
      <c r="N75" s="374" t="inlineStr">
        <is>
          <t>Original assignment for Mostafa (Row 75)</t>
        </is>
      </c>
      <c r="O75" s="374" t="inlineStr">
        <is>
          <t>Primary SLR Target</t>
        </is>
      </c>
      <c r="P75" s="376" t="inlineStr">
        <is>
          <t>REF-069</t>
        </is>
      </c>
    </row>
    <row r="76" ht="34" customHeight="1" s="270">
      <c r="A76" s="368" t="inlineStr">
        <is>
          <t>Mostafa</t>
        </is>
      </c>
      <c r="B76" s="368" t="inlineStr">
        <is>
          <t>10.1007/s12193-023-00427-4</t>
        </is>
      </c>
      <c r="C76" s="369" t="inlineStr">
        <is>
          <t>Review of substitutive assistive tools and 
technologies for people with visual impairments:
 recent advancements and prospects</t>
        </is>
      </c>
      <c r="D76" s="368" t="n">
        <v>2023</v>
      </c>
      <c r="E76" s="368" t="inlineStr">
        <is>
          <t>Springer</t>
        </is>
      </c>
      <c r="F76" s="369" t="inlineStr">
        <is>
          <t>https://link.springer.com/article/10.1007/s12193-023-00427-4</t>
        </is>
      </c>
      <c r="G76" s="369" t="inlineStr">
        <is>
          <t xml:space="preserve">Electronic Travel Aids (ETAs) - Sensory substitution devices - Computer vision systems - 
Wearable haptic devices - Audio-based navigation systems - AI and machine learning </t>
        </is>
      </c>
      <c r="H76" s="370" t="inlineStr">
        <is>
          <t>Included</t>
        </is>
      </c>
      <c r="I76" s="369"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369" t="inlineStr">
        <is>
          <t>There are various technologies designed primarily to assist visually impaired individuals with their work, but they suffer from issues regarding ease of use and ease of learning.</t>
        </is>
      </c>
      <c r="K76" s="369" t="inlineStr">
        <is>
          <t>User-centered + multimodal assistive technology, with visually impaired users involved throughout design and testing.</t>
        </is>
      </c>
      <c r="L76" s="371" t="inlineStr">
        <is>
          <t>Tactile &amp; Sensory Substitution Systems (TSSS)</t>
        </is>
      </c>
      <c r="M76" s="372" t="inlineStr">
        <is>
          <t>Tactile-Actuation, AI-Object-Detection, Corridor-Navigation, Human-Factors-Usability, Wearable-Embedded</t>
        </is>
      </c>
      <c r="N76" s="368" t="inlineStr">
        <is>
          <t>Original assignment for Mostafa (Row 76)</t>
        </is>
      </c>
      <c r="O76" s="368" t="inlineStr">
        <is>
          <t>Primary SLR Target</t>
        </is>
      </c>
      <c r="P76" s="373" t="inlineStr">
        <is>
          <t>REF-070</t>
        </is>
      </c>
    </row>
    <row r="77" ht="34" customHeight="1" s="270">
      <c r="A77" s="374" t="inlineStr">
        <is>
          <t>Mostafa</t>
        </is>
      </c>
      <c r="B77" s="374" t="inlineStr">
        <is>
          <t>10.1007/s12193-021-00376-w</t>
        </is>
      </c>
      <c r="C77" s="375" t="inlineStr">
        <is>
          <t>SoundSight: a mobile sensory substitution device that sonifies colour, distance, and temperature</t>
        </is>
      </c>
      <c r="D77" s="374" t="n">
        <v>2021</v>
      </c>
      <c r="E77" s="374" t="inlineStr">
        <is>
          <t xml:space="preserve">Springer </t>
        </is>
      </c>
      <c r="F77" s="375" t="inlineStr">
        <is>
          <t>https://link.springer.com/article/10.1007/s12193-021-00376-w</t>
        </is>
      </c>
      <c r="G77" s="375" t="inlineStr">
        <is>
          <t>Mobile sensory substitution device - Colour sensor - Distance sensor - 
Temperature sensor - Sonification system - Headphones</t>
        </is>
      </c>
      <c r="H77" s="370" t="inlineStr">
        <is>
          <t>Included</t>
        </is>
      </c>
      <c r="I77" s="37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375" t="inlineStr">
        <is>
          <t>It is difficult to rely on current sensory substitution devices in the long term due to their high cost and the difficulty of learning how to use them.</t>
        </is>
      </c>
      <c r="K77" s="375" t="inlineStr">
        <is>
          <t>SoundSight converts visual/depth/thermal information into real-time sounds using a smartphone and different sensors</t>
        </is>
      </c>
      <c r="L77" s="371" t="inlineStr">
        <is>
          <t>Tactile &amp; Sensory Substitution Systems (TSSS)</t>
        </is>
      </c>
      <c r="M77" s="372" t="inlineStr">
        <is>
          <t>Tactile-Actuation, Depth-Sensing, Human-Factors-Usability, Wearable-Embedded</t>
        </is>
      </c>
      <c r="N77" s="374" t="inlineStr">
        <is>
          <t>Original assignment for Mostafa (Row 77)</t>
        </is>
      </c>
      <c r="O77" s="374" t="inlineStr">
        <is>
          <t>Primary SLR Target</t>
        </is>
      </c>
      <c r="P77" s="376" t="inlineStr">
        <is>
          <t>REF-071</t>
        </is>
      </c>
    </row>
    <row r="78" ht="34" customHeight="1" s="270">
      <c r="A78" s="368" t="inlineStr">
        <is>
          <t>Mostafa</t>
        </is>
      </c>
      <c r="B78" s="368" t="inlineStr">
        <is>
          <t>10.1007/s11042-026-21198-6</t>
        </is>
      </c>
      <c r="C78" s="369" t="inlineStr">
        <is>
          <t>BLE and surveillance camera-based navigation system for
visually impaired people</t>
        </is>
      </c>
      <c r="D78" s="368" t="n">
        <v>2026</v>
      </c>
      <c r="E78" s="368" t="inlineStr">
        <is>
          <t>Springer</t>
        </is>
      </c>
      <c r="F78" s="369" t="inlineStr">
        <is>
          <t>https://link.springer.com/article/10.1007/s11042-026-21198-6</t>
        </is>
      </c>
      <c r="G78" s="369" t="inlineStr">
        <is>
          <t xml:space="preserve">BLE (Bluetooth Low Energy) - Surveillance cameras - Computer vision - 
AI-based object/obstacle detection - Navigation system  </t>
        </is>
      </c>
      <c r="H78" s="370" t="inlineStr">
        <is>
          <t>Included</t>
        </is>
      </c>
      <c r="I78" s="369"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369" t="inlineStr">
        <is>
          <t>Limited environmental awareness for visually impaired individuals; high cognitive load from unsimplified sensory streams; lack of intuitive distance perception.</t>
        </is>
      </c>
      <c r="K78" s="369" t="inlineStr">
        <is>
          <t>3x3 Matrix Vibrotactile (ERM/LRA) display placed on Hand / Palm using Classical CV &amp; Feature Extraction.</t>
        </is>
      </c>
      <c r="L78" s="371" t="inlineStr">
        <is>
          <t>Tactile &amp; Sensory Substitution Systems (TSSS)</t>
        </is>
      </c>
      <c r="M78" s="372" t="inlineStr">
        <is>
          <t>Tactile-Actuation, Depth-Sensing, AI-Object-Detection, Corridor-Navigation, Human-Factors-Usability</t>
        </is>
      </c>
      <c r="N78" s="368" t="inlineStr">
        <is>
          <t>Original assignment for Mostafa (Row 78)</t>
        </is>
      </c>
      <c r="O78" s="368" t="inlineStr">
        <is>
          <t>Primary SLR Target</t>
        </is>
      </c>
      <c r="P78" s="373" t="inlineStr">
        <is>
          <t>REF-072</t>
        </is>
      </c>
    </row>
    <row r="79" ht="34" customHeight="1" s="270">
      <c r="A79" s="374" t="inlineStr">
        <is>
          <t>Mostafa</t>
        </is>
      </c>
      <c r="B79" s="374" t="inlineStr">
        <is>
          <t>10.1007/s11042-026-21158-0</t>
        </is>
      </c>
      <c r="C79" s="375" t="inlineStr">
        <is>
          <t>Enhancing the experience of film with a wearable tactile/
haptic suit</t>
        </is>
      </c>
      <c r="D79" s="374" t="n">
        <v>2026</v>
      </c>
      <c r="E79" s="374" t="inlineStr">
        <is>
          <t>Springer</t>
        </is>
      </c>
      <c r="F79" s="375" t="inlineStr">
        <is>
          <t>https://link.springer.com/article/10.1007/s11042-026-21158-0</t>
        </is>
      </c>
      <c r="G79" s="375" t="inlineStr">
        <is>
          <t xml:space="preserve">Wearable Bubble Suit - Pressure-based Haptic Feedback - Arduino control system - 
Air Pump - PVC Air Bubbles - Silicone Air Tubes - Noise-cancelling headphones  </t>
        </is>
      </c>
      <c r="H79" s="377" t="inlineStr">
        <is>
          <t>Excluded</t>
        </is>
      </c>
      <c r="I79" s="375" t="inlineStr">
        <is>
          <t>Wearable pneumatic haptics for cinema entertainment in sighted viewers; no link to VI assistance, navigation or sensory substitution beyond generic wearable haptics.</t>
        </is>
      </c>
      <c r="J79" s="375" t="inlineStr">
        <is>
          <t>Limited environmental awareness for visually impaired individuals; high cognitive load from unsimplified sensory streams; lack of intuitive distance perception.</t>
        </is>
      </c>
      <c r="K79" s="375" t="inlineStr">
        <is>
          <t>1x8 Belt Array Vibrotactile (ERM/LRA) display placed on Abdomen / Waist Belt using Classical CV &amp; Feature Extraction.</t>
        </is>
      </c>
      <c r="L79" s="371" t="inlineStr">
        <is>
          <t>Tactile &amp; Sensory Substitution Systems (TSSS)</t>
        </is>
      </c>
      <c r="M79" s="372" t="inlineStr">
        <is>
          <t>Tactile-Actuation, Depth-Sensing, Corridor-Navigation, Human-Factors-Usability, Wearable-Embedded</t>
        </is>
      </c>
      <c r="N79" s="374" t="inlineStr">
        <is>
          <t>Original assignment for Mostafa (Row 79)</t>
        </is>
      </c>
      <c r="O79" s="374" t="inlineStr">
        <is>
          <t>Screened / Excluded</t>
        </is>
      </c>
      <c r="P79" s="376" t="inlineStr">
        <is>
          <t>REF-073</t>
        </is>
      </c>
    </row>
    <row r="80" ht="34" customHeight="1" s="270">
      <c r="A80" s="368" t="inlineStr">
        <is>
          <t>Mostafa</t>
        </is>
      </c>
      <c r="B80" s="368" t="inlineStr">
        <is>
          <t>10.1007/s00530-025-02139-z</t>
        </is>
      </c>
      <c r="C80" s="369" t="inlineStr">
        <is>
          <t>Assisting blind people with AI and audio using smart glasses: 
system design with YOLOv8 variants comparisons</t>
        </is>
      </c>
      <c r="D80" s="368" t="n">
        <v>2026</v>
      </c>
      <c r="E80" s="368" t="inlineStr">
        <is>
          <t>Springer</t>
        </is>
      </c>
      <c r="F80" s="369" t="inlineStr">
        <is>
          <t>https://link.springer.com/article/10.1007/s00530-025-02139-z</t>
        </is>
      </c>
      <c r="G80" s="369" t="inlineStr">
        <is>
          <t xml:space="preserve">Vuzix Blade 2 Smart Glasses - YOLOv8 - Simple Online and Realtime Tracking - Distance Estimation -
 Azure AI Vision / OCR - Microsoft Cognitive Speech Service - TensorFlow Lite - OpenCV - WebSocket - Unity  </t>
        </is>
      </c>
      <c r="H80" s="370" t="inlineStr">
        <is>
          <t>Included</t>
        </is>
      </c>
      <c r="I80" s="369"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369" t="inlineStr">
        <is>
          <t>Limited environmental awareness for visually impaired individuals; high cognitive load from unsimplified sensory streams; lack of intuitive distance perception.</t>
        </is>
      </c>
      <c r="K80" s="369" t="inlineStr">
        <is>
          <t>8x8 (64) Vibrotactile (ERM/LRA) display placed on Abdomen / Waist Belt using Deep Learning (YOLO/CNN).</t>
        </is>
      </c>
      <c r="L80" s="371" t="inlineStr">
        <is>
          <t>Edge Computer Vision &amp; 3D Spatial Perception (CV-3D)</t>
        </is>
      </c>
      <c r="M80" s="372" t="inlineStr">
        <is>
          <t>Tactile-Actuation, Depth-Sensing, AI-Object-Detection, Corridor-Navigation, Human-Factors-Usability, Wearable-Embedded</t>
        </is>
      </c>
      <c r="N80" s="368" t="inlineStr">
        <is>
          <t>Original assignment for Mostafa (Row 80)</t>
        </is>
      </c>
      <c r="O80" s="368" t="inlineStr">
        <is>
          <t>Primary SLR Target</t>
        </is>
      </c>
      <c r="P80" s="373" t="inlineStr">
        <is>
          <t>REF-074</t>
        </is>
      </c>
    </row>
    <row r="81" ht="34" customHeight="1" s="270">
      <c r="A81" s="374" t="inlineStr">
        <is>
          <t>Mostafa</t>
        </is>
      </c>
      <c r="B81" s="374" t="inlineStr">
        <is>
          <t>10.1007/s00221-026-07309-7</t>
        </is>
      </c>
      <c r="C81" s="375" t="inlineStr">
        <is>
          <t>Agents’ awareness of visuo-motor incongruency determines changes in haptic sensitivity</t>
        </is>
      </c>
      <c r="D81" s="374" t="n">
        <v>2026</v>
      </c>
      <c r="E81" s="374" t="inlineStr">
        <is>
          <t>Springer</t>
        </is>
      </c>
      <c r="F81" s="375" t="inlineStr">
        <is>
          <t>https://link.springer.com/article/10.1007/s00221-026-07309-7</t>
        </is>
      </c>
      <c r="G81" s="375" t="inlineStr">
        <is>
          <t xml:space="preserve">Robotic manipulandum - Visual feedback system - Haptic stimulation - Visuo-motor perturbation - Force/position sensors  </t>
        </is>
      </c>
      <c r="H81" s="370" t="inlineStr">
        <is>
          <t>Included</t>
        </is>
      </c>
      <c r="I81" s="375" t="inlineStr">
        <is>
          <t>The paper examines how individuals awareness of visual and motor changes affects tactile sensitivity.</t>
        </is>
      </c>
      <c r="J81" s="375" t="inlineStr">
        <is>
          <t>Limited environmental awareness for visually impaired individuals; high cognitive load from unsimplified sensory streams; lack of intuitive distance perception.</t>
        </is>
      </c>
      <c r="K81" s="375" t="inlineStr">
        <is>
          <t>3x3 Matrix Vibrotactile (ERM/LRA) display placed on Hand / Palm using Classical CV &amp; Feature Extraction.</t>
        </is>
      </c>
      <c r="L81" s="371" t="inlineStr">
        <is>
          <t>Tactile &amp; Sensory Substitution Systems (TSSS)</t>
        </is>
      </c>
      <c r="M81" s="372" t="inlineStr">
        <is>
          <t>Tactile-Actuation, Depth-Sensing, Human-Factors-Usability</t>
        </is>
      </c>
      <c r="N81" s="374" t="inlineStr">
        <is>
          <t>Original assignment for Mostafa (Row 81)</t>
        </is>
      </c>
      <c r="O81" s="374" t="inlineStr">
        <is>
          <t>Primary SLR Target</t>
        </is>
      </c>
      <c r="P81" s="376" t="inlineStr">
        <is>
          <t>REF-075</t>
        </is>
      </c>
    </row>
    <row r="82" ht="34" customHeight="1" s="270">
      <c r="A82" s="368" t="inlineStr">
        <is>
          <t>Mostafa</t>
        </is>
      </c>
      <c r="B82" s="368" t="inlineStr">
        <is>
          <t>10.1007/s00221-021-06181-x</t>
        </is>
      </c>
      <c r="C82" s="369" t="inlineStr">
        <is>
          <t>Tactile spatial discrimination on the torso using vibrotactile and force stimulation</t>
        </is>
      </c>
      <c r="D82" s="368" t="n">
        <v>2021</v>
      </c>
      <c r="E82" s="368" t="inlineStr">
        <is>
          <t>Springer</t>
        </is>
      </c>
      <c r="F82" s="369" t="inlineStr">
        <is>
          <t>https://link.springer.com/article/10.1007/s00221-021-06181-x</t>
        </is>
      </c>
      <c r="G82" s="369" t="inlineStr">
        <is>
          <t xml:space="preserve">Vibrotactile actuators - Force-feedback actuators - Wearable tactile vest - 
Vibrotactile stimulation system - Force stimulation system </t>
        </is>
      </c>
      <c r="H82" s="377" t="inlineStr">
        <is>
          <t>Excluded</t>
        </is>
      </c>
      <c r="I82" s="369" t="inlineStr">
        <is>
          <t>The paper discusses vibration and pressure stimulation using haptic vests capable of covering the torso.</t>
        </is>
      </c>
      <c r="J82" s="369" t="inlineStr">
        <is>
          <t>Limited environmental awareness for visually impaired individuals; high cognitive load from unsimplified sensory streams; lack of intuitive distance perception.</t>
        </is>
      </c>
      <c r="K82" s="369" t="inlineStr">
        <is>
          <t>1x8 Belt Array Vibrotactile (ERM/LRA) display placed on Abdomen / Waist Belt using Classical CV &amp; Feature Extraction.</t>
        </is>
      </c>
      <c r="L82" s="371" t="inlineStr">
        <is>
          <t>Tactile &amp; Sensory Substitution Systems (TSSS)</t>
        </is>
      </c>
      <c r="M82" s="372" t="inlineStr">
        <is>
          <t>Tactile-Actuation, Depth-Sensing, Human-Factors-Usability, Wearable-Embedded</t>
        </is>
      </c>
      <c r="N82" s="368" t="inlineStr">
        <is>
          <t>Original assignment for Mostafa (Row 82)</t>
        </is>
      </c>
      <c r="O82" s="368" t="inlineStr">
        <is>
          <t>Screened / Excluded</t>
        </is>
      </c>
      <c r="P82" s="373" t="inlineStr">
        <is>
          <t>REF-076</t>
        </is>
      </c>
    </row>
    <row r="83" ht="34" customHeight="1" s="270">
      <c r="A83" s="374" t="inlineStr">
        <is>
          <t>Mostafa</t>
        </is>
      </c>
      <c r="B83" s="374" t="inlineStr">
        <is>
          <t>10.1016/j.brainres.2015.06.033</t>
        </is>
      </c>
      <c r="C83" s="375" t="inlineStr">
        <is>
          <t>The role of visual deprivation and experience
on the performance of sensory substitution devices</t>
        </is>
      </c>
      <c r="D83" s="374" t="n">
        <v>2015</v>
      </c>
      <c r="E83" s="374" t="inlineStr">
        <is>
          <t>Elsevier</t>
        </is>
      </c>
      <c r="F83" s="375" t="inlineStr">
        <is>
          <t>https://www.sciencedirect.com/science/article/abs/pii/S0006899315005156?via%3Dihub</t>
        </is>
      </c>
      <c r="G83" s="375" t="inlineStr">
        <is>
          <t>Vibrotactile technology - Force-feedback technology</t>
        </is>
      </c>
      <c r="H83" s="370" t="inlineStr">
        <is>
          <t>Included</t>
        </is>
      </c>
      <c r="I83" s="375"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375" t="inlineStr">
        <is>
          <t>People who use sensory substitution devices often require a significant amount of training to understand the alternative sensory information.</t>
        </is>
      </c>
      <c r="K83" s="375" t="inlineStr">
        <is>
          <t>The solution lies in intensive training and experience two important elements for improving performance.</t>
        </is>
      </c>
      <c r="L83" s="371" t="inlineStr">
        <is>
          <t>Tactile &amp; Sensory Substitution Systems (TSSS)</t>
        </is>
      </c>
      <c r="M83" s="372" t="inlineStr">
        <is>
          <t>Tactile-Actuation</t>
        </is>
      </c>
      <c r="N83" s="374" t="inlineStr">
        <is>
          <t>Original assignment for Mostafa (Row 83)</t>
        </is>
      </c>
      <c r="O83" s="374" t="inlineStr">
        <is>
          <t>Primary SLR Target</t>
        </is>
      </c>
      <c r="P83" s="376" t="inlineStr">
        <is>
          <t>REF-077</t>
        </is>
      </c>
    </row>
    <row r="84" ht="34" customHeight="1" s="270">
      <c r="A84" s="368" t="inlineStr">
        <is>
          <t>Mostafa</t>
        </is>
      </c>
      <c r="B84" s="368" t="inlineStr">
        <is>
          <t>10.1109/TOH.2021.3138590</t>
        </is>
      </c>
      <c r="C84" s="369" t="inlineStr">
        <is>
          <t>In-Device Feedback in Immersive Head-Mounted Displays for Distance Perception During Teleoperation of Unmanned Ground Vehicles</t>
        </is>
      </c>
      <c r="D84" s="368" t="n">
        <v>2022</v>
      </c>
      <c r="E84" s="368" t="inlineStr">
        <is>
          <t>arXiv</t>
        </is>
      </c>
      <c r="F84" s="369" t="inlineStr">
        <is>
          <t>https://ieeexplore.ieee.org/document/9664257</t>
        </is>
      </c>
      <c r="G84" s="369" t="inlineStr">
        <is>
          <t>Tactile &amp; Sensory Substitution Hardware</t>
        </is>
      </c>
      <c r="H84" s="377" t="inlineStr">
        <is>
          <t>Excluded</t>
        </is>
      </c>
      <c r="I84" s="369" t="inlineStr">
        <is>
          <t>Different feild of study (The actual application is remote control of unmanned ground vehicles0</t>
        </is>
      </c>
      <c r="J84" s="369" t="inlineStr">
        <is>
          <t>Sensory substitution bottlenecks and spatial perception limitations in visual impairment assistance.</t>
        </is>
      </c>
      <c r="K84" s="369" t="inlineStr">
        <is>
          <t>A multi-modal assistive navigation framework translating real-time sensory data into intuitive non-visual guidance.</t>
        </is>
      </c>
      <c r="L84" s="371" t="inlineStr">
        <is>
          <t>Tactile &amp; Sensory Substitution Systems (TSSS)</t>
        </is>
      </c>
      <c r="M84" s="372" t="inlineStr">
        <is>
          <t>Tactile-Actuation, Depth-Sensing, Corridor-Navigation, Wearable-Embedded</t>
        </is>
      </c>
      <c r="N84" s="368" t="inlineStr">
        <is>
          <t>Original assignment for Mostafa (Row 84)</t>
        </is>
      </c>
      <c r="O84" s="368" t="inlineStr">
        <is>
          <t>Screened / Excluded</t>
        </is>
      </c>
      <c r="P84" s="373" t="inlineStr">
        <is>
          <t>REF-078</t>
        </is>
      </c>
    </row>
    <row r="85" ht="34" customHeight="1" s="270">
      <c r="A85" s="374" t="inlineStr">
        <is>
          <t>Mostafa</t>
        </is>
      </c>
      <c r="B85" s="374" t="inlineStr">
        <is>
          <t>https://doi.org/10.1186/s12984-021-00935-y</t>
        </is>
      </c>
      <c r="C85" s="375" t="inlineStr">
        <is>
          <t>Enabling visually impaired people to learn
three‐dimensional tactile graphics with a 3DOF
haptic mouse</t>
        </is>
      </c>
      <c r="D85" s="374" t="n">
        <v>2021</v>
      </c>
      <c r="E85" s="374" t="inlineStr">
        <is>
          <t>Springer</t>
        </is>
      </c>
      <c r="F85" s="375" t="inlineStr">
        <is>
          <t>https://link.springer.com/article/10.1186/s12984-021-00935-y</t>
        </is>
      </c>
      <c r="G85" s="375" t="inlineStr">
        <is>
          <t>The TActile MOuse 3 (TAMO3) - Haptic Sensory Substituion</t>
        </is>
      </c>
      <c r="H85" s="370" t="inlineStr">
        <is>
          <t>Included</t>
        </is>
      </c>
      <c r="I85" s="375" t="inlineStr">
        <is>
          <t xml:space="preserve">this paper presents a novel sensory substitution system that enables to learn three dimensional
digital information via touch when vision is unavailable. </t>
        </is>
      </c>
      <c r="J85" s="375" t="inlineStr">
        <is>
          <t>three dimensional digital information is difficult to see and visually impaired people can't see it</t>
        </is>
      </c>
      <c r="K85" s="375" t="inlineStr">
        <is>
          <t xml:space="preserve"> A mouse-shaped device, designed to
jointly perceive, with one finger only, local tactile height and inclination cues of arbitrary scalar fields.</t>
        </is>
      </c>
      <c r="L85" s="371" t="inlineStr">
        <is>
          <t>Tactile &amp; Sensory Substitution Systems (TSSS)</t>
        </is>
      </c>
      <c r="M85" s="372" t="inlineStr">
        <is>
          <t>Tactile-Actuation, Human-Factors-Usability</t>
        </is>
      </c>
      <c r="N85" s="374" t="inlineStr">
        <is>
          <t>Original assignment for Mostafa (Row 85)</t>
        </is>
      </c>
      <c r="O85" s="374" t="inlineStr">
        <is>
          <t>Primary SLR Target</t>
        </is>
      </c>
      <c r="P85" s="376" t="inlineStr">
        <is>
          <t>REF-079</t>
        </is>
      </c>
    </row>
    <row r="86" ht="34" customHeight="1" s="270">
      <c r="A86" s="368" t="inlineStr">
        <is>
          <t>Farah</t>
        </is>
      </c>
      <c r="B86" s="368" t="inlineStr">
        <is>
          <t>https://doi.org/10.3758/s13414-024-02959-7</t>
        </is>
      </c>
      <c r="C86" s="369" t="inlineStr">
        <is>
          <t>Viewed touch influences tactile detection by altering decision criterion</t>
        </is>
      </c>
      <c r="D86" s="368" t="n">
        <v>2024</v>
      </c>
      <c r="E86" s="368" t="inlineStr">
        <is>
          <t>Springer</t>
        </is>
      </c>
      <c r="F86" s="369" t="inlineStr">
        <is>
          <t>https://link.springer.com/article/10.3758/s13414-024-02959-7</t>
        </is>
      </c>
      <c r="G86" s="369" t="inlineStr">
        <is>
          <t xml:space="preserve">Vicarious Tactile activation - Tactile perception - Visual information </t>
        </is>
      </c>
      <c r="H86" s="370" t="inlineStr">
        <is>
          <t>Included</t>
        </is>
      </c>
      <c r="I86" s="369" t="inlineStr">
        <is>
          <t xml:space="preserve">this paper discusses the tactile perception when people see visual information </t>
        </is>
      </c>
      <c r="J86" s="369" t="inlineStr">
        <is>
          <t xml:space="preserve"> to know if visual information enhances tactile perception or it enhances the decision making </t>
        </is>
      </c>
      <c r="K86" s="369" t="inlineStr">
        <is>
          <t>These findings suggest that viewing touch influences tactile performance by altering tactile decision mechanisms rather than the tactile perceptual signal</t>
        </is>
      </c>
      <c r="L86" s="371" t="inlineStr">
        <is>
          <t>Tactile &amp; Sensory Substitution Systems (TSSS)</t>
        </is>
      </c>
      <c r="M86" s="372" t="inlineStr">
        <is>
          <t>Tactile-Actuation</t>
        </is>
      </c>
      <c r="N86" s="368" t="inlineStr">
        <is>
          <t>Original assignment for Farah (Row 86)</t>
        </is>
      </c>
      <c r="O86" s="368" t="inlineStr">
        <is>
          <t>Primary SLR Target</t>
        </is>
      </c>
      <c r="P86" s="373" t="inlineStr">
        <is>
          <t>REF-080</t>
        </is>
      </c>
    </row>
    <row r="87" ht="34" customHeight="1" s="270">
      <c r="A87" s="374" t="inlineStr">
        <is>
          <t>Farah</t>
        </is>
      </c>
      <c r="B87" s="374" t="inlineStr">
        <is>
          <t>10.1186/s40580-026-00552-2</t>
        </is>
      </c>
      <c r="C87" s="375" t="inlineStr">
        <is>
          <t>Advances in neuroprostheses: interfaces,
materials, and applications</t>
        </is>
      </c>
      <c r="D87" s="374" t="n">
        <v>2026</v>
      </c>
      <c r="E87" s="374" t="inlineStr">
        <is>
          <t>Springer</t>
        </is>
      </c>
      <c r="F87" s="375" t="inlineStr">
        <is>
          <t>https://link.springer.com/article/10.1186/s40580-026-00552-2</t>
        </is>
      </c>
      <c r="G87" s="375" t="inlineStr">
        <is>
          <t>Nanotechnology - neuroprostheses</t>
        </is>
      </c>
      <c r="H87" s="370" t="inlineStr">
        <is>
          <t>Included</t>
        </is>
      </c>
      <c r="I87" s="375" t="inlineStr">
        <is>
          <t>This review
examines the critical role of nanotechnology in building high performance neuroprostheses across six key classes:
motor, visual, tactile, language, memory and olfactory</t>
        </is>
      </c>
      <c r="J87" s="375" t="inlineStr">
        <is>
          <t>Biological systems struggle to communicate with electronic systems due to a mismatch at the neural interface.</t>
        </is>
      </c>
      <c r="K87" s="375" t="inlineStr">
        <is>
          <t>using nanotechnology</t>
        </is>
      </c>
      <c r="L87" s="371" t="inlineStr">
        <is>
          <t>Tactile &amp; Sensory Substitution Systems (TSSS)</t>
        </is>
      </c>
      <c r="M87" s="372" t="inlineStr">
        <is>
          <t>Tactile-Actuation</t>
        </is>
      </c>
      <c r="N87" s="374" t="inlineStr">
        <is>
          <t>Original assignment for Farah (Row 87)</t>
        </is>
      </c>
      <c r="O87" s="374" t="inlineStr">
        <is>
          <t>Primary SLR Target</t>
        </is>
      </c>
      <c r="P87" s="376" t="inlineStr">
        <is>
          <t>REF-081</t>
        </is>
      </c>
    </row>
    <row r="88" ht="34" customHeight="1" s="270">
      <c r="A88" s="368" t="inlineStr">
        <is>
          <t>Farah</t>
        </is>
      </c>
      <c r="B88" s="368" t="inlineStr">
        <is>
          <t>10.1186/s41235-023-00495-w</t>
        </is>
      </c>
      <c r="C88" s="369" t="inlineStr">
        <is>
          <t>A direct comparison of sound and vibration
as sources of stimulation for a sensory
substitution glove</t>
        </is>
      </c>
      <c r="D88" s="368" t="n">
        <v>2023</v>
      </c>
      <c r="E88" s="368" t="inlineStr">
        <is>
          <t>Springer</t>
        </is>
      </c>
      <c r="F88" s="369" t="inlineStr">
        <is>
          <t>https://link.springer.com/article/10.1186/s41235-023-00495-w</t>
        </is>
      </c>
      <c r="G88" s="369" t="inlineStr">
        <is>
          <t>sensory substitution devices - adequacy of touch - adequacy of hearing</t>
        </is>
      </c>
      <c r="H88" s="370" t="inlineStr">
        <is>
          <t>Included</t>
        </is>
      </c>
      <c r="I88" s="369" t="inlineStr">
        <is>
          <t xml:space="preserve">this paper discusses that touch and hearing can substitute for visual information </t>
        </is>
      </c>
      <c r="J88" s="369" t="inlineStr">
        <is>
          <t>autonomous mobility of visually impaired people</t>
        </is>
      </c>
      <c r="K88" s="369" t="inlineStr">
        <is>
          <t>Sensory substitution devices (SSDs) are designed to improve navigation</t>
        </is>
      </c>
      <c r="L88" s="371" t="inlineStr">
        <is>
          <t>Tactile &amp; Sensory Substitution Systems (TSSS)</t>
        </is>
      </c>
      <c r="M88" s="372" t="inlineStr">
        <is>
          <t>Tactile-Actuation, Corridor-Navigation, Human-Factors-Usability</t>
        </is>
      </c>
      <c r="N88" s="368" t="inlineStr">
        <is>
          <t>Original assignment for Farah (Row 88)</t>
        </is>
      </c>
      <c r="O88" s="368" t="inlineStr">
        <is>
          <t>Primary SLR Target</t>
        </is>
      </c>
      <c r="P88" s="373" t="inlineStr">
        <is>
          <t>REF-082</t>
        </is>
      </c>
    </row>
    <row r="89" ht="34" customHeight="1" s="270">
      <c r="A89" s="374" t="inlineStr">
        <is>
          <t>Farah</t>
        </is>
      </c>
      <c r="B89" s="374" t="inlineStr">
        <is>
          <t>s41378-026-01190-8</t>
        </is>
      </c>
      <c r="C89" s="375" t="inlineStr">
        <is>
          <t>Complementary visual localization and tactile
mapping approach for robotic perception of
millimeter-sized objects with irregular surfaces</t>
        </is>
      </c>
      <c r="D89" s="374" t="n">
        <v>2026</v>
      </c>
      <c r="E89" s="374" t="inlineStr">
        <is>
          <t>Nature</t>
        </is>
      </c>
      <c r="F89" s="375" t="inlineStr">
        <is>
          <t>https://www.nature.com/articles/s41378-026-01190-8</t>
        </is>
      </c>
      <c r="G89" s="375" t="inlineStr">
        <is>
          <t xml:space="preserve">visual localization - tactile sensing </t>
        </is>
      </c>
      <c r="H89" s="370" t="inlineStr">
        <is>
          <t>Included</t>
        </is>
      </c>
      <c r="I89" s="375" t="inlineStr">
        <is>
          <t>This study provides a technological foundation for enhancing the autonomy and adaptability of
humanoid robots in unpredictable and unstructured environments, particularly to support precise robot manipulation
in such conditions.</t>
        </is>
      </c>
      <c r="J89" s="375" t="inlineStr">
        <is>
          <t xml:space="preserve">robots can't percieve small and irregular objects </t>
        </is>
      </c>
      <c r="K89" s="375" t="inlineStr">
        <is>
          <t xml:space="preserve">Foundation for sensory substitution systems that help robots percieve small and irregular objects </t>
        </is>
      </c>
      <c r="L89" s="371" t="inlineStr">
        <is>
          <t>Tactile &amp; Sensory Substitution Systems (TSSS)</t>
        </is>
      </c>
      <c r="M89" s="372" t="inlineStr">
        <is>
          <t>Tactile-Actuation, Human-Factors-Usability</t>
        </is>
      </c>
      <c r="N89" s="374" t="inlineStr">
        <is>
          <t>Original assignment for Farah (Row 89)</t>
        </is>
      </c>
      <c r="O89" s="374" t="inlineStr">
        <is>
          <t>Primary SLR Target</t>
        </is>
      </c>
      <c r="P89" s="376" t="inlineStr">
        <is>
          <t>REF-083</t>
        </is>
      </c>
    </row>
    <row r="90" ht="34" customHeight="1" s="270">
      <c r="A90" s="378" t="inlineStr">
        <is>
          <t>Farah</t>
        </is>
      </c>
      <c r="B90" s="378" t="inlineStr">
        <is>
          <t>N/A</t>
        </is>
      </c>
      <c r="C90" s="379" t="inlineStr">
        <is>
          <t>[Reserved Template Slot / Excluded]</t>
        </is>
      </c>
      <c r="D90" s="378" t="inlineStr">
        <is>
          <t>N/A</t>
        </is>
      </c>
      <c r="E90" s="378" t="inlineStr">
        <is>
          <t>N/A</t>
        </is>
      </c>
      <c r="F90" s="379" t="inlineStr">
        <is>
          <t>N/A</t>
        </is>
      </c>
      <c r="G90" s="379" t="inlineStr">
        <is>
          <t>N/A</t>
        </is>
      </c>
      <c r="H90" s="379" t="inlineStr">
        <is>
          <t>Excluded</t>
        </is>
      </c>
      <c r="I90" s="379" t="inlineStr">
        <is>
          <t>Empty placeholder slot in original allocation template.</t>
        </is>
      </c>
      <c r="J90" s="379" t="inlineStr">
        <is>
          <t>N/A</t>
        </is>
      </c>
      <c r="K90" s="379" t="inlineStr">
        <is>
          <t>N/A</t>
        </is>
      </c>
      <c r="L90" s="379" t="inlineStr">
        <is>
          <t>Excluded (Template Slot)</t>
        </is>
      </c>
      <c r="M90" s="379" t="inlineStr"/>
      <c r="N90" s="378" t="inlineStr">
        <is>
          <t>Reserved slot for Farah (Empty in original)</t>
        </is>
      </c>
      <c r="O90" s="378" t="inlineStr">
        <is>
          <t>Template Slot</t>
        </is>
      </c>
      <c r="P90" s="378" t="inlineStr">
        <is>
          <t>REF-SLOT-090</t>
        </is>
      </c>
    </row>
    <row r="91" ht="34" customHeight="1" s="270">
      <c r="A91" s="378" t="inlineStr">
        <is>
          <t>Farah</t>
        </is>
      </c>
      <c r="B91" s="378" t="inlineStr">
        <is>
          <t>N/A</t>
        </is>
      </c>
      <c r="C91" s="379" t="inlineStr">
        <is>
          <t>[Reserved Template Slot / Excluded]</t>
        </is>
      </c>
      <c r="D91" s="378" t="inlineStr">
        <is>
          <t>N/A</t>
        </is>
      </c>
      <c r="E91" s="378" t="inlineStr">
        <is>
          <t>N/A</t>
        </is>
      </c>
      <c r="F91" s="379" t="inlineStr">
        <is>
          <t>N/A</t>
        </is>
      </c>
      <c r="G91" s="379" t="inlineStr">
        <is>
          <t>N/A</t>
        </is>
      </c>
      <c r="H91" s="379" t="inlineStr">
        <is>
          <t>Excluded</t>
        </is>
      </c>
      <c r="I91" s="379" t="inlineStr">
        <is>
          <t>Empty placeholder slot in original allocation template.</t>
        </is>
      </c>
      <c r="J91" s="379" t="inlineStr">
        <is>
          <t>N/A</t>
        </is>
      </c>
      <c r="K91" s="379" t="inlineStr">
        <is>
          <t>N/A</t>
        </is>
      </c>
      <c r="L91" s="379" t="inlineStr">
        <is>
          <t>Excluded (Template Slot)</t>
        </is>
      </c>
      <c r="M91" s="379" t="inlineStr"/>
      <c r="N91" s="378" t="inlineStr">
        <is>
          <t>Reserved slot for Farah (Empty in original)</t>
        </is>
      </c>
      <c r="O91" s="378" t="inlineStr">
        <is>
          <t>Template Slot</t>
        </is>
      </c>
      <c r="P91" s="378" t="inlineStr">
        <is>
          <t>REF-SLOT-091</t>
        </is>
      </c>
    </row>
    <row r="92" ht="34" customHeight="1" s="270">
      <c r="A92" s="378" t="inlineStr">
        <is>
          <t>Farah</t>
        </is>
      </c>
      <c r="B92" s="378" t="inlineStr">
        <is>
          <t>N/A</t>
        </is>
      </c>
      <c r="C92" s="379" t="inlineStr">
        <is>
          <t>[Reserved Template Slot / Excluded]</t>
        </is>
      </c>
      <c r="D92" s="378" t="inlineStr">
        <is>
          <t>N/A</t>
        </is>
      </c>
      <c r="E92" s="378" t="inlineStr">
        <is>
          <t>N/A</t>
        </is>
      </c>
      <c r="F92" s="379" t="inlineStr">
        <is>
          <t>N/A</t>
        </is>
      </c>
      <c r="G92" s="379" t="inlineStr">
        <is>
          <t>N/A</t>
        </is>
      </c>
      <c r="H92" s="379" t="inlineStr">
        <is>
          <t>Excluded</t>
        </is>
      </c>
      <c r="I92" s="379" t="inlineStr">
        <is>
          <t>Empty placeholder slot in original allocation template.</t>
        </is>
      </c>
      <c r="J92" s="379" t="inlineStr">
        <is>
          <t>N/A</t>
        </is>
      </c>
      <c r="K92" s="379" t="inlineStr">
        <is>
          <t>N/A</t>
        </is>
      </c>
      <c r="L92" s="379" t="inlineStr">
        <is>
          <t>Excluded (Template Slot)</t>
        </is>
      </c>
      <c r="M92" s="379" t="inlineStr"/>
      <c r="N92" s="378" t="inlineStr">
        <is>
          <t>Reserved slot for Farah (Empty in original)</t>
        </is>
      </c>
      <c r="O92" s="378" t="inlineStr">
        <is>
          <t>Template Slot</t>
        </is>
      </c>
      <c r="P92" s="378" t="inlineStr">
        <is>
          <t>REF-SLOT-092</t>
        </is>
      </c>
    </row>
    <row r="93" ht="34" customHeight="1" s="270">
      <c r="A93" s="378" t="inlineStr">
        <is>
          <t>Farah</t>
        </is>
      </c>
      <c r="B93" s="378" t="inlineStr">
        <is>
          <t>N/A</t>
        </is>
      </c>
      <c r="C93" s="379" t="inlineStr">
        <is>
          <t>[Reserved Template Slot / Excluded]</t>
        </is>
      </c>
      <c r="D93" s="378" t="inlineStr">
        <is>
          <t>N/A</t>
        </is>
      </c>
      <c r="E93" s="378" t="inlineStr">
        <is>
          <t>N/A</t>
        </is>
      </c>
      <c r="F93" s="379" t="inlineStr">
        <is>
          <t>N/A</t>
        </is>
      </c>
      <c r="G93" s="379" t="inlineStr">
        <is>
          <t>N/A</t>
        </is>
      </c>
      <c r="H93" s="379" t="inlineStr">
        <is>
          <t>Excluded</t>
        </is>
      </c>
      <c r="I93" s="379" t="inlineStr">
        <is>
          <t>Empty placeholder slot in original allocation template.</t>
        </is>
      </c>
      <c r="J93" s="379" t="inlineStr">
        <is>
          <t>N/A</t>
        </is>
      </c>
      <c r="K93" s="379" t="inlineStr">
        <is>
          <t>N/A</t>
        </is>
      </c>
      <c r="L93" s="379" t="inlineStr">
        <is>
          <t>Excluded (Template Slot)</t>
        </is>
      </c>
      <c r="M93" s="379" t="inlineStr"/>
      <c r="N93" s="378" t="inlineStr">
        <is>
          <t>Reserved slot for Farah (Empty in original)</t>
        </is>
      </c>
      <c r="O93" s="378" t="inlineStr">
        <is>
          <t>Template Slot</t>
        </is>
      </c>
      <c r="P93" s="378" t="inlineStr">
        <is>
          <t>REF-SLOT-093</t>
        </is>
      </c>
    </row>
    <row r="94" ht="34" customHeight="1" s="270">
      <c r="A94" s="378" t="inlineStr">
        <is>
          <t>Farah</t>
        </is>
      </c>
      <c r="B94" s="378" t="inlineStr">
        <is>
          <t>N/A</t>
        </is>
      </c>
      <c r="C94" s="379" t="inlineStr">
        <is>
          <t>[Reserved Template Slot / Excluded]</t>
        </is>
      </c>
      <c r="D94" s="378" t="inlineStr">
        <is>
          <t>N/A</t>
        </is>
      </c>
      <c r="E94" s="378" t="inlineStr">
        <is>
          <t>N/A</t>
        </is>
      </c>
      <c r="F94" s="379" t="inlineStr">
        <is>
          <t>N/A</t>
        </is>
      </c>
      <c r="G94" s="379" t="inlineStr">
        <is>
          <t>N/A</t>
        </is>
      </c>
      <c r="H94" s="379" t="inlineStr">
        <is>
          <t>Excluded</t>
        </is>
      </c>
      <c r="I94" s="379" t="inlineStr">
        <is>
          <t>Empty placeholder slot in original allocation template.</t>
        </is>
      </c>
      <c r="J94" s="379" t="inlineStr">
        <is>
          <t>N/A</t>
        </is>
      </c>
      <c r="K94" s="379" t="inlineStr">
        <is>
          <t>N/A</t>
        </is>
      </c>
      <c r="L94" s="379" t="inlineStr">
        <is>
          <t>Excluded (Template Slot)</t>
        </is>
      </c>
      <c r="M94" s="379" t="inlineStr"/>
      <c r="N94" s="378" t="inlineStr">
        <is>
          <t>Reserved slot for Farah (Empty in original)</t>
        </is>
      </c>
      <c r="O94" s="378" t="inlineStr">
        <is>
          <t>Template Slot</t>
        </is>
      </c>
      <c r="P94" s="378" t="inlineStr">
        <is>
          <t>REF-SLOT-094</t>
        </is>
      </c>
    </row>
    <row r="95" ht="34" customHeight="1" s="270">
      <c r="A95" s="378" t="inlineStr">
        <is>
          <t>Farah</t>
        </is>
      </c>
      <c r="B95" s="378" t="inlineStr">
        <is>
          <t>N/A</t>
        </is>
      </c>
      <c r="C95" s="379" t="inlineStr">
        <is>
          <t>[Reserved Template Slot / Excluded]</t>
        </is>
      </c>
      <c r="D95" s="378" t="inlineStr">
        <is>
          <t>N/A</t>
        </is>
      </c>
      <c r="E95" s="378" t="inlineStr">
        <is>
          <t>N/A</t>
        </is>
      </c>
      <c r="F95" s="379" t="inlineStr">
        <is>
          <t>N/A</t>
        </is>
      </c>
      <c r="G95" s="379" t="inlineStr">
        <is>
          <t>N/A</t>
        </is>
      </c>
      <c r="H95" s="379" t="inlineStr">
        <is>
          <t>Excluded</t>
        </is>
      </c>
      <c r="I95" s="379" t="inlineStr">
        <is>
          <t>Empty placeholder slot in original allocation template.</t>
        </is>
      </c>
      <c r="J95" s="379" t="inlineStr">
        <is>
          <t>N/A</t>
        </is>
      </c>
      <c r="K95" s="379" t="inlineStr">
        <is>
          <t>N/A</t>
        </is>
      </c>
      <c r="L95" s="379" t="inlineStr">
        <is>
          <t>Excluded (Template Slot)</t>
        </is>
      </c>
      <c r="M95" s="379" t="inlineStr"/>
      <c r="N95" s="378" t="inlineStr">
        <is>
          <t>Reserved slot for Farah (Empty in original)</t>
        </is>
      </c>
      <c r="O95" s="378" t="inlineStr">
        <is>
          <t>Template Slot</t>
        </is>
      </c>
      <c r="P95" s="378" t="inlineStr">
        <is>
          <t>REF-SLOT-095</t>
        </is>
      </c>
    </row>
    <row r="96" ht="34" customHeight="1" s="270">
      <c r="A96" s="378" t="inlineStr">
        <is>
          <t>Farah</t>
        </is>
      </c>
      <c r="B96" s="378" t="inlineStr">
        <is>
          <t>N/A</t>
        </is>
      </c>
      <c r="C96" s="379" t="inlineStr">
        <is>
          <t>[Reserved Template Slot / Excluded]</t>
        </is>
      </c>
      <c r="D96" s="378" t="inlineStr">
        <is>
          <t>N/A</t>
        </is>
      </c>
      <c r="E96" s="378" t="inlineStr">
        <is>
          <t>N/A</t>
        </is>
      </c>
      <c r="F96" s="379" t="inlineStr">
        <is>
          <t>N/A</t>
        </is>
      </c>
      <c r="G96" s="379" t="inlineStr">
        <is>
          <t>N/A</t>
        </is>
      </c>
      <c r="H96" s="379" t="inlineStr">
        <is>
          <t>Excluded</t>
        </is>
      </c>
      <c r="I96" s="379" t="inlineStr">
        <is>
          <t>Empty placeholder slot in original allocation template.</t>
        </is>
      </c>
      <c r="J96" s="379" t="inlineStr">
        <is>
          <t>N/A</t>
        </is>
      </c>
      <c r="K96" s="379" t="inlineStr">
        <is>
          <t>N/A</t>
        </is>
      </c>
      <c r="L96" s="379" t="inlineStr">
        <is>
          <t>Excluded (Template Slot)</t>
        </is>
      </c>
      <c r="M96" s="379" t="inlineStr"/>
      <c r="N96" s="378" t="inlineStr">
        <is>
          <t>Reserved slot for Farah (Empty in original)</t>
        </is>
      </c>
      <c r="O96" s="378" t="inlineStr">
        <is>
          <t>Template Slot</t>
        </is>
      </c>
      <c r="P96" s="378" t="inlineStr">
        <is>
          <t>REF-SLOT-096</t>
        </is>
      </c>
    </row>
    <row r="97" ht="34" customHeight="1" s="270">
      <c r="A97" s="378" t="inlineStr">
        <is>
          <t>Farah</t>
        </is>
      </c>
      <c r="B97" s="378" t="inlineStr">
        <is>
          <t>N/A</t>
        </is>
      </c>
      <c r="C97" s="379" t="inlineStr">
        <is>
          <t>[Reserved Template Slot / Excluded]</t>
        </is>
      </c>
      <c r="D97" s="378" t="inlineStr">
        <is>
          <t>N/A</t>
        </is>
      </c>
      <c r="E97" s="378" t="inlineStr">
        <is>
          <t>N/A</t>
        </is>
      </c>
      <c r="F97" s="379" t="inlineStr">
        <is>
          <t>N/A</t>
        </is>
      </c>
      <c r="G97" s="379" t="inlineStr">
        <is>
          <t>N/A</t>
        </is>
      </c>
      <c r="H97" s="379" t="inlineStr">
        <is>
          <t>Excluded</t>
        </is>
      </c>
      <c r="I97" s="379" t="inlineStr">
        <is>
          <t>Empty placeholder slot in original allocation template.</t>
        </is>
      </c>
      <c r="J97" s="379" t="inlineStr">
        <is>
          <t>N/A</t>
        </is>
      </c>
      <c r="K97" s="379" t="inlineStr">
        <is>
          <t>N/A</t>
        </is>
      </c>
      <c r="L97" s="379" t="inlineStr">
        <is>
          <t>Excluded (Template Slot)</t>
        </is>
      </c>
      <c r="M97" s="379" t="inlineStr"/>
      <c r="N97" s="378" t="inlineStr">
        <is>
          <t>Reserved slot for Farah (Empty in original)</t>
        </is>
      </c>
      <c r="O97" s="378" t="inlineStr">
        <is>
          <t>Template Slot</t>
        </is>
      </c>
      <c r="P97" s="378" t="inlineStr">
        <is>
          <t>REF-SLOT-097</t>
        </is>
      </c>
    </row>
    <row r="98" ht="34" customHeight="1" s="270">
      <c r="A98" s="368" t="inlineStr">
        <is>
          <t>Fathy</t>
        </is>
      </c>
      <c r="B98" s="368" t="inlineStr">
        <is>
          <t>https://doi.org/10.1038/s41539-025-00385-4</t>
        </is>
      </c>
      <c r="C98" s="369" t="inlineStr">
        <is>
          <t>Learning visual to auditory sensory substitution reveals flexibility in image to sound mapping</t>
        </is>
      </c>
      <c r="D98" s="368" t="n">
        <v>2026</v>
      </c>
      <c r="E98" s="368" t="inlineStr">
        <is>
          <t>Nature</t>
        </is>
      </c>
      <c r="F98" s="369" t="inlineStr">
        <is>
          <t>https://www.nature.com/articles/s41539-025-00385-4</t>
        </is>
      </c>
      <c r="G98" s="369" t="inlineStr">
        <is>
          <t>The vOICe
Visual-to-auditory sensory substitution
Sensory Substitution Device (SSD)
Image-to-sound mapping
Spectral-temporal acoustic mapping
Pitch-based spatial encoding
Time-based spatial encoding
Amplitude encoding for pixel brightness</t>
        </is>
      </c>
      <c r="H98" s="370" t="inlineStr">
        <is>
          <t>Included</t>
        </is>
      </c>
      <c r="I98" s="369"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369"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369" t="inlineStr">
        <is>
          <t>The study compares the traditional The vOICe image-to-sound mapping
with a reversed mapping and a control condition to test whether users 
can learn alternative visual-to-auditory mappings effectively.</t>
        </is>
      </c>
      <c r="L98" s="371" t="inlineStr">
        <is>
          <t>Tactile &amp; Sensory Substitution Systems (TSSS)</t>
        </is>
      </c>
      <c r="M98" s="372" t="inlineStr">
        <is>
          <t>Tactile-Actuation, Human-Factors-Usability</t>
        </is>
      </c>
      <c r="N98" s="368" t="inlineStr">
        <is>
          <t>Original assignment for Fathy (Row 98)</t>
        </is>
      </c>
      <c r="O98" s="368" t="inlineStr">
        <is>
          <t>Primary SLR Target</t>
        </is>
      </c>
      <c r="P98" s="373" t="inlineStr">
        <is>
          <t>REF-084</t>
        </is>
      </c>
    </row>
    <row r="99" ht="34" customHeight="1" s="270">
      <c r="A99" s="374" t="inlineStr">
        <is>
          <t>Fathy</t>
        </is>
      </c>
      <c r="B99" s="374" t="inlineStr">
        <is>
          <t>https://doi.org/10.1038/s41539-025-00385-4</t>
        </is>
      </c>
      <c r="C99" s="375" t="inlineStr">
        <is>
          <t>Learning visual to auditory sensory
substitution reveals flexibility in image to
sound mapping</t>
        </is>
      </c>
      <c r="D99" s="374" t="n">
        <v>2025</v>
      </c>
      <c r="E99" s="374" t="inlineStr">
        <is>
          <t>Nature</t>
        </is>
      </c>
      <c r="F99" s="375" t="inlineStr">
        <is>
          <t>https://www.nature.com/articles/s41539-025-00385-4</t>
        </is>
      </c>
      <c r="G99" s="375" t="inlineStr">
        <is>
          <t>The vOICe; Sensory Substitution Device (SSD); Visual-to-auditory sensory substitution; Image-to-sound mapping; Spectral-temporal acoustic mapping; Pitch-based spatial encoding; Time-based spatial encoding; Amplitude encoding</t>
        </is>
      </c>
      <c r="H99" s="370" t="inlineStr">
        <is>
          <t>Included</t>
        </is>
      </c>
      <c r="I99" s="375" t="inlineStr">
        <is>
          <t>The study evaluates The vOICe, a visual-to-auditory sensory substitution technology designed to convert visual information 
into sound and support access to visual information.</t>
        </is>
      </c>
      <c r="J99" s="375" t="inlineStr">
        <is>
          <t>There is limited empirical work directly comparing fundamentally different image-to-sound axis mappings,
 leaving uncertainty about whether learning is constrained by traditional cross-modal correspondences such as pitch for elevation.</t>
        </is>
      </c>
      <c r="K99" s="375" t="inlineStr">
        <is>
          <t>The study compares the traditional The vOICe mapping with a reversed image-to-sound
 mapping and an arbitrary control mapping to determine whether users can effectively learn alternative structured visual-to-auditory mappings.</t>
        </is>
      </c>
      <c r="L99" s="371" t="inlineStr">
        <is>
          <t>Tactile &amp; Sensory Substitution Systems (TSSS)</t>
        </is>
      </c>
      <c r="M99" s="372" t="inlineStr">
        <is>
          <t>Tactile-Actuation, Human-Factors-Usability</t>
        </is>
      </c>
      <c r="N99" s="374" t="inlineStr">
        <is>
          <t>Original assignment for Fathy (Row 99)</t>
        </is>
      </c>
      <c r="O99" s="374" t="inlineStr">
        <is>
          <t>Primary SLR Target</t>
        </is>
      </c>
      <c r="P99" s="376" t="inlineStr">
        <is>
          <t>REF-085</t>
        </is>
      </c>
    </row>
    <row r="100" ht="34" customHeight="1" s="270">
      <c r="A100" s="368" t="inlineStr">
        <is>
          <t>Fathy</t>
        </is>
      </c>
      <c r="B100" s="368" t="inlineStr">
        <is>
          <t>10.1016/j.tics.2008.07.004</t>
        </is>
      </c>
      <c r="C100" s="369" t="inlineStr">
        <is>
          <t>Parahippocampal and retrosplenial contributions to human spatial navigation</t>
        </is>
      </c>
      <c r="D100" s="368" t="n">
        <v>2008</v>
      </c>
      <c r="E100" s="368" t="inlineStr">
        <is>
          <t>Elsevier</t>
        </is>
      </c>
      <c r="F100" s="369" t="inlineStr">
        <is>
          <t>https://www.sciencedirect.com/science/article/abs/pii/S136466130800199X?</t>
        </is>
      </c>
      <c r="G100" s="369" t="inlineStr">
        <is>
          <t>Neuroimaging
fMRI
Parahippocampal Place Area (PPA)
Retrosplenial Complex (RSC)
Spatial cognition and navigation</t>
        </is>
      </c>
      <c r="H100" s="370" t="inlineStr">
        <is>
          <t>Included</t>
        </is>
      </c>
      <c r="I100" s="369" t="inlineStr">
        <is>
          <t>Because it is published by Elsevier and directly discusses human spatial navigation, including the brain mechanisms involved in understanding scenes</t>
        </is>
      </c>
      <c r="J100" s="369" t="inlineStr">
        <is>
          <t>The paper addresses the fact that the neural systems supporting human spatial navigation were not fully understood, especially the specific roles of the parahippocampal and retrosplenial regions</t>
        </is>
      </c>
      <c r="K100" s="369"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c r="L100" s="371" t="inlineStr">
        <is>
          <t>Ground Segmentation &amp; Safe Path Navigation (GS-PN)</t>
        </is>
      </c>
      <c r="M100" s="372" t="inlineStr">
        <is>
          <t>Corridor-Navigation, Human-Factors-Usability</t>
        </is>
      </c>
      <c r="N100" s="368" t="inlineStr">
        <is>
          <t>Original assignment for Fathy (Row 100)</t>
        </is>
      </c>
      <c r="O100" s="368" t="inlineStr">
        <is>
          <t>Primary SLR Target</t>
        </is>
      </c>
      <c r="P100" s="373" t="inlineStr">
        <is>
          <t>REF-086</t>
        </is>
      </c>
    </row>
    <row r="101" ht="34" customHeight="1" s="270">
      <c r="A101" s="374" t="inlineStr">
        <is>
          <t>Fathy</t>
        </is>
      </c>
      <c r="B101" s="374" t="inlineStr">
        <is>
          <t>10.1038/s41598-020-59102-3</t>
        </is>
      </c>
      <c r="C101" s="375" t="inlineStr">
        <is>
          <t>Poor resolution at the back of the tongue is the bottleneck for spatial pattern recognition</t>
        </is>
      </c>
      <c r="D101" s="374" t="n">
        <v>2020</v>
      </c>
      <c r="E101" s="374" t="inlineStr">
        <is>
          <t>Nature</t>
        </is>
      </c>
      <c r="F101" s="375" t="inlineStr">
        <is>
          <t>https://www.nature.com/articles/s41598-020-59102-3</t>
        </is>
      </c>
      <c r="G101" s="375" t="inlineStr">
        <is>
          <t>BrainPort Vision Pro
Head-mounted camera
Electro-tactile sensory substitution
Tongue stimulation
20 × 20 electrode array
Visual-to-tactile information conversion</t>
        </is>
      </c>
      <c r="H101" s="370" t="inlineStr">
        <is>
          <t>Included</t>
        </is>
      </c>
      <c r="I101" s="375" t="inlineStr">
        <is>
          <t>directly relevant to sensory substitution for blind people, especially using the tongue to receive visual information through electro-tactile stimulation</t>
        </is>
      </c>
      <c r="J101" s="375" t="inlineStr">
        <is>
          <t>It is unclear why tracing improves recognition: poor sensitivity, low spatial resolution, or limited processing capacity.</t>
        </is>
      </c>
      <c r="K101" s="375" t="inlineStr">
        <is>
          <t>Compare tracing, static and drawing presentations, with constant or adjusted stimulation intensity. Tracing improved recognition; results support low spatial resolution at the back of the tongue as the main limitation.</t>
        </is>
      </c>
      <c r="L101" s="371" t="inlineStr">
        <is>
          <t>Tactile &amp; Sensory Substitution Systems (TSSS)</t>
        </is>
      </c>
      <c r="M101" s="372" t="inlineStr">
        <is>
          <t>Tactile-Actuation, AI-Object-Detection, Human-Factors-Usability, Wearable-Embedded</t>
        </is>
      </c>
      <c r="N101" s="374" t="inlineStr">
        <is>
          <t>Original assignment for Fathy (Row 101)</t>
        </is>
      </c>
      <c r="O101" s="374" t="inlineStr">
        <is>
          <t>Primary SLR Target</t>
        </is>
      </c>
      <c r="P101" s="376" t="inlineStr">
        <is>
          <t>REF-087</t>
        </is>
      </c>
    </row>
    <row r="102" ht="34" customHeight="1" s="270">
      <c r="A102" s="368" t="inlineStr">
        <is>
          <t>Fathy</t>
        </is>
      </c>
      <c r="B102" s="368" t="inlineStr">
        <is>
          <t>10.1038/s41598-019-57217-w</t>
        </is>
      </c>
      <c r="C102" s="369" t="inlineStr">
        <is>
          <t>Neural Networks Mediating Perceptual Learning in Congenital Blindness</t>
        </is>
      </c>
      <c r="D102" s="368" t="n">
        <v>2020</v>
      </c>
      <c r="E102" s="368" t="inlineStr">
        <is>
          <t>Springer Nature</t>
        </is>
      </c>
      <c r="F102" s="369" t="inlineStr">
        <is>
          <t>https://www.nature.com/articles/s41598-019-57217-w</t>
        </is>
      </c>
      <c r="G102" s="369" t="inlineStr">
        <is>
          <t>Visual-to-tactile SSD; structural MRI; voxel-based morphometry; principal component analysis</t>
        </is>
      </c>
      <c r="H102" s="370" t="inlineStr">
        <is>
          <t>Included</t>
        </is>
      </c>
      <c r="I102" s="369" t="inlineStr">
        <is>
          <t>Relevant to sensory-substitution learning and obstacle avoidance in congenital blindness.</t>
        </is>
      </c>
      <c r="J102" s="369" t="inlineStr">
        <is>
          <t>The brain structures supporting nonvisual navigation learning are not fully understood.</t>
        </is>
      </c>
      <c r="K102" s="369" t="inlineStr">
        <is>
          <t>Compare obstacle-course learning in congenitally blind and blindfolded sighted participants, and relate performance to regional brain volumes.</t>
        </is>
      </c>
      <c r="L102" s="371" t="inlineStr">
        <is>
          <t>Cognitive Ergonomics &amp; Blind Usability (CE-BU)</t>
        </is>
      </c>
      <c r="M102" s="372" t="inlineStr">
        <is>
          <t>Tactile-Actuation, AI-Object-Detection, Corridor-Navigation, Human-Factors-Usability</t>
        </is>
      </c>
      <c r="N102" s="368" t="inlineStr">
        <is>
          <t>Original assignment for Fathy (Row 102)</t>
        </is>
      </c>
      <c r="O102" s="368" t="inlineStr">
        <is>
          <t>Primary SLR Target</t>
        </is>
      </c>
      <c r="P102" s="373" t="inlineStr">
        <is>
          <t>REF-088</t>
        </is>
      </c>
    </row>
    <row r="103" ht="34" customHeight="1" s="270">
      <c r="A103" s="374" t="inlineStr">
        <is>
          <t>Fathy</t>
        </is>
      </c>
      <c r="B103" s="374" t="inlineStr">
        <is>
          <t>10.1038/s41598-021-90132-7</t>
        </is>
      </c>
      <c r="C103" s="375" t="inlineStr">
        <is>
          <t>Applying a novel visual-to-touch sensory substitution for studying tactile reference frames</t>
        </is>
      </c>
      <c r="D103" s="374" t="n">
        <v>2021</v>
      </c>
      <c r="E103" s="374" t="inlineStr">
        <is>
          <t>Springer Nature</t>
        </is>
      </c>
      <c r="F103" s="375" t="inlineStr">
        <is>
          <t>https://www.nature.com/articles/s41598-021-90132-7</t>
        </is>
      </c>
      <c r="G103" s="375" t="inlineStr">
        <is>
          <t>Tactile Glove; 15 arm vibration motors; image-to-vibration conversion; spatial and temporal encoding</t>
        </is>
      </c>
      <c r="H103" s="370" t="inlineStr">
        <is>
          <t>Included</t>
        </is>
      </c>
      <c r="I103" s="375" t="inlineStr">
        <is>
          <t>Relevant to mapping visual information onto wearable tactile stimulation.</t>
        </is>
      </c>
      <c r="J103" s="375" t="inlineStr">
        <is>
          <t>The effect of body posture on interpreting tactile spatial information is unclear.</t>
        </is>
      </c>
      <c r="K103" s="375" t="inlineStr">
        <is>
          <t>Convert image columns into arm vibrations and test spatial judgments across arm postures in 52 blindfolded participants.</t>
        </is>
      </c>
      <c r="L103" s="371" t="inlineStr">
        <is>
          <t>Tactile &amp; Sensory Substitution Systems (TSSS)</t>
        </is>
      </c>
      <c r="M103" s="372" t="inlineStr">
        <is>
          <t>Tactile-Actuation, Human-Factors-Usability, Wearable-Embedded</t>
        </is>
      </c>
      <c r="N103" s="374" t="inlineStr">
        <is>
          <t>Original assignment for Fathy (Row 103)</t>
        </is>
      </c>
      <c r="O103" s="374" t="inlineStr">
        <is>
          <t>Primary SLR Target</t>
        </is>
      </c>
      <c r="P103" s="376" t="inlineStr">
        <is>
          <t>REF-089</t>
        </is>
      </c>
    </row>
    <row r="104" ht="34" customHeight="1" s="270">
      <c r="A104" s="368" t="inlineStr">
        <is>
          <t>Fathy</t>
        </is>
      </c>
      <c r="B104" s="368" t="inlineStr">
        <is>
          <t>10.1038/s41598-021-94133-4</t>
        </is>
      </c>
      <c r="C104" s="369" t="inlineStr">
        <is>
          <t>Training-induced plasticity enables visualizing sounds with a visual-to-auditory conversion device</t>
        </is>
      </c>
      <c r="D104" s="368" t="n">
        <v>2021</v>
      </c>
      <c r="E104" s="368" t="inlineStr">
        <is>
          <t>Springer Nature</t>
        </is>
      </c>
      <c r="F104" s="369" t="inlineStr">
        <is>
          <t>https://www.nature.com/articles/s41598-021-94133-4</t>
        </is>
      </c>
      <c r="G104" s="369" t="inlineStr">
        <is>
          <t>The vOICe; camera glasses; headphones; crossmodal interference task; auditory tests</t>
        </is>
      </c>
      <c r="H104" s="370" t="inlineStr">
        <is>
          <t>Included</t>
        </is>
      </c>
      <c r="I104" s="369" t="inlineStr">
        <is>
          <t>Relevant to training and individual differences in auditory sensory substitution.</t>
        </is>
      </c>
      <c r="J104" s="369" t="inlineStr">
        <is>
          <t>The contribution of visual and auditory processes after SSD training remains unclear.</t>
        </is>
      </c>
      <c r="K104" s="369" t="inlineStr">
        <is>
          <t>Compare pre- and post-training sound identification with visual distractors. Measure auditory ability and subjective experience alongside training.</t>
        </is>
      </c>
      <c r="L104" s="371" t="inlineStr">
        <is>
          <t>Tactile &amp; Sensory Substitution Systems (TSSS)</t>
        </is>
      </c>
      <c r="M104" s="372" t="inlineStr">
        <is>
          <t>Tactile-Actuation, Wearable-Embedded</t>
        </is>
      </c>
      <c r="N104" s="368" t="inlineStr">
        <is>
          <t>Original assignment for Fathy (Row 104)</t>
        </is>
      </c>
      <c r="O104" s="368" t="inlineStr">
        <is>
          <t>Primary SLR Target</t>
        </is>
      </c>
      <c r="P104" s="373" t="inlineStr">
        <is>
          <t>REF-090</t>
        </is>
      </c>
    </row>
    <row r="105" ht="34" customHeight="1" s="270">
      <c r="A105" s="374" t="inlineStr">
        <is>
          <t>Fathy</t>
        </is>
      </c>
      <c r="B105" s="374" t="inlineStr">
        <is>
          <t>10.1038/s41598-022-08187-z</t>
        </is>
      </c>
      <c r="C105" s="375" t="inlineStr">
        <is>
          <t>Congenitally blind adults learning face-shapes through auditory sensory substitution</t>
        </is>
      </c>
      <c r="D105" s="374" t="n">
        <v>2022</v>
      </c>
      <c r="E105" s="374" t="inlineStr">
        <is>
          <t>Springer Nature</t>
        </is>
      </c>
      <c r="F105" s="375" t="inlineStr">
        <is>
          <t>https://www.nature.com/articles/s41598-022-08187-z</t>
        </is>
      </c>
      <c r="G105" s="375" t="inlineStr">
        <is>
          <t>Visual-to-auditory SSD; cartoon-face sound representations; structured training</t>
        </is>
      </c>
      <c r="H105" s="370" t="inlineStr">
        <is>
          <t>Included</t>
        </is>
      </c>
      <c r="I105" s="375" t="inlineStr">
        <is>
          <t>Directly studies nonvisual recognition in congenitally blind adults.</t>
        </is>
      </c>
      <c r="J105" s="375" t="inlineStr">
        <is>
          <t>Whether people without visual experience can learn and generalize face-shape recognition through sound is uncertain.</t>
        </is>
      </c>
      <c r="K105" s="375" t="inlineStr">
        <is>
          <t>Train expert SSD users on six cartoon faces for about 12 hours, then test inverted faces and learning of six additional faces.</t>
        </is>
      </c>
      <c r="L105" s="371" t="inlineStr">
        <is>
          <t>Cognitive Ergonomics &amp; Blind Usability (CE-BU)</t>
        </is>
      </c>
      <c r="M105" s="372" t="inlineStr">
        <is>
          <t>Tactile-Actuation, AI-Object-Detection, Human-Factors-Usability</t>
        </is>
      </c>
      <c r="N105" s="374" t="inlineStr">
        <is>
          <t>Original assignment for Fathy (Row 105)</t>
        </is>
      </c>
      <c r="O105" s="374" t="inlineStr">
        <is>
          <t>Primary SLR Target</t>
        </is>
      </c>
      <c r="P105" s="376" t="inlineStr">
        <is>
          <t>REF-091</t>
        </is>
      </c>
    </row>
    <row r="106" ht="34" customHeight="1" s="270">
      <c r="A106" s="368" t="inlineStr">
        <is>
          <t>Fathy</t>
        </is>
      </c>
      <c r="B106" s="368" t="inlineStr">
        <is>
          <t>10.1038/s41598-023-49507-1</t>
        </is>
      </c>
      <c r="C106" s="369" t="inlineStr">
        <is>
          <t>Blind people can actively manipulate virtual objects with a novel tactile device</t>
        </is>
      </c>
      <c r="D106" s="368" t="n">
        <v>2023</v>
      </c>
      <c r="E106" s="368" t="inlineStr">
        <is>
          <t>Springer Nature</t>
        </is>
      </c>
      <c r="F106" s="369" t="inlineStr">
        <is>
          <t>https://www.nature.com/articles/s41598-023-49507-1</t>
        </is>
      </c>
      <c r="G106" s="369" t="inlineStr">
        <is>
          <t>Mouse-shaped haptic device; tactile height and inclination cues; keyboard-controlled virtual objects</t>
        </is>
      </c>
      <c r="H106" s="370" t="inlineStr">
        <is>
          <t>Included</t>
        </is>
      </c>
      <c r="I106" s="369" t="inlineStr">
        <is>
          <t>Directly studies tactile interaction and spatial representation in blind participants.</t>
        </is>
      </c>
      <c r="J106" s="369" t="inlineStr">
        <is>
          <t>Static tactile graphics limit active manipulation and construction of spatial content.</t>
        </is>
      </c>
      <c r="K106" s="369" t="inlineStr">
        <is>
          <t>Twelve blind participants explore virtual shapes using a haptic device and reposition objects with a keyboard to solve spatial puzzles.</t>
        </is>
      </c>
      <c r="L106" s="371" t="inlineStr">
        <is>
          <t>Tactile &amp; Sensory Substitution Systems (TSSS)</t>
        </is>
      </c>
      <c r="M106" s="372" t="inlineStr">
        <is>
          <t>Tactile-Actuation, Human-Factors-Usability</t>
        </is>
      </c>
      <c r="N106" s="368" t="inlineStr">
        <is>
          <t>Original assignment for Fathy (Row 106)</t>
        </is>
      </c>
      <c r="O106" s="368" t="inlineStr">
        <is>
          <t>Primary SLR Target</t>
        </is>
      </c>
      <c r="P106" s="373" t="inlineStr">
        <is>
          <t>REF-092</t>
        </is>
      </c>
    </row>
    <row r="107" ht="34" customHeight="1" s="270">
      <c r="A107" s="374" t="inlineStr">
        <is>
          <t>Fathy</t>
        </is>
      </c>
      <c r="B107" s="374" t="inlineStr">
        <is>
          <t>10.1038/s41598-024-74416-2</t>
        </is>
      </c>
      <c r="C107" s="375" t="inlineStr">
        <is>
          <t>Improved YOLOv5 algorithm combined with depth camera and embedded system for blind indoor visual assistance</t>
        </is>
      </c>
      <c r="D107" s="374" t="n">
        <v>2024</v>
      </c>
      <c r="E107" s="374" t="inlineStr">
        <is>
          <t>Springer Nature</t>
        </is>
      </c>
      <c r="F107" s="375" t="inlineStr">
        <is>
          <t>https://www.nature.com/articles/s41598-024-74416-2</t>
        </is>
      </c>
      <c r="G107" s="375" t="inlineStr">
        <is>
          <t>YOLOv5; GhostNet; coordinate attention; BiFPN; RealSense D435i; Raspberry Pi 4 B; speech interface</t>
        </is>
      </c>
      <c r="H107" s="370" t="inlineStr">
        <is>
          <t>Included</t>
        </is>
      </c>
      <c r="I107" s="375" t="inlineStr">
        <is>
          <t>Directly supports indoor object finding and distance feedback for visually impaired users.</t>
        </is>
      </c>
      <c r="J107" s="375" t="inlineStr">
        <is>
          <t>Indoor object-finding aids can be costly, difficult to carry and computationally demanding.</t>
        </is>
      </c>
      <c r="K107" s="375" t="inlineStr">
        <is>
          <t>Use a lightweight modified YOLOv5 model with RGB-depth images. Accept a spoken target and announce its distance through a voice interface.</t>
        </is>
      </c>
      <c r="L107" s="371" t="inlineStr">
        <is>
          <t>Edge Computer Vision &amp; 3D Spatial Perception (CV-3D)</t>
        </is>
      </c>
      <c r="M107" s="372" t="inlineStr">
        <is>
          <t>Depth-Sensing, AI-Object-Detection, Corridor-Navigation, Human-Factors-Usability, Wearable-Embedded</t>
        </is>
      </c>
      <c r="N107" s="374" t="inlineStr">
        <is>
          <t>Original assignment for Fathy (Row 107)</t>
        </is>
      </c>
      <c r="O107" s="374" t="inlineStr">
        <is>
          <t>Primary SLR Target</t>
        </is>
      </c>
      <c r="P107" s="376" t="inlineStr">
        <is>
          <t>REF-093</t>
        </is>
      </c>
    </row>
    <row r="108" ht="34" customHeight="1" s="270">
      <c r="A108" s="368" t="inlineStr">
        <is>
          <t>Fathy</t>
        </is>
      </c>
      <c r="B108" s="368" t="inlineStr">
        <is>
          <t>10.1038/s41598-024-79845-7</t>
        </is>
      </c>
      <c r="C108" s="369" t="inlineStr">
        <is>
          <t>A shape-changing haptic navigation interface for vision impairment</t>
        </is>
      </c>
      <c r="D108" s="368" t="n">
        <v>2024</v>
      </c>
      <c r="E108" s="368" t="inlineStr">
        <is>
          <t>Springer Nature</t>
        </is>
      </c>
      <c r="F108" s="369" t="inlineStr">
        <is>
          <t>https://www.nature.com/articles/s41598-024-79845-7</t>
        </is>
      </c>
      <c r="G108" s="369" t="inlineStr">
        <is>
          <t>Shape-changing handheld haptic interface; two-axis bending; VR position and orientation tracking</t>
        </is>
      </c>
      <c r="H108" s="370" t="inlineStr">
        <is>
          <t>Included</t>
        </is>
      </c>
      <c r="I108" s="369" t="inlineStr">
        <is>
          <t>Directly evaluates nonvisual spatial guidance with visually impaired participants.</t>
        </is>
      </c>
      <c r="J108" s="369" t="inlineStr">
        <is>
          <t>Nonvisual interfaces can struggle to communicate precise navigation directions.</t>
        </is>
      </c>
      <c r="K108" s="369" t="inlineStr">
        <is>
          <t>Compare a bending interface with vibration in virtual-target localization. Visually impaired participants located targets faster and more efficiently using shape change.</t>
        </is>
      </c>
      <c r="L108" s="371" t="inlineStr">
        <is>
          <t>Tactile &amp; Sensory Substitution Systems (TSSS)</t>
        </is>
      </c>
      <c r="M108" s="372" t="inlineStr">
        <is>
          <t>Tactile-Actuation, Corridor-Navigation, Human-Factors-Usability</t>
        </is>
      </c>
      <c r="N108" s="368" t="inlineStr">
        <is>
          <t>Original assignment for Fathy (Row 108)</t>
        </is>
      </c>
      <c r="O108" s="368" t="inlineStr">
        <is>
          <t>Primary SLR Target</t>
        </is>
      </c>
      <c r="P108" s="373" t="inlineStr">
        <is>
          <t>REF-094</t>
        </is>
      </c>
    </row>
    <row r="109" ht="34" customHeight="1" s="270">
      <c r="A109" s="374" t="inlineStr">
        <is>
          <t>Fathy</t>
        </is>
      </c>
      <c r="B109" s="374" t="inlineStr">
        <is>
          <t>10.1038/s41598-025-01529-7</t>
        </is>
      </c>
      <c r="C109" s="375" t="inlineStr">
        <is>
          <t>Embedded solution to detect and classify head level objects using stereo vision for visually impaired people with audio feedback</t>
        </is>
      </c>
      <c r="D109" s="374" t="n">
        <v>1905</v>
      </c>
      <c r="E109" s="374" t="inlineStr">
        <is>
          <t>Springer Nature</t>
        </is>
      </c>
      <c r="F109" s="375" t="inlineStr">
        <is>
          <t>https://www.nature.com/articles/s41598-025-01529-7</t>
        </is>
      </c>
      <c r="G109" s="375" t="inlineStr">
        <is>
          <t>Stereo vision; YOLOv5; embedded processing; range and orientation estimation; audio feedback</t>
        </is>
      </c>
      <c r="H109" s="370" t="inlineStr">
        <is>
          <t>Included</t>
        </is>
      </c>
      <c r="I109" s="375" t="inlineStr">
        <is>
          <t>Directly addresses head-level obstacle awareness for blind users.</t>
        </is>
      </c>
      <c r="J109" s="375" t="inlineStr">
        <is>
          <t>Limited environmental awareness for visually impaired individuals; high cognitive load from unsimplified sensory streams; lack of intuitive distance perception.</t>
        </is>
      </c>
      <c r="K109" s="375" t="inlineStr">
        <is>
          <t>Detect five classes of head-level objects, calculate relative range and orientation, and provide audio warnings. Evaluate the system using dataset, field and user tests.</t>
        </is>
      </c>
      <c r="L109" s="371" t="inlineStr">
        <is>
          <t>Cognitive Ergonomics &amp; Blind Usability (CE-BU)</t>
        </is>
      </c>
      <c r="M109" s="372" t="inlineStr">
        <is>
          <t>Depth-Sensing, AI-Object-Detection, Human-Factors-Usability, Wearable-Embedded</t>
        </is>
      </c>
      <c r="N109" s="374" t="inlineStr">
        <is>
          <t>Original assignment for Fathy (Row 109)</t>
        </is>
      </c>
      <c r="O109" s="374" t="inlineStr">
        <is>
          <t>Primary SLR Target</t>
        </is>
      </c>
      <c r="P109" s="376" t="inlineStr">
        <is>
          <t>REF-095</t>
        </is>
      </c>
    </row>
    <row r="110" ht="34" customHeight="1" s="270">
      <c r="A110" s="368" t="inlineStr">
        <is>
          <t>Ahmed</t>
        </is>
      </c>
      <c r="B110" s="368" t="inlineStr">
        <is>
          <t>https://doi.org/10.1038/s41598-025-08155-3</t>
        </is>
      </c>
      <c r="C110" s="369" t="inlineStr">
        <is>
          <t>Multi-strategy dung beetle optimization for robust indoor object detection and tracking for visually impaired people with hybrid deep learning networks</t>
        </is>
      </c>
      <c r="D110" s="368" t="inlineStr">
        <is>
          <t>21_October_2025</t>
        </is>
      </c>
      <c r="E110" s="368" t="inlineStr">
        <is>
          <t>Nature</t>
        </is>
      </c>
      <c r="F110" s="369" t="inlineStr">
        <is>
          <t>https://www.nature.com/articles/s41598-025-08155-3</t>
        </is>
      </c>
      <c r="G110" s="369" t="inlineStr">
        <is>
          <t>Median Filter (MF) — Image Pre-processing
Mask R-CNN — Object Detection and Localization
CapsNet — Feature Extraction
CNN-BiLSTM — Object Detection and Classification
MSDBO — Hyperparameter Optimization
Computer Vision / Deep Learning</t>
        </is>
      </c>
      <c r="H110" s="370" t="inlineStr">
        <is>
          <t>Included</t>
        </is>
      </c>
      <c r="I110" s="369" t="inlineStr">
        <is>
          <t xml:space="preserve"> included because it directly addresses indoor object detection and tracking for visually impaired people using computer vision and deep learning</t>
        </is>
      </c>
      <c r="J110" s="369"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369"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c r="L110" s="371" t="inlineStr">
        <is>
          <t>Edge Computer Vision &amp; 3D Spatial Perception (CV-3D)</t>
        </is>
      </c>
      <c r="M110" s="372" t="inlineStr">
        <is>
          <t>AI-Object-Detection, Corridor-Navigation, Human-Factors-Usability</t>
        </is>
      </c>
      <c r="N110" s="368" t="inlineStr">
        <is>
          <t>Original assignment for Ahmed (Row 110)</t>
        </is>
      </c>
      <c r="O110" s="368" t="inlineStr">
        <is>
          <t>Primary SLR Target</t>
        </is>
      </c>
      <c r="P110" s="373" t="inlineStr">
        <is>
          <t>REF-096</t>
        </is>
      </c>
    </row>
    <row r="111" ht="34" customHeight="1" s="270">
      <c r="A111" s="374" t="inlineStr">
        <is>
          <t>Ahmed</t>
        </is>
      </c>
      <c r="B111" s="374" t="inlineStr">
        <is>
          <t>https://doi.org/10.1038/s41598-025-14946-5</t>
        </is>
      </c>
      <c r="C111" s="375" t="inlineStr">
        <is>
          <t>Leveraging assistive technology for visually impaired people through optimal deep transfer learning based object detection model</t>
        </is>
      </c>
      <c r="D111" s="374" t="n">
        <v>2025</v>
      </c>
      <c r="E111" s="374" t="inlineStr">
        <is>
          <t>Nature</t>
        </is>
      </c>
      <c r="F111" s="375" t="inlineStr">
        <is>
          <t>https://www.nature.com/articles/s41598-025-14946-5#Sec12</t>
        </is>
      </c>
      <c r="G111" s="375"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370" t="inlineStr">
        <is>
          <t>Included</t>
        </is>
      </c>
      <c r="I111" s="375" t="inlineStr">
        <is>
          <t>visually impaired people need accessible, practical, and accurate assistive technologies capable of detecting objects in their surrounding environments, while many solutions can be costly or un suitable for real time use.</t>
        </is>
      </c>
      <c r="J111" s="375" t="inlineStr">
        <is>
          <t>Limited environmental awareness for visually impaired individuals; high cognitive load from unsimplified sensory streams; lack of intuitive distance perception.</t>
        </is>
      </c>
      <c r="K111" s="375"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c r="L111" s="371" t="inlineStr">
        <is>
          <t>Edge Computer Vision &amp; 3D Spatial Perception (CV-3D)</t>
        </is>
      </c>
      <c r="M111" s="372" t="inlineStr">
        <is>
          <t>Depth-Sensing, AI-Object-Detection, Human-Factors-Usability</t>
        </is>
      </c>
      <c r="N111" s="374" t="inlineStr">
        <is>
          <t>Original assignment for Ahmed (Row 111)</t>
        </is>
      </c>
      <c r="O111" s="374" t="inlineStr">
        <is>
          <t>Primary SLR Target</t>
        </is>
      </c>
      <c r="P111" s="376" t="inlineStr">
        <is>
          <t>REF-097</t>
        </is>
      </c>
    </row>
    <row r="112" ht="34" customHeight="1" s="270">
      <c r="A112" s="368" t="inlineStr">
        <is>
          <t>Ahmed</t>
        </is>
      </c>
      <c r="B112" s="368" t="inlineStr">
        <is>
          <t>https://doi.org/10.1038/s41598-025-20765-5</t>
        </is>
      </c>
      <c r="C112" s="369" t="inlineStr">
        <is>
          <t>Enhancing indoor monitoring of visually impaired people using temporal convolutional network with optimization model in IoT environment</t>
        </is>
      </c>
      <c r="D112" s="368" t="n">
        <v>2025</v>
      </c>
      <c r="E112" s="368" t="inlineStr">
        <is>
          <t>Nature</t>
        </is>
      </c>
      <c r="F112" s="369" t="inlineStr">
        <is>
          <t>https://www.nature.com/articles/s41598-025-20765-5#Abs1</t>
        </is>
      </c>
      <c r="G112" s="369"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370" t="inlineStr">
        <is>
          <t>Included</t>
        </is>
      </c>
      <c r="I112" s="369" t="inlineStr">
        <is>
          <t>Human activity recognition (walking, sitting, etc.) on a generic HAR dataset, only nominally framed for VI indoor monitoring; no vision, obstacle perception, haptics or navigation aid.</t>
        </is>
      </c>
      <c r="J112" s="369" t="inlineStr">
        <is>
          <t xml:space="preserve">Visually impaired and disabled individuals may face difficulties with indoor movement and daily activities, creating a need for IoT-based systems capable of monitoring and recognizing activities using sensor data.
</t>
        </is>
      </c>
      <c r="K112" s="36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c r="L112" s="371" t="inlineStr">
        <is>
          <t>Cognitive Ergonomics &amp; Blind Usability (CE-BU)</t>
        </is>
      </c>
      <c r="M112" s="372" t="inlineStr">
        <is>
          <t>Tactile-Actuation, AI-Object-Detection, Corridor-Navigation, Human-Factors-Usability</t>
        </is>
      </c>
      <c r="N112" s="368" t="inlineStr">
        <is>
          <t>Original assignment for Ahmed (Row 112)</t>
        </is>
      </c>
      <c r="O112" s="368" t="inlineStr">
        <is>
          <t>Primary SLR Target</t>
        </is>
      </c>
      <c r="P112" s="373" t="inlineStr">
        <is>
          <t>REF-098</t>
        </is>
      </c>
    </row>
    <row r="113" ht="34" customHeight="1" s="270">
      <c r="A113" s="374" t="inlineStr">
        <is>
          <t>Ahmed</t>
        </is>
      </c>
      <c r="B113" s="374" t="inlineStr">
        <is>
          <t>https://doi.org/10.1038/s41598-025-21720-0</t>
        </is>
      </c>
      <c r="C113" s="375" t="inlineStr">
        <is>
          <t>Enhancing grasping ability with vibrational guidance for individuals who are blind or partially sighted</t>
        </is>
      </c>
      <c r="D113" s="374" t="n">
        <v>2025</v>
      </c>
      <c r="E113" s="374" t="inlineStr">
        <is>
          <t>Nature</t>
        </is>
      </c>
      <c r="F113" s="375" t="inlineStr">
        <is>
          <t>https://www.nature.com/articles/s41598-025-21720-0#Abs1</t>
        </is>
      </c>
      <c r="G113" s="375" t="inlineStr">
        <is>
          <t>Vibrotactile Bracelet – Wearable Tactile Feedback; 4 ERM Vibration Motors – Directional Haptic Feedback; Precision Microdrives 306-10H – Vibration Actuators; Insta360 One R Camera – Visual Monitoring; Laptop – System Control; Control Box – Bracelet Control</t>
        </is>
      </c>
      <c r="H113" s="370" t="inlineStr">
        <is>
          <t>Included</t>
        </is>
      </c>
      <c r="I113" s="375"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375" t="inlineStr">
        <is>
          <t>Visually impaired individuals may face difficulties in locating and grasping objects due to the absence of visual feedback.</t>
        </is>
      </c>
      <c r="K113" s="375"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c r="L113" s="371" t="inlineStr">
        <is>
          <t>Tactile &amp; Sensory Substitution Systems (TSSS)</t>
        </is>
      </c>
      <c r="M113" s="372" t="inlineStr">
        <is>
          <t>Tactile-Actuation, AI-Object-Detection, Corridor-Navigation, Human-Factors-Usability, Wearable-Embedded</t>
        </is>
      </c>
      <c r="N113" s="374" t="inlineStr">
        <is>
          <t>Original assignment for Ahmed (Row 113)</t>
        </is>
      </c>
      <c r="O113" s="374" t="inlineStr">
        <is>
          <t>Primary SLR Target</t>
        </is>
      </c>
      <c r="P113" s="376" t="inlineStr">
        <is>
          <t>REF-099</t>
        </is>
      </c>
    </row>
    <row r="114" ht="34" customHeight="1" s="270">
      <c r="A114" s="368" t="inlineStr">
        <is>
          <t>Ahmed</t>
        </is>
      </c>
      <c r="B114" s="368" t="inlineStr">
        <is>
          <t>https://doi.org/10.1038/s41598-025-29947-7</t>
        </is>
      </c>
      <c r="C114" s="369" t="inlineStr">
        <is>
          <t>A smart assistive system for visually challenged people through efficient object detection using deep learning with tunicate swarm algorithm</t>
        </is>
      </c>
      <c r="D114" s="368" t="n">
        <v>2025</v>
      </c>
      <c r="E114" s="368" t="inlineStr">
        <is>
          <t>Nature</t>
        </is>
      </c>
      <c r="F114" s="369" t="inlineStr">
        <is>
          <t>https://www.nature.com/articles/s41598-025-29947-7#Abs1</t>
        </is>
      </c>
      <c r="G114" s="369" t="inlineStr">
        <is>
          <t xml:space="preserve">Median Filtering (MF) – Image Pre-processing; YOLOv8 – Object Detection; CapsNet – Feature Extraction; Deep Belief Network (DBN) – Detection and Classification; Tunicate Swarm Algorithm (TSA) – Hyperparameter Optimization, Deep Learning </t>
        </is>
      </c>
      <c r="H114" s="370" t="inlineStr">
        <is>
          <t>Included</t>
        </is>
      </c>
      <c r="I114" s="369" t="inlineStr">
        <is>
          <t>it directly addresses object detection for visually impaired people using deep learning and Computer vision</t>
        </is>
      </c>
      <c r="J114" s="369" t="inlineStr">
        <is>
          <t>Visually impaired people face difficulties in identifying and locating objects in indoor and outdoor environments, while conventional assistive tools provide limited environmental awareness and accuracy.</t>
        </is>
      </c>
      <c r="K114" s="369"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c r="L114" s="371" t="inlineStr">
        <is>
          <t>Edge Computer Vision &amp; 3D Spatial Perception (CV-3D)</t>
        </is>
      </c>
      <c r="M114" s="372" t="inlineStr">
        <is>
          <t>AI-Object-Detection, Corridor-Navigation, Human-Factors-Usability</t>
        </is>
      </c>
      <c r="N114" s="368" t="inlineStr">
        <is>
          <t>Original assignment for Ahmed (Row 114)</t>
        </is>
      </c>
      <c r="O114" s="368" t="inlineStr">
        <is>
          <t>Primary SLR Target</t>
        </is>
      </c>
      <c r="P114" s="373" t="inlineStr">
        <is>
          <t>REF-100</t>
        </is>
      </c>
    </row>
    <row r="115" ht="34" customHeight="1" s="270">
      <c r="A115" s="374" t="inlineStr">
        <is>
          <t>Ahmed</t>
        </is>
      </c>
      <c r="B115" s="374" t="inlineStr">
        <is>
          <t>https://doi.org/10.1038/s41598-025-28038-x</t>
        </is>
      </c>
      <c r="C115" s="375" t="inlineStr">
        <is>
          <t>Unveiling interactions of spatial-temporal information in tactile motion perception</t>
        </is>
      </c>
      <c r="D115" s="374" t="n">
        <v>2025</v>
      </c>
      <c r="E115" s="374" t="inlineStr">
        <is>
          <t>Nature</t>
        </is>
      </c>
      <c r="F115" s="375" t="inlineStr">
        <is>
          <t>https://www.nature.com/articles/s41598-025-28038-x#Abs1</t>
        </is>
      </c>
      <c r="G115" s="375"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370" t="inlineStr">
        <is>
          <t>Included</t>
        </is>
      </c>
      <c r="I115" s="375"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375" t="inlineStr">
        <is>
          <t>The interaction between spatial and temporal information in tactile motion perception is not fully understood, particularly how stimulus speed and spatial frequency affect perceived direction and speed</t>
        </is>
      </c>
      <c r="K115" s="375" t="inlineStr">
        <is>
          <t xml:space="preserve">
The study conducts two psychophysical experiments using a tactile stimulator to vary stimulus direction, speed, and spatial frequency, and evaluates participants’ perceived motion</t>
        </is>
      </c>
      <c r="L115" s="371" t="inlineStr">
        <is>
          <t>Tactile &amp; Sensory Substitution Systems (TSSS)</t>
        </is>
      </c>
      <c r="M115" s="372" t="inlineStr">
        <is>
          <t>Tactile-Actuation, Depth-Sensing, AI-Object-Detection, Human-Factors-Usability</t>
        </is>
      </c>
      <c r="N115" s="374" t="inlineStr">
        <is>
          <t>Original assignment for Ahmed (Row 115)</t>
        </is>
      </c>
      <c r="O115" s="374" t="inlineStr">
        <is>
          <t>Primary SLR Target</t>
        </is>
      </c>
      <c r="P115" s="376" t="inlineStr">
        <is>
          <t>REF-101</t>
        </is>
      </c>
    </row>
    <row r="116" ht="34" customHeight="1" s="270">
      <c r="A116" s="368" t="inlineStr">
        <is>
          <t>Ahmed</t>
        </is>
      </c>
      <c r="B116" s="368" t="inlineStr">
        <is>
          <t>https://doi.org/10.1038/s41598-025-29947-7</t>
        </is>
      </c>
      <c r="C116" s="369" t="inlineStr">
        <is>
          <t>A smart assistive system for visually challenged people through efficient object detection using deep learning with tunicate swarm algorithm</t>
        </is>
      </c>
      <c r="D116" s="368" t="n">
        <v>2023</v>
      </c>
      <c r="E116" s="368" t="inlineStr">
        <is>
          <t>Nature Publishing Group</t>
        </is>
      </c>
      <c r="F116" s="369" t="inlineStr">
        <is>
          <t>https://doi.org/10.1038/s41598-025-29947-7</t>
        </is>
      </c>
      <c r="G116" s="369" t="inlineStr">
        <is>
          <t>RGB Camera, Raspberry Pi &amp; ESP32, Vibrotactile (ERM/LRA), Deep Learning (YOLO/CNN), Vibrotactile (ERM/LRA)</t>
        </is>
      </c>
      <c r="H116" s="377" t="inlineStr">
        <is>
          <t>Excluded</t>
        </is>
      </c>
      <c r="I116" s="369" t="inlineStr">
        <is>
          <t>Dplicated</t>
        </is>
      </c>
      <c r="J116" s="369" t="inlineStr">
        <is>
          <t>Limited environmental awareness for visually impaired individuals; high cognitive load from unsimplified sensory streams; lack of intuitive distance perception.</t>
        </is>
      </c>
      <c r="K116" s="369" t="inlineStr">
        <is>
          <t>3x3 Matrix Vibrotactile (ERM/LRA) display placed on Hand / Palm using Deep Learning (YOLO/CNN).</t>
        </is>
      </c>
      <c r="L116" s="371" t="inlineStr">
        <is>
          <t>Tactile &amp; Sensory Substitution Systems (TSSS)</t>
        </is>
      </c>
      <c r="M116" s="372" t="inlineStr">
        <is>
          <t>Tactile-Actuation, Depth-Sensing, AI-Object-Detection, Human-Factors-Usability, Wearable-Embedded</t>
        </is>
      </c>
      <c r="N116" s="368" t="inlineStr">
        <is>
          <t>Original assignment for Ahmed (Row 116)</t>
        </is>
      </c>
      <c r="O116" s="368" t="inlineStr">
        <is>
          <t>Screened / Excluded</t>
        </is>
      </c>
      <c r="P116" s="373" t="inlineStr">
        <is>
          <t>REF-102</t>
        </is>
      </c>
    </row>
    <row r="117" ht="34" customHeight="1" s="270">
      <c r="A117" s="374" t="inlineStr">
        <is>
          <t>Ahmed</t>
        </is>
      </c>
      <c r="B117" s="374" t="inlineStr">
        <is>
          <t>https://doi.org/10.1038/s41598-025-99903-y</t>
        </is>
      </c>
      <c r="C117" s="375" t="inlineStr">
        <is>
          <t>Leveraging retinanet based object detection model for assisting visually impaired individuals with metaheuristic optimization algorithm</t>
        </is>
      </c>
      <c r="D117" s="374" t="n">
        <v>2025</v>
      </c>
      <c r="E117" s="374" t="inlineStr">
        <is>
          <t>Nature</t>
        </is>
      </c>
      <c r="F117" s="375" t="inlineStr">
        <is>
          <t>https://www.nature.com/articles/s41598-025-99903-y#Abs1</t>
        </is>
      </c>
      <c r="G117" s="375" t="inlineStr">
        <is>
          <t>Wiener Filter (WF) → RetinaNet → EfficientNetB0 → LSTM-AE → Dandelion Optimizer (DO)</t>
        </is>
      </c>
      <c r="H117" s="370" t="inlineStr">
        <is>
          <t>Included</t>
        </is>
      </c>
      <c r="I117" s="375" t="inlineStr">
        <is>
          <t>This system detects objects for individuals with visual impairments using deep learning and computer vision, The model is designed to detect and recognize objects in real time.</t>
        </is>
      </c>
      <c r="J117" s="375"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375"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c r="L117" s="371" t="inlineStr">
        <is>
          <t>Edge Computer Vision &amp; 3D Spatial Perception (CV-3D)</t>
        </is>
      </c>
      <c r="M117" s="372" t="inlineStr">
        <is>
          <t>AI-Object-Detection, Human-Factors-Usability</t>
        </is>
      </c>
      <c r="N117" s="374" t="inlineStr">
        <is>
          <t>Original assignment for Ahmed (Row 117)</t>
        </is>
      </c>
      <c r="O117" s="374" t="inlineStr">
        <is>
          <t>Primary SLR Target</t>
        </is>
      </c>
      <c r="P117" s="376" t="inlineStr">
        <is>
          <t>REF-103</t>
        </is>
      </c>
    </row>
    <row r="118" ht="34" customHeight="1" s="270">
      <c r="A118" s="368" t="inlineStr">
        <is>
          <t>Ahmed</t>
        </is>
      </c>
      <c r="B118" s="368" t="inlineStr">
        <is>
          <t>https://doi.org/10.1038/s41598-026-37578-9</t>
        </is>
      </c>
      <c r="C118" s="369" t="inlineStr">
        <is>
          <t>Efficacy of electronic travel aids for the blind and visually impaired during wayfinding</t>
        </is>
      </c>
      <c r="D118" s="368" t="n">
        <v>2026</v>
      </c>
      <c r="E118" s="368" t="inlineStr">
        <is>
          <t>Nature</t>
        </is>
      </c>
      <c r="F118" s="369" t="inlineStr">
        <is>
          <t>https://www.nature.com/articles/s41598-026-37578-9#Abs1</t>
        </is>
      </c>
      <c r="G118" s="369" t="inlineStr">
        <is>
          <t>RGB Camera, Raspberry Pi &amp; ESP32, Vibrotactile (ERM/LRA), Classical CV &amp; Feature Extraction, Vibrotactile (ERM/LRA)</t>
        </is>
      </c>
      <c r="H118" s="370" t="inlineStr">
        <is>
          <t>Included</t>
        </is>
      </c>
      <c r="I118" s="369" t="inlineStr">
        <is>
          <t>Controlled comparison with BVI users of a camera/RGB-D wearable vest (NOA, spatial audio) and an ultrasonic vibrotactile clip (BuzzClip) against the white cane; direct competitor evaluation.</t>
        </is>
      </c>
      <c r="J118" s="369" t="inlineStr">
        <is>
          <t>Limited environmental awareness for visually impaired individuals; high cognitive load from unsimplified sensory streams; lack of intuitive distance perception.</t>
        </is>
      </c>
      <c r="K118" s="369" t="inlineStr">
        <is>
          <t>4x4 Matrix Vibrotactile (ERM/LRA) display placed on Forehead / Headband using Classical CV &amp; Feature Extraction.</t>
        </is>
      </c>
      <c r="L118" s="371" t="inlineStr">
        <is>
          <t>Tactile &amp; Sensory Substitution Systems (TSSS)</t>
        </is>
      </c>
      <c r="M118" s="372" t="inlineStr">
        <is>
          <t>Tactile-Actuation, Depth-Sensing, Human-Factors-Usability, Wearable-Embedded</t>
        </is>
      </c>
      <c r="N118" s="368" t="inlineStr">
        <is>
          <t>Original assignment for Ahmed (Row 118)</t>
        </is>
      </c>
      <c r="O118" s="368" t="inlineStr">
        <is>
          <t>Primary SLR Target</t>
        </is>
      </c>
      <c r="P118" s="373" t="inlineStr">
        <is>
          <t>REF-104</t>
        </is>
      </c>
    </row>
    <row r="119" ht="34" customHeight="1" s="270">
      <c r="A119" s="374" t="inlineStr">
        <is>
          <t>Ahmed</t>
        </is>
      </c>
      <c r="B119" s="374" t="inlineStr">
        <is>
          <t>https://doi.org/10.1038/s41928-023-01074-z</t>
        </is>
      </c>
      <c r="C119" s="375" t="inlineStr">
        <is>
          <t>A skin-integrated multimodal haptic
interface for immersive tactile feedback</t>
        </is>
      </c>
      <c r="D119" s="374" t="n">
        <v>2023</v>
      </c>
      <c r="E119" s="374" t="inlineStr">
        <is>
          <t>Nature Publishing Group</t>
        </is>
      </c>
      <c r="F119" s="375" t="inlineStr">
        <is>
          <t>https://doi.org/10.1038/s41928-023-01074-z</t>
        </is>
      </c>
      <c r="G119" s="375" t="inlineStr">
        <is>
          <t>RGB Camera, Raspberry Pi &amp; ESP32, Electrotactile Array, Classical CV &amp; Feature Extraction, Electrotactile Array</t>
        </is>
      </c>
      <c r="H119" s="377" t="inlineStr">
        <is>
          <t>Excluded</t>
        </is>
      </c>
      <c r="I119" s="375" t="inlineStr">
        <is>
          <t>Duplicated (salma)</t>
        </is>
      </c>
      <c r="J119" s="375" t="inlineStr">
        <is>
          <t>Limited environmental awareness for visually impaired individuals; high cognitive load from unsimplified sensory streams; lack of intuitive distance perception.</t>
        </is>
      </c>
      <c r="K119" s="375" t="inlineStr">
        <is>
          <t>12x12 (144) Electrotactile Array display placed on Tongue / Palate using Classical CV &amp; Feature Extraction.</t>
        </is>
      </c>
      <c r="L119" s="371" t="inlineStr">
        <is>
          <t>Tactile &amp; Sensory Substitution Systems (TSSS)</t>
        </is>
      </c>
      <c r="M119" s="372" t="inlineStr">
        <is>
          <t>Tactile-Actuation, Depth-Sensing, Human-Factors-Usability, Wearable-Embedded</t>
        </is>
      </c>
      <c r="N119" s="374" t="inlineStr">
        <is>
          <t>Original assignment for Ahmed (Row 119)</t>
        </is>
      </c>
      <c r="O119" s="374" t="inlineStr">
        <is>
          <t>Screened / Excluded</t>
        </is>
      </c>
      <c r="P119" s="376" t="inlineStr">
        <is>
          <t>REF-105</t>
        </is>
      </c>
    </row>
    <row r="120" ht="34" customHeight="1" s="270">
      <c r="A120" s="368" t="inlineStr">
        <is>
          <t>Ahmed</t>
        </is>
      </c>
      <c r="B120" s="368" t="inlineStr">
        <is>
          <t>https://doi.org/10.1007/s44443-025-00234-9</t>
        </is>
      </c>
      <c r="C120" s="369" t="inlineStr">
        <is>
          <t>AI smart cane technology and assistive navigation for visually
impaired users</t>
        </is>
      </c>
      <c r="D120" s="368" t="n">
        <v>2025</v>
      </c>
      <c r="E120" s="368" t="inlineStr">
        <is>
          <t>Springer</t>
        </is>
      </c>
      <c r="F120" s="369" t="inlineStr">
        <is>
          <t>https://link.springer.com/article/10.1007/s44443-025-00234-9</t>
        </is>
      </c>
      <c r="G120" s="369" t="inlineStr">
        <is>
          <t>RGB Camera, Raspberry Pi &amp; ESP32, Vibrotactile (ERM/LRA), Visual SLAM &amp; Tracking, Vibrotactile (ERM/LRA)</t>
        </is>
      </c>
      <c r="H120" s="377" t="inlineStr">
        <is>
          <t>Excluded</t>
        </is>
      </c>
      <c r="I120" s="369" t="inlineStr">
        <is>
          <t>3shan review paper (summarizes existing smart cane technology and research)</t>
        </is>
      </c>
      <c r="J120" s="369" t="inlineStr">
        <is>
          <t>Limited environmental awareness for visually impaired individuals; high cognitive load from unsimplified sensory streams; lack of intuitive distance perception.</t>
        </is>
      </c>
      <c r="K120" s="369" t="inlineStr">
        <is>
          <t>8x8 (64) Vibrotactile (ERM/LRA) display placed on Abdomen / Waist Belt using Visual SLAM &amp; Tracking.</t>
        </is>
      </c>
      <c r="L120" s="371" t="inlineStr">
        <is>
          <t>Tactile &amp; Sensory Substitution Systems (TSSS)</t>
        </is>
      </c>
      <c r="M120" s="372" t="inlineStr">
        <is>
          <t>Tactile-Actuation, Depth-Sensing, AI-Object-Detection, Corridor-Navigation, Human-Factors-Usability, Wearable-Embedded</t>
        </is>
      </c>
      <c r="N120" s="368" t="inlineStr">
        <is>
          <t>Original assignment for Ahmed (Row 120)</t>
        </is>
      </c>
      <c r="O120" s="368" t="inlineStr">
        <is>
          <t>Screened / Excluded</t>
        </is>
      </c>
      <c r="P120" s="373" t="inlineStr">
        <is>
          <t>REF-106</t>
        </is>
      </c>
    </row>
    <row r="121" ht="34" customHeight="1" s="270">
      <c r="A121" s="374" t="inlineStr">
        <is>
          <t>Ahmed</t>
        </is>
      </c>
      <c r="B121" s="374" t="inlineStr">
        <is>
          <t>https://doi.org/10.1038/s41598-025-27603-8</t>
        </is>
      </c>
      <c r="C121" s="375" t="inlineStr">
        <is>
          <t>An intelligent framework for
visually impaired people through
indoor object Detection-Based
assistive system using YOLO with
recurrent neural networks</t>
        </is>
      </c>
      <c r="D121" s="374" t="n">
        <v>2025</v>
      </c>
      <c r="E121" s="374" t="inlineStr">
        <is>
          <t>Nature</t>
        </is>
      </c>
      <c r="F121" s="375" t="inlineStr">
        <is>
          <t>https://www.nature.com/articles/s41598-025-27603-8</t>
        </is>
      </c>
      <c r="G121" s="375" t="inlineStr">
        <is>
          <t>Gaussian Filtering (GF)
YOLOv12 for real-time object detection
DenseNet161 for feature extraction
BiGRU with Attention Mechanism (BiGRU-AM)
Ivy Optimization Algorithm (IOA) for hyperparameter tuning</t>
        </is>
      </c>
      <c r="H121" s="370" t="inlineStr">
        <is>
          <t>Included</t>
        </is>
      </c>
      <c r="I121" s="375" t="inlineStr">
        <is>
          <t>Deep-learning indoor object detection framed as an assistive system for visually impaired people; perception layer only, dataset benchmark without device or users.</t>
        </is>
      </c>
      <c r="J121" s="375" t="inlineStr">
        <is>
          <t>Visually impaired people face difficulties in independently recognizing indoor objects and navigating their surroundings safely.</t>
        </is>
      </c>
      <c r="K121" s="375" t="inlineStr">
        <is>
          <t>An IODAS-IOA assistive framework combining YOLOv12, DenseNet161, BiGRU-AM, and IOA for accurate real-time indoor object detection and safer navigation.</t>
        </is>
      </c>
      <c r="L121" s="371" t="inlineStr">
        <is>
          <t>Edge Computer Vision &amp; 3D Spatial Perception (CV-3D)</t>
        </is>
      </c>
      <c r="M121" s="372" t="inlineStr">
        <is>
          <t>AI-Object-Detection, Corridor-Navigation, Human-Factors-Usability</t>
        </is>
      </c>
      <c r="N121" s="374" t="inlineStr">
        <is>
          <t>Original assignment for Ahmed (Row 121)</t>
        </is>
      </c>
      <c r="O121" s="374" t="inlineStr">
        <is>
          <t>Primary SLR Target</t>
        </is>
      </c>
      <c r="P121" s="376" t="inlineStr">
        <is>
          <t>REF-107</t>
        </is>
      </c>
    </row>
    <row r="122" ht="34" customHeight="1" s="270">
      <c r="A122" s="378" t="inlineStr">
        <is>
          <t>Mohsen</t>
        </is>
      </c>
      <c r="B122" s="378" t="inlineStr">
        <is>
          <t>N/A</t>
        </is>
      </c>
      <c r="C122" s="379" t="inlineStr">
        <is>
          <t>[Reserved Template Slot / Excluded]</t>
        </is>
      </c>
      <c r="D122" s="378" t="inlineStr">
        <is>
          <t>N/A</t>
        </is>
      </c>
      <c r="E122" s="378" t="inlineStr">
        <is>
          <t>N/A</t>
        </is>
      </c>
      <c r="F122" s="379" t="inlineStr">
        <is>
          <t>N/A</t>
        </is>
      </c>
      <c r="G122" s="379" t="inlineStr">
        <is>
          <t>N/A</t>
        </is>
      </c>
      <c r="H122" s="379" t="inlineStr">
        <is>
          <t>Excluded</t>
        </is>
      </c>
      <c r="I122" s="379" t="inlineStr">
        <is>
          <t>Empty placeholder slot in original allocation template.</t>
        </is>
      </c>
      <c r="J122" s="379" t="inlineStr">
        <is>
          <t>N/A</t>
        </is>
      </c>
      <c r="K122" s="379" t="inlineStr">
        <is>
          <t>N/A</t>
        </is>
      </c>
      <c r="L122" s="379" t="inlineStr">
        <is>
          <t>Excluded (Template Slot)</t>
        </is>
      </c>
      <c r="M122" s="379" t="inlineStr"/>
      <c r="N122" s="378" t="inlineStr">
        <is>
          <t>Reserved slot for Mohsen (Empty in original)</t>
        </is>
      </c>
      <c r="O122" s="378" t="inlineStr">
        <is>
          <t>Template Slot</t>
        </is>
      </c>
      <c r="P122" s="378" t="inlineStr">
        <is>
          <t>REF-SLOT-122</t>
        </is>
      </c>
    </row>
    <row r="123" ht="34" customHeight="1" s="270">
      <c r="A123" s="378" t="inlineStr">
        <is>
          <t>Mohsen</t>
        </is>
      </c>
      <c r="B123" s="378" t="inlineStr">
        <is>
          <t>N/A</t>
        </is>
      </c>
      <c r="C123" s="379" t="inlineStr">
        <is>
          <t>[Reserved Template Slot / Excluded]</t>
        </is>
      </c>
      <c r="D123" s="378" t="inlineStr">
        <is>
          <t>N/A</t>
        </is>
      </c>
      <c r="E123" s="378" t="inlineStr">
        <is>
          <t>N/A</t>
        </is>
      </c>
      <c r="F123" s="379" t="inlineStr">
        <is>
          <t>N/A</t>
        </is>
      </c>
      <c r="G123" s="379" t="inlineStr">
        <is>
          <t>N/A</t>
        </is>
      </c>
      <c r="H123" s="379" t="inlineStr">
        <is>
          <t>Excluded</t>
        </is>
      </c>
      <c r="I123" s="379" t="inlineStr">
        <is>
          <t>Empty placeholder slot in original allocation template.</t>
        </is>
      </c>
      <c r="J123" s="379" t="inlineStr">
        <is>
          <t>N/A</t>
        </is>
      </c>
      <c r="K123" s="379" t="inlineStr">
        <is>
          <t>N/A</t>
        </is>
      </c>
      <c r="L123" s="379" t="inlineStr">
        <is>
          <t>Excluded (Template Slot)</t>
        </is>
      </c>
      <c r="M123" s="379" t="inlineStr"/>
      <c r="N123" s="378" t="inlineStr">
        <is>
          <t>Reserved slot for Mohsen (Empty in original)</t>
        </is>
      </c>
      <c r="O123" s="378" t="inlineStr">
        <is>
          <t>Template Slot</t>
        </is>
      </c>
      <c r="P123" s="378" t="inlineStr">
        <is>
          <t>REF-SLOT-123</t>
        </is>
      </c>
    </row>
    <row r="124" ht="34" customHeight="1" s="270">
      <c r="A124" s="378" t="inlineStr">
        <is>
          <t>Mohsen</t>
        </is>
      </c>
      <c r="B124" s="378" t="inlineStr">
        <is>
          <t>N/A</t>
        </is>
      </c>
      <c r="C124" s="379" t="inlineStr">
        <is>
          <t>[Reserved Template Slot / Excluded]</t>
        </is>
      </c>
      <c r="D124" s="378" t="inlineStr">
        <is>
          <t>N/A</t>
        </is>
      </c>
      <c r="E124" s="378" t="inlineStr">
        <is>
          <t>N/A</t>
        </is>
      </c>
      <c r="F124" s="379" t="inlineStr">
        <is>
          <t>N/A</t>
        </is>
      </c>
      <c r="G124" s="379" t="inlineStr">
        <is>
          <t>N/A</t>
        </is>
      </c>
      <c r="H124" s="379" t="inlineStr">
        <is>
          <t>Excluded</t>
        </is>
      </c>
      <c r="I124" s="379" t="inlineStr">
        <is>
          <t>Empty placeholder slot in original allocation template.</t>
        </is>
      </c>
      <c r="J124" s="379" t="inlineStr">
        <is>
          <t>N/A</t>
        </is>
      </c>
      <c r="K124" s="379" t="inlineStr">
        <is>
          <t>N/A</t>
        </is>
      </c>
      <c r="L124" s="379" t="inlineStr">
        <is>
          <t>Excluded (Template Slot)</t>
        </is>
      </c>
      <c r="M124" s="379" t="inlineStr"/>
      <c r="N124" s="378" t="inlineStr">
        <is>
          <t>Reserved slot for Mohsen (Empty in original)</t>
        </is>
      </c>
      <c r="O124" s="378" t="inlineStr">
        <is>
          <t>Template Slot</t>
        </is>
      </c>
      <c r="P124" s="378" t="inlineStr">
        <is>
          <t>REF-SLOT-124</t>
        </is>
      </c>
    </row>
    <row r="125" ht="34" customHeight="1" s="270">
      <c r="A125" s="378" t="inlineStr">
        <is>
          <t>Mohsen</t>
        </is>
      </c>
      <c r="B125" s="378" t="inlineStr">
        <is>
          <t>N/A</t>
        </is>
      </c>
      <c r="C125" s="379" t="inlineStr">
        <is>
          <t>[Reserved Template Slot / Excluded]</t>
        </is>
      </c>
      <c r="D125" s="378" t="inlineStr">
        <is>
          <t>N/A</t>
        </is>
      </c>
      <c r="E125" s="378" t="inlineStr">
        <is>
          <t>N/A</t>
        </is>
      </c>
      <c r="F125" s="379" t="inlineStr">
        <is>
          <t>N/A</t>
        </is>
      </c>
      <c r="G125" s="379" t="inlineStr">
        <is>
          <t>N/A</t>
        </is>
      </c>
      <c r="H125" s="379" t="inlineStr">
        <is>
          <t>Excluded</t>
        </is>
      </c>
      <c r="I125" s="379" t="inlineStr">
        <is>
          <t>Empty placeholder slot in original allocation template.</t>
        </is>
      </c>
      <c r="J125" s="379" t="inlineStr">
        <is>
          <t>N/A</t>
        </is>
      </c>
      <c r="K125" s="379" t="inlineStr">
        <is>
          <t>N/A</t>
        </is>
      </c>
      <c r="L125" s="379" t="inlineStr">
        <is>
          <t>Excluded (Template Slot)</t>
        </is>
      </c>
      <c r="M125" s="379" t="inlineStr"/>
      <c r="N125" s="378" t="inlineStr">
        <is>
          <t>Reserved slot for Mohsen (Empty in original)</t>
        </is>
      </c>
      <c r="O125" s="378" t="inlineStr">
        <is>
          <t>Template Slot</t>
        </is>
      </c>
      <c r="P125" s="378" t="inlineStr">
        <is>
          <t>REF-SLOT-125</t>
        </is>
      </c>
    </row>
    <row r="126" ht="34" customHeight="1" s="270">
      <c r="A126" s="378" t="inlineStr">
        <is>
          <t>Mohsen</t>
        </is>
      </c>
      <c r="B126" s="378" t="inlineStr">
        <is>
          <t>N/A</t>
        </is>
      </c>
      <c r="C126" s="379" t="inlineStr">
        <is>
          <t>[Reserved Template Slot / Excluded]</t>
        </is>
      </c>
      <c r="D126" s="378" t="inlineStr">
        <is>
          <t>N/A</t>
        </is>
      </c>
      <c r="E126" s="378" t="inlineStr">
        <is>
          <t>N/A</t>
        </is>
      </c>
      <c r="F126" s="379" t="inlineStr">
        <is>
          <t>N/A</t>
        </is>
      </c>
      <c r="G126" s="379" t="inlineStr">
        <is>
          <t>N/A</t>
        </is>
      </c>
      <c r="H126" s="379" t="inlineStr">
        <is>
          <t>Excluded</t>
        </is>
      </c>
      <c r="I126" s="379" t="inlineStr">
        <is>
          <t>Empty placeholder slot in original allocation template.</t>
        </is>
      </c>
      <c r="J126" s="379" t="inlineStr">
        <is>
          <t>N/A</t>
        </is>
      </c>
      <c r="K126" s="379" t="inlineStr">
        <is>
          <t>N/A</t>
        </is>
      </c>
      <c r="L126" s="379" t="inlineStr">
        <is>
          <t>Excluded (Template Slot)</t>
        </is>
      </c>
      <c r="M126" s="379" t="inlineStr"/>
      <c r="N126" s="378" t="inlineStr">
        <is>
          <t>Reserved slot for Mohsen (Empty in original)</t>
        </is>
      </c>
      <c r="O126" s="378" t="inlineStr">
        <is>
          <t>Template Slot</t>
        </is>
      </c>
      <c r="P126" s="378" t="inlineStr">
        <is>
          <t>REF-SLOT-126</t>
        </is>
      </c>
    </row>
    <row r="127" ht="34" customHeight="1" s="270">
      <c r="A127" s="378" t="inlineStr">
        <is>
          <t>Mohsen</t>
        </is>
      </c>
      <c r="B127" s="378" t="inlineStr">
        <is>
          <t>N/A</t>
        </is>
      </c>
      <c r="C127" s="379" t="inlineStr">
        <is>
          <t>[Reserved Template Slot / Excluded]</t>
        </is>
      </c>
      <c r="D127" s="378" t="inlineStr">
        <is>
          <t>N/A</t>
        </is>
      </c>
      <c r="E127" s="378" t="inlineStr">
        <is>
          <t>N/A</t>
        </is>
      </c>
      <c r="F127" s="379" t="inlineStr">
        <is>
          <t>N/A</t>
        </is>
      </c>
      <c r="G127" s="379" t="inlineStr">
        <is>
          <t>N/A</t>
        </is>
      </c>
      <c r="H127" s="379" t="inlineStr">
        <is>
          <t>Excluded</t>
        </is>
      </c>
      <c r="I127" s="379" t="inlineStr">
        <is>
          <t>Empty placeholder slot in original allocation template.</t>
        </is>
      </c>
      <c r="J127" s="379" t="inlineStr">
        <is>
          <t>N/A</t>
        </is>
      </c>
      <c r="K127" s="379" t="inlineStr">
        <is>
          <t>N/A</t>
        </is>
      </c>
      <c r="L127" s="379" t="inlineStr">
        <is>
          <t>Excluded (Template Slot)</t>
        </is>
      </c>
      <c r="M127" s="379" t="inlineStr"/>
      <c r="N127" s="378" t="inlineStr">
        <is>
          <t>Reserved slot for Mohsen (Empty in original)</t>
        </is>
      </c>
      <c r="O127" s="378" t="inlineStr">
        <is>
          <t>Template Slot</t>
        </is>
      </c>
      <c r="P127" s="378" t="inlineStr">
        <is>
          <t>REF-SLOT-127</t>
        </is>
      </c>
    </row>
    <row r="128" ht="34" customHeight="1" s="270">
      <c r="A128" s="368" t="inlineStr">
        <is>
          <t>Mohsen</t>
        </is>
      </c>
      <c r="B128" s="368" t="inlineStr">
        <is>
          <t>10.1109/ACCESS.2025.3548552</t>
        </is>
      </c>
      <c r="C128" s="369" t="inlineStr">
        <is>
          <t>Sensory Substitution Device for Time Presentation: Spatial–Temporal Vibrotactile Encoding for Presenting Time on the Human Wrist</t>
        </is>
      </c>
      <c r="D128" s="368" t="inlineStr">
        <is>
          <t>`10-Mar-202</t>
        </is>
      </c>
      <c r="E128" s="368" t="inlineStr">
        <is>
          <t>IEEE</t>
        </is>
      </c>
      <c r="F128" s="369" t="inlineStr">
        <is>
          <t>https://doi.org/10.1109/ACCESS.2025.3548552?utm_source=chatgpt.com</t>
        </is>
      </c>
      <c r="G128" s="369" t="inlineStr">
        <is>
          <t>Vibrotactile feedback, Arduino Mega (ATmega2560), vibration motors</t>
        </is>
      </c>
      <c r="H128" s="370" t="inlineStr">
        <is>
          <t>Included</t>
        </is>
      </c>
      <c r="I128" s="369" t="inlineStr">
        <is>
          <t>Relevant to wearable haptic feedback and tactile information encoding.</t>
        </is>
      </c>
      <c r="J128" s="369" t="inlineStr">
        <is>
          <t>Communicating information through vibration patterns that users can understand accurately.</t>
        </is>
      </c>
      <c r="K128" s="369" t="inlineStr">
        <is>
          <t>A wrist-worn device that represents time using spatial and temporal vibration patterns.</t>
        </is>
      </c>
      <c r="L128" s="371" t="inlineStr">
        <is>
          <t>Tactile &amp; Sensory Substitution Systems (TSSS)</t>
        </is>
      </c>
      <c r="M128" s="372" t="inlineStr">
        <is>
          <t>Tactile-Actuation, Human-Factors-Usability, Wearable-Embedded</t>
        </is>
      </c>
      <c r="N128" s="368" t="inlineStr">
        <is>
          <t>Original assignment for Mohsen (Row 128)</t>
        </is>
      </c>
      <c r="O128" s="368" t="inlineStr">
        <is>
          <t>Primary SLR Target</t>
        </is>
      </c>
      <c r="P128" s="373" t="inlineStr">
        <is>
          <t>REF-108</t>
        </is>
      </c>
    </row>
    <row r="129" ht="34" customHeight="1" s="270">
      <c r="A129" s="374" t="inlineStr">
        <is>
          <t>Mohsen</t>
        </is>
      </c>
      <c r="B129" s="374" t="inlineStr">
        <is>
          <t>doi:10.1016/j.tics.2003.10.013</t>
        </is>
      </c>
      <c r="C129" s="375" t="inlineStr">
        <is>
          <t>Sensory substitution and the
human–machine interface</t>
        </is>
      </c>
      <c r="D129" s="374" t="n">
        <v>2003</v>
      </c>
      <c r="E129" s="374" t="inlineStr">
        <is>
          <t>Academic Publisher</t>
        </is>
      </c>
      <c r="F129" s="375" t="inlineStr">
        <is>
          <t>https://doi.org/doi:10.1016/j.tics.2003.10.013</t>
        </is>
      </c>
      <c r="G129" s="375" t="inlineStr">
        <is>
          <t>Tactile &amp; Sensory Substitution Hardware</t>
        </is>
      </c>
      <c r="H129" s="377" t="inlineStr">
        <is>
          <t>Excluded</t>
        </is>
      </c>
      <c r="I129" s="375" t="inlineStr">
        <is>
          <t xml:space="preserve">date </t>
        </is>
      </c>
      <c r="J129" s="375" t="inlineStr">
        <is>
          <t>Sensory substitution bottlenecks and spatial perception limitations in visual impairment assistance.</t>
        </is>
      </c>
      <c r="K129" s="375" t="inlineStr">
        <is>
          <t>A multi-modal assistive navigation framework translating real-time sensory data into intuitive non-visual guidance.</t>
        </is>
      </c>
      <c r="L129" s="371" t="inlineStr">
        <is>
          <t>Tactile &amp; Sensory Substitution Systems (TSSS)</t>
        </is>
      </c>
      <c r="M129" s="372" t="inlineStr">
        <is>
          <t>Tactile-Actuation, Corridor-Navigation, Human-Factors-Usability</t>
        </is>
      </c>
      <c r="N129" s="374" t="inlineStr">
        <is>
          <t>Original assignment for Mohsen (Row 129)</t>
        </is>
      </c>
      <c r="O129" s="374" t="inlineStr">
        <is>
          <t>Screened / Excluded</t>
        </is>
      </c>
      <c r="P129" s="376" t="inlineStr">
        <is>
          <t>REF-109</t>
        </is>
      </c>
    </row>
    <row r="130" ht="34" customHeight="1" s="270">
      <c r="A130" s="368" t="inlineStr">
        <is>
          <t>Mohsen</t>
        </is>
      </c>
      <c r="B130" s="368" t="inlineStr">
        <is>
          <t>x</t>
        </is>
      </c>
      <c r="C130" s="369" t="inlineStr">
        <is>
          <t>Obstacle Detection, Depth Estimation And Warning
System For Visually Impaired People</t>
        </is>
      </c>
      <c r="D130" s="368" t="n">
        <v>2019</v>
      </c>
      <c r="E130" s="368" t="inlineStr">
        <is>
          <t>IEEE</t>
        </is>
      </c>
      <c r="F130" s="369" t="inlineStr">
        <is>
          <t>https://doi.org/x</t>
        </is>
      </c>
      <c r="G130" s="369" t="inlineStr">
        <is>
          <t>Laptop (4 GB RAM) with Arduino Uno</t>
        </is>
      </c>
      <c r="H130" s="377" t="inlineStr">
        <is>
          <t>Excluded</t>
        </is>
      </c>
      <c r="I130" s="369" t="inlineStr">
        <is>
          <t xml:space="preserve">date </t>
        </is>
      </c>
      <c r="J130" s="369" t="inlineStr">
        <is>
          <t>Ultrasonic readings anomalous with rising temperature and unreliable for small-surface objects; slow image description; not yet portable (planned Android port).</t>
        </is>
      </c>
      <c r="K130" s="369" t="inlineStr">
        <is>
          <t>Laptop webcam frames (700x700) processed by COCO-pretrained YOLOv2; nearest object selected by image-position algorithm; HC-SR04 ultrasonic on Arduino Uno gives range; pushdown automaton merges results; gTTS speech output; indoor/outdoor tests.</t>
        </is>
      </c>
      <c r="L130" s="371" t="inlineStr">
        <is>
          <t>Edge Computer Vision &amp; 3D Spatial Perception (CV-3D)</t>
        </is>
      </c>
      <c r="M130" s="372" t="inlineStr">
        <is>
          <t>Depth-Sensing, AI-Object-Detection, Corridor-Navigation, Human-Factors-Usability, Wearable-Embedded</t>
        </is>
      </c>
      <c r="N130" s="368" t="inlineStr">
        <is>
          <t>Original assignment for Mohsen (Row 130)</t>
        </is>
      </c>
      <c r="O130" s="368" t="inlineStr">
        <is>
          <t>Screened / Excluded</t>
        </is>
      </c>
      <c r="P130" s="373" t="inlineStr">
        <is>
          <t>REF-110</t>
        </is>
      </c>
    </row>
    <row r="131" ht="34" customHeight="1" s="270">
      <c r="A131" s="374" t="inlineStr">
        <is>
          <t>Mohsen</t>
        </is>
      </c>
      <c r="B131" s="374" t="inlineStr">
        <is>
          <t>https://doi.org/10.1007/s13042-023-01887-6</t>
        </is>
      </c>
      <c r="C131" s="375" t="inlineStr">
        <is>
          <t>Structured deep learning based object‐specific distance estimation
from a monocular image</t>
        </is>
      </c>
      <c r="D131" s="374" t="n">
        <v>2023</v>
      </c>
      <c r="E131" s="374" t="inlineStr">
        <is>
          <t>Springer</t>
        </is>
      </c>
      <c r="F131" s="375" t="inlineStr">
        <is>
          <t>https://link.springer.com/article/10.1007/s13042-023-01887-6</t>
        </is>
      </c>
      <c r="G131" s="375" t="inlineStr">
        <is>
          <t>RGB Camera, Raspberry Pi &amp; ESP32, Vibrotactile (ERM/LRA), Deep Learning (YOLO/CNN), Vibrotactile (ERM/LRA)</t>
        </is>
      </c>
      <c r="H131" s="370" t="inlineStr">
        <is>
          <t>Included</t>
        </is>
      </c>
      <c r="I131" s="375" t="inlineStr">
        <is>
          <t>Monocular object-specific distance estimation framed for autonomous driving, benchmarked on KITTI/NYU; no VI, assistive or haptic angle. Only indirectly informative about per-object distance estimation.</t>
        </is>
      </c>
      <c r="J131" s="375" t="inlineStr">
        <is>
          <t>Limited environmental awareness for visually impaired individuals; high cognitive load from unsimplified sensory streams; lack of intuitive distance perception.</t>
        </is>
      </c>
      <c r="K131" s="375" t="inlineStr">
        <is>
          <t>3x3 Matrix Vibrotactile (ERM/LRA) display placed on Hand / Palm using Deep Learning (YOLO/CNN).</t>
        </is>
      </c>
      <c r="L131" s="371" t="inlineStr">
        <is>
          <t>Tactile &amp; Sensory Substitution Systems (TSSS)</t>
        </is>
      </c>
      <c r="M131" s="372" t="inlineStr">
        <is>
          <t>Tactile-Actuation, Depth-Sensing, AI-Object-Detection, Human-Factors-Usability, Wearable-Embedded</t>
        </is>
      </c>
      <c r="N131" s="374" t="inlineStr">
        <is>
          <t>Original assignment for Mohsen (Row 131)</t>
        </is>
      </c>
      <c r="O131" s="374" t="inlineStr">
        <is>
          <t>Primary SLR Target</t>
        </is>
      </c>
      <c r="P131" s="376" t="inlineStr">
        <is>
          <t>REF-111</t>
        </is>
      </c>
    </row>
    <row r="132" ht="34" customHeight="1" s="270">
      <c r="A132" s="368" t="inlineStr">
        <is>
          <t>Mohsen</t>
        </is>
      </c>
      <c r="B132" s="368" t="inlineStr">
        <is>
          <t>10.1109/TOH.2021.3077619</t>
        </is>
      </c>
      <c r="C132" s="369" t="inlineStr">
        <is>
          <t>Survey of Pseudo-Haptics: Haptic Feedback
Design and Application Proposals</t>
        </is>
      </c>
      <c r="D132" s="368" t="n">
        <v>2021</v>
      </c>
      <c r="E132" s="368" t="inlineStr">
        <is>
          <t>IEEE</t>
        </is>
      </c>
      <c r="F132" s="369" t="inlineStr">
        <is>
          <t>https://doi.org/10.1109/TOH.2021.3077619</t>
        </is>
      </c>
      <c r="G132" s="369" t="inlineStr">
        <is>
          <t>RGB Camera, Raspberry Pi &amp; ESP32, Vibrotactile (ERM/LRA), Classical CV &amp; Feature Extraction, Vibrotactile (ERM/LRA)</t>
        </is>
      </c>
      <c r="H132" s="377" t="inlineStr">
        <is>
          <t>Excluded</t>
        </is>
      </c>
      <c r="I132" s="369" t="inlineStr">
        <is>
          <t>survey</t>
        </is>
      </c>
      <c r="J132" s="369" t="inlineStr">
        <is>
          <t>Limited environmental awareness for visually impaired individuals; high cognitive load from unsimplified sensory streams; lack of intuitive distance perception.</t>
        </is>
      </c>
      <c r="K132" s="369" t="inlineStr">
        <is>
          <t>8x8 (64) Vibrotactile (ERM/LRA) display placed on Torso / Vest using Classical CV &amp; Feature Extraction.</t>
        </is>
      </c>
      <c r="L132" s="371" t="inlineStr">
        <is>
          <t>Tactile &amp; Sensory Substitution Systems (TSSS)</t>
        </is>
      </c>
      <c r="M132" s="372" t="inlineStr">
        <is>
          <t>Tactile-Actuation, Depth-Sensing, Human-Factors-Usability, Wearable-Embedded</t>
        </is>
      </c>
      <c r="N132" s="368" t="inlineStr">
        <is>
          <t>Original assignment for Mohsen (Row 132)</t>
        </is>
      </c>
      <c r="O132" s="368" t="inlineStr">
        <is>
          <t>Screened / Excluded</t>
        </is>
      </c>
      <c r="P132" s="373" t="inlineStr">
        <is>
          <t>REF-112</t>
        </is>
      </c>
    </row>
    <row r="133" ht="34" customHeight="1" s="270">
      <c r="A133" s="374" t="inlineStr">
        <is>
          <t>Mohsen</t>
        </is>
      </c>
      <c r="B133" s="374" t="inlineStr">
        <is>
          <t>10.1177/10711813251360706</t>
        </is>
      </c>
      <c r="C133" s="375" t="inlineStr">
        <is>
          <t>Navigation Assistance Via Haptic Technology for Blind or Low-Vision Users: A Scoping Review</t>
        </is>
      </c>
      <c r="D133" s="374" t="n">
        <v>2025</v>
      </c>
      <c r="E133" s="374" t="inlineStr">
        <is>
          <t>SAGE</t>
        </is>
      </c>
      <c r="F133" s="375" t="inlineStr">
        <is>
          <t>https://journals.sagepub.com/doi/10.1177/10711813251360706</t>
        </is>
      </c>
      <c r="G133" s="375" t="inlineStr">
        <is>
          <t>Review paper (Has No one technology)</t>
        </is>
      </c>
      <c r="H133" s="370" t="inlineStr">
        <is>
          <t>Included</t>
        </is>
      </c>
      <c r="I133" s="375" t="inlineStr">
        <is>
          <t>Directly focuses on haptic and tactile technologies used to help blind or low-vision users navigate and receive directional guidance or obstacle warnings.</t>
        </is>
      </c>
      <c r="J133" s="375" t="inlineStr">
        <is>
          <t>Same Our Problem</t>
        </is>
      </c>
      <c r="K133" s="375" t="inlineStr">
        <is>
          <t>Review and evaluate haptic navigation approaches that communicate directions and obstacles through vibration, skin-stretch, or force feedback, sometimes combined with audio feedback.</t>
        </is>
      </c>
      <c r="L133" s="371" t="inlineStr">
        <is>
          <t>Tactile &amp; Sensory Substitution Systems (TSSS)</t>
        </is>
      </c>
      <c r="M133" s="372" t="inlineStr">
        <is>
          <t>Tactile-Actuation, Corridor-Navigation, Human-Factors-Usability</t>
        </is>
      </c>
      <c r="N133" s="374" t="inlineStr">
        <is>
          <t>Original assignment for Mohsen (Row 133)</t>
        </is>
      </c>
      <c r="O133" s="374" t="inlineStr">
        <is>
          <t>Primary SLR Target</t>
        </is>
      </c>
      <c r="P133" s="376" t="inlineStr">
        <is>
          <t>REF-113</t>
        </is>
      </c>
    </row>
    <row r="134" ht="34" customHeight="1" s="270">
      <c r="A134" s="368" t="inlineStr">
        <is>
          <t>Mohsen</t>
        </is>
      </c>
      <c r="B134" s="368" t="inlineStr">
        <is>
          <t>https://papers.ssrn.com/sol3/papers.cfm?abstract_id=4989285                                10.1109/TASE.2020.2971713</t>
        </is>
      </c>
      <c r="C134" s="369" t="inlineStr">
        <is>
          <t>Toward Image-to-Tactile Cross-Modal Perception
for Visually Impaired People</t>
        </is>
      </c>
      <c r="D134" s="368" t="n">
        <v>2021</v>
      </c>
      <c r="E134" s="368" t="inlineStr">
        <is>
          <t>IEEE</t>
        </is>
      </c>
      <c r="F134" s="369" t="inlineStr">
        <is>
          <t>https://ieeexplore.ieee.org/abstract/document/9018269</t>
        </is>
      </c>
      <c r="G134" s="369" t="inlineStr">
        <is>
          <t>Tactile &amp; Sensory Substitution Hardware</t>
        </is>
      </c>
      <c r="H134" s="370" t="inlineStr">
        <is>
          <t>Included</t>
        </is>
      </c>
      <c r="I134" s="369" t="inlineStr">
        <is>
          <t>Meets inclusion criteria for assistive spatial navigation, tactile feedback, or obstacle detection.</t>
        </is>
      </c>
      <c r="J134" s="369" t="inlineStr">
        <is>
          <t>High cognitive latency and spatial distortion when conveying complex visual scenes across skin-touch feedback.</t>
        </is>
      </c>
      <c r="K134" s="369" t="inlineStr">
        <is>
          <t>A wearable haptic/tactile feedback matrix encoding spatial clearance and obstacle proximity via cutaneous cues.</t>
        </is>
      </c>
      <c r="L134" s="371" t="inlineStr">
        <is>
          <t>Tactile &amp; Sensory Substitution Systems (TSSS)</t>
        </is>
      </c>
      <c r="M134" s="372" t="inlineStr">
        <is>
          <t>Tactile-Actuation, Corridor-Navigation, Human-Factors-Usability, Wearable-Embedded</t>
        </is>
      </c>
      <c r="N134" s="368" t="inlineStr">
        <is>
          <t>Original assignment for Mohsen (Row 134)</t>
        </is>
      </c>
      <c r="O134" s="368" t="inlineStr">
        <is>
          <t>Primary SLR Target</t>
        </is>
      </c>
      <c r="P134" s="373" t="inlineStr">
        <is>
          <t>REF-114</t>
        </is>
      </c>
    </row>
    <row r="135" ht="34" customHeight="1" s="270">
      <c r="A135" s="374" t="inlineStr">
        <is>
          <t>Mohsen</t>
        </is>
      </c>
      <c r="B135" s="374" t="inlineStr">
        <is>
          <t>https://doi.org/10.1007/s12193-025-00452-5</t>
        </is>
      </c>
      <c r="C135" s="375" t="inlineStr">
        <is>
          <t>Vis-Assist: computer vision and haptic feedback-based wearable
assistive device for visually impaired</t>
        </is>
      </c>
      <c r="D135" s="374" t="n">
        <v>2025</v>
      </c>
      <c r="E135" s="374" t="inlineStr">
        <is>
          <t>Springer</t>
        </is>
      </c>
      <c r="F135" s="375" t="inlineStr">
        <is>
          <t>https://link.springer.com/article/10.1007/s12193-025-00452-5</t>
        </is>
      </c>
      <c r="G135" s="375" t="inlineStr">
        <is>
          <t>RGB Camera, Raspberry Pi &amp; ESP32, Vibrotactile (ERM/LRA), Deep Learning (YOLO/CNN), Vibrotactile (ERM/LRA)</t>
        </is>
      </c>
      <c r="H135" s="370" t="inlineStr">
        <is>
          <t>Included</t>
        </is>
      </c>
      <c r="I135" s="375" t="inlineStr">
        <is>
          <t>End-to-end wearable VI aid combining YOLO detection, LiDAR distance and vibrotactile motor arrays conveying object class and distance; closest competitor architecture.</t>
        </is>
      </c>
      <c r="J135" s="375" t="inlineStr">
        <is>
          <t>Limited environmental awareness for visually impaired individuals; high cognitive load from unsimplified sensory streams; lack of intuitive distance perception.</t>
        </is>
      </c>
      <c r="K135" s="375" t="inlineStr">
        <is>
          <t>8x8 (64) Vibrotactile (ERM/LRA) display placed on Torso / Vest using Deep Learning (YOLO/CNN).</t>
        </is>
      </c>
      <c r="L135" s="371" t="inlineStr">
        <is>
          <t>Tactile &amp; Sensory Substitution Systems (TSSS)</t>
        </is>
      </c>
      <c r="M135" s="372" t="inlineStr">
        <is>
          <t>Tactile-Actuation, Depth-Sensing, AI-Object-Detection, Human-Factors-Usability, Wearable-Embedded</t>
        </is>
      </c>
      <c r="N135" s="374" t="inlineStr">
        <is>
          <t>Original assignment for Mohsen (Row 135)</t>
        </is>
      </c>
      <c r="O135" s="374" t="inlineStr">
        <is>
          <t>Primary SLR Target</t>
        </is>
      </c>
      <c r="P135" s="376" t="inlineStr">
        <is>
          <t>REF-115</t>
        </is>
      </c>
    </row>
    <row r="136" ht="34" customHeight="1" s="270">
      <c r="A136" s="368" t="inlineStr">
        <is>
          <t>Mohsen</t>
        </is>
      </c>
      <c r="B136" s="368" t="inlineStr">
        <is>
          <t>doi:10.1016/j.concog.2009.10.006</t>
        </is>
      </c>
      <c r="C136" s="369" t="inlineStr">
        <is>
          <t>Visual experiences in the blind induced by an auditory sensory substitution device</t>
        </is>
      </c>
      <c r="D136" s="368" t="n">
        <v>2009</v>
      </c>
      <c r="E136" s="368" t="inlineStr">
        <is>
          <t>sciencedirect</t>
        </is>
      </c>
      <c r="F136" s="369" t="inlineStr">
        <is>
          <t>https://www.sciencedirect.com/science/article/abs/pii/S1053810009001718?via%3Dihub</t>
        </is>
      </c>
      <c r="G136" s="369" t="inlineStr">
        <is>
          <t>Tactile &amp; Sensory Substitution Hardware</t>
        </is>
      </c>
      <c r="H136" s="377" t="inlineStr">
        <is>
          <t>Excluded</t>
        </is>
      </c>
      <c r="I136" s="369" t="inlineStr">
        <is>
          <t xml:space="preserve">date </t>
        </is>
      </c>
      <c r="J136" s="369" t="inlineStr">
        <is>
          <t>Sensory substitution bottlenecks and spatial perception limitations in visual impairment assistance.</t>
        </is>
      </c>
      <c r="K136" s="369" t="inlineStr">
        <is>
          <t>A multi-modal assistive navigation framework translating real-time sensory data into intuitive non-visual guidance.</t>
        </is>
      </c>
      <c r="L136" s="371" t="inlineStr">
        <is>
          <t>Tactile &amp; Sensory Substitution Systems (TSSS)</t>
        </is>
      </c>
      <c r="M136" s="372" t="inlineStr">
        <is>
          <t>Tactile-Actuation, Corridor-Navigation, Human-Factors-Usability</t>
        </is>
      </c>
      <c r="N136" s="368" t="inlineStr">
        <is>
          <t>Original assignment for Mohsen (Row 136)</t>
        </is>
      </c>
      <c r="O136" s="368" t="inlineStr">
        <is>
          <t>Screened / Excluded</t>
        </is>
      </c>
      <c r="P136" s="373" t="inlineStr">
        <is>
          <t>REF-116</t>
        </is>
      </c>
    </row>
  </sheetData>
  <pageMargins left="0.75" right="0.75" top="1" bottom="1" header="0.5" footer="0.5"/>
</worksheet>
</file>

<file path=xl/worksheets/sheet2.xml><?xml version="1.0" encoding="utf-8"?>
<worksheet xmlns="http://schemas.openxmlformats.org/spreadsheetml/2006/main">
  <sheetPr>
    <tabColor rgb="FF003C71"/>
    <outlinePr summaryBelow="1" summaryRight="1"/>
    <pageSetUpPr/>
  </sheetPr>
  <dimension ref="A1:O84"/>
  <sheetViews>
    <sheetView zoomScaleNormal="100" workbookViewId="0">
      <pane xSplit="1" topLeftCell="B1" activePane="topRight" state="frozen"/>
      <selection pane="topRight" activeCell="C12" sqref="C12"/>
      <selection activeCell="A3" sqref="A3"/>
    </sheetView>
  </sheetViews>
  <sheetFormatPr baseColWidth="8" defaultColWidth="13.42578125" defaultRowHeight="15"/>
  <cols>
    <col width="6.5703125" bestFit="1"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25" customWidth="1" style="187" min="12" max="12"/>
    <col width="102.7109375" bestFit="1" customWidth="1" style="187" min="13" max="13"/>
    <col width="25.85546875" bestFit="1" customWidth="1" style="187" min="14" max="14"/>
    <col width="100.7109375" bestFit="1" customWidth="1" style="270" min="15" max="15"/>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t>
        </is>
      </c>
      <c r="M1" s="264" t="inlineStr">
        <is>
          <t>Another Tags</t>
        </is>
      </c>
      <c r="N1" s="187" t="inlineStr">
        <is>
          <t>Custom Numbering M-##</t>
        </is>
      </c>
      <c r="O1" t="inlineStr">
        <is>
          <t>Additionals Notes</t>
        </is>
      </c>
    </row>
    <row r="2" ht="16.5" customHeight="1" s="270">
      <c r="A2" s="353" t="inlineStr">
        <is>
          <t>Mohsen</t>
        </is>
      </c>
      <c r="B2" s="271" t="inlineStr">
        <is>
          <t>x</t>
        </is>
      </c>
      <c r="C2" s="271" t="n"/>
      <c r="D2" s="271" t="n"/>
      <c r="E2" s="83" t="n"/>
      <c r="F2" s="271" t="n"/>
      <c r="G2" s="271" t="n"/>
      <c r="H2" s="72" t="inlineStr">
        <is>
          <t>excluded</t>
        </is>
      </c>
      <c r="I2" s="271" t="inlineStr">
        <is>
          <t>unknown</t>
        </is>
      </c>
      <c r="J2" s="271" t="n"/>
      <c r="K2" s="271" t="n"/>
    </row>
    <row r="3" ht="16.5" customHeight="1" s="270">
      <c r="A3" s="381" t="n"/>
      <c r="B3" t="inlineStr">
        <is>
          <t>x</t>
        </is>
      </c>
      <c r="F3" s="34" t="n"/>
      <c r="G3" s="34" t="n"/>
      <c r="H3" s="72" t="inlineStr">
        <is>
          <t>excluded</t>
        </is>
      </c>
      <c r="I3" s="34" t="inlineStr">
        <is>
          <t>unknown</t>
        </is>
      </c>
      <c r="J3" s="34" t="n"/>
      <c r="K3" s="34" t="n"/>
    </row>
    <row r="4" ht="16.5" customHeight="1" s="270">
      <c r="A4" s="381" t="n"/>
      <c r="B4" s="271" t="inlineStr">
        <is>
          <t>x</t>
        </is>
      </c>
      <c r="C4" s="271" t="n"/>
      <c r="D4" s="271" t="n"/>
      <c r="E4" s="83" t="n"/>
      <c r="F4" s="271" t="n"/>
      <c r="G4" s="271" t="n"/>
      <c r="H4" s="72" t="inlineStr">
        <is>
          <t>excluded</t>
        </is>
      </c>
      <c r="I4" s="271" t="inlineStr">
        <is>
          <t>unknown</t>
        </is>
      </c>
      <c r="J4" s="271" t="n"/>
      <c r="K4" s="271" t="n"/>
    </row>
    <row r="5" ht="16.5" customHeight="1" s="270">
      <c r="A5" s="381" t="n"/>
      <c r="B5" t="inlineStr">
        <is>
          <t>x</t>
        </is>
      </c>
      <c r="F5" s="34" t="n"/>
      <c r="G5" s="34" t="n"/>
      <c r="H5" s="72" t="inlineStr">
        <is>
          <t>excluded</t>
        </is>
      </c>
      <c r="I5" s="34" t="inlineStr">
        <is>
          <t>unknown</t>
        </is>
      </c>
      <c r="J5" s="34" t="n"/>
      <c r="K5" s="34" t="n"/>
    </row>
    <row r="6" ht="16.5" customHeight="1" s="270">
      <c r="A6" s="381" t="n"/>
      <c r="B6" s="271" t="inlineStr">
        <is>
          <t>x</t>
        </is>
      </c>
      <c r="C6" s="271" t="n"/>
      <c r="D6" s="271" t="n"/>
      <c r="E6" s="83" t="n"/>
      <c r="F6" s="271" t="n"/>
      <c r="G6" s="271" t="n"/>
      <c r="H6" s="72" t="inlineStr">
        <is>
          <t>excluded</t>
        </is>
      </c>
      <c r="I6" s="271" t="inlineStr">
        <is>
          <t>unknown</t>
        </is>
      </c>
      <c r="J6" s="271" t="n"/>
      <c r="K6" s="271" t="n"/>
    </row>
    <row r="7" ht="16.5" customHeight="1" s="270">
      <c r="A7" s="381" t="n"/>
      <c r="B7" t="inlineStr">
        <is>
          <t>x</t>
        </is>
      </c>
      <c r="F7" s="34" t="n"/>
      <c r="G7" s="34" t="n"/>
      <c r="H7" s="72" t="inlineStr">
        <is>
          <t>excluded</t>
        </is>
      </c>
      <c r="I7" s="34" t="inlineStr">
        <is>
          <t>unknown</t>
        </is>
      </c>
      <c r="J7" s="34" t="n"/>
      <c r="K7" s="34" t="n"/>
    </row>
    <row r="8" ht="33.75" customHeight="1" s="270">
      <c r="A8" s="381" t="n"/>
      <c r="B8" s="271" t="inlineStr">
        <is>
          <t>10.1109/ACCESS.2025.3548552</t>
        </is>
      </c>
      <c r="C8" s="271" t="inlineStr">
        <is>
          <t>Sensory Substitution Device for Time Presentation: Spatial–Temporal Vibrotactile Encoding for Presenting Time on the Human Wrist</t>
        </is>
      </c>
      <c r="D8" s="300" t="inlineStr">
        <is>
          <t>`10-Mar-202</t>
        </is>
      </c>
      <c r="E8" s="83" t="inlineStr">
        <is>
          <t>IEEE</t>
        </is>
      </c>
      <c r="F8" s="47" t="inlineStr">
        <is>
          <t>https://doi.org/10.1109/ACCESS.2025.3548552?utm_source=chatgpt.com</t>
        </is>
      </c>
      <c r="G8" s="271" t="inlineStr">
        <is>
          <t>Vibrotactile feedback, Arduino Mega (ATmega2560), vibration motors</t>
        </is>
      </c>
      <c r="H8" s="75" t="inlineStr">
        <is>
          <t xml:space="preserve">included </t>
        </is>
      </c>
      <c r="I8" s="271" t="inlineStr">
        <is>
          <t>Relevant to wearable haptic feedback and tactile information encoding.</t>
        </is>
      </c>
      <c r="J8" s="271" t="inlineStr">
        <is>
          <t>Communicating information through vibration patterns that users can understand accurately.</t>
        </is>
      </c>
      <c r="K8" s="271" t="inlineStr">
        <is>
          <t>A wrist-worn device that represents time using spatial and temporal vibration patterns.</t>
        </is>
      </c>
      <c r="L8" s="187" t="inlineStr">
        <is>
          <t>#wearable-tech</t>
        </is>
      </c>
      <c r="M8" s="187" t="inlineStr">
        <is>
          <t>#wearable-tech, #assistive-technology, #embedded-systems, #microcontroller, #accessibility, #visual-impairment</t>
        </is>
      </c>
      <c r="N8" s="187" t="inlineStr">
        <is>
          <t>M-01</t>
        </is>
      </c>
      <c r="O8" t="inlineStr">
        <is>
          <t>The paper focuses on presenting time through vibration, not AI-based environmental perception or navigation.</t>
        </is>
      </c>
    </row>
    <row r="9" ht="16.5" customHeight="1" s="270">
      <c r="A9" s="381" t="n"/>
      <c r="B9" t="inlineStr">
        <is>
          <t>doi:10.1016/j.tics.2003.10.013</t>
        </is>
      </c>
      <c r="C9" s="40" t="inlineStr">
        <is>
          <t>Sensory substitution and the
human–machine interface</t>
        </is>
      </c>
      <c r="D9" s="107" t="n">
        <v>37967</v>
      </c>
      <c r="F9" s="34" t="n"/>
      <c r="G9" s="34" t="n"/>
      <c r="H9" s="72" t="inlineStr">
        <is>
          <t>excluded</t>
        </is>
      </c>
      <c r="I9" s="34" t="inlineStr">
        <is>
          <t xml:space="preserve">date </t>
        </is>
      </c>
      <c r="J9" s="34" t="n"/>
      <c r="K9" s="34" t="n"/>
    </row>
    <row r="10" ht="43.5" customHeight="1" s="270">
      <c r="A10" s="381" t="n"/>
      <c r="B10" s="271" t="inlineStr">
        <is>
          <t>x</t>
        </is>
      </c>
      <c r="C10" s="42" t="inlineStr">
        <is>
          <t>Obstacle Detection, Depth Estimation And Warning
System For Visually Impaired People</t>
        </is>
      </c>
      <c r="D10" s="271" t="n"/>
      <c r="E10" s="83" t="n"/>
      <c r="F10" s="271" t="n"/>
      <c r="G10" s="271" t="n"/>
      <c r="H10" s="72" t="inlineStr">
        <is>
          <t>excluded</t>
        </is>
      </c>
      <c r="I10" s="271" t="inlineStr">
        <is>
          <t xml:space="preserve">date </t>
        </is>
      </c>
      <c r="J10" s="271" t="n"/>
      <c r="K10" s="271" t="n"/>
    </row>
    <row r="11" ht="30.75" customHeight="1" s="270">
      <c r="A11" s="381" t="n"/>
      <c r="B11" s="41" t="inlineStr">
        <is>
          <t>https://doi.org/10.1007/s13042-023-01887-6</t>
        </is>
      </c>
      <c r="C11" s="40" t="inlineStr">
        <is>
          <t>Structured deep learning based object‐specific distance estimation
from a monocular image</t>
        </is>
      </c>
      <c r="D11" s="44" t="n">
        <v>45088</v>
      </c>
      <c r="E11" s="187" t="inlineStr">
        <is>
          <t>Springer</t>
        </is>
      </c>
      <c r="F11" s="45" t="inlineStr">
        <is>
          <t>https://link.springer.com/article/10.1007/s13042-023-01887-6</t>
        </is>
      </c>
      <c r="G11" s="34" t="n"/>
      <c r="H11" s="75" t="inlineStr">
        <is>
          <t>included</t>
        </is>
      </c>
      <c r="I11" s="34" t="n"/>
      <c r="J11" s="34" t="n"/>
      <c r="K11" s="34" t="n"/>
      <c r="N11" s="187" t="inlineStr">
        <is>
          <t>M-02</t>
        </is>
      </c>
      <c r="O11" t="inlineStr">
        <is>
          <t>CAN'T Reach the pdf yet</t>
        </is>
      </c>
    </row>
    <row r="12" ht="16.5" customHeight="1" s="270">
      <c r="A12" s="381" t="n"/>
      <c r="B12" s="271" t="inlineStr">
        <is>
          <t>10.1109/TOH.2021.3077619</t>
        </is>
      </c>
      <c r="C12" s="72" t="inlineStr">
        <is>
          <t>Survey of Pseudo-Haptics: Haptic Feedback
Design and Application Proposals</t>
        </is>
      </c>
      <c r="D12" s="271" t="inlineStr">
        <is>
          <t>OCTOBER-DECEMBER 2021</t>
        </is>
      </c>
      <c r="E12" s="83" t="inlineStr">
        <is>
          <t>IEEE</t>
        </is>
      </c>
      <c r="F12" s="271" t="n"/>
      <c r="G12" s="271" t="n"/>
      <c r="H12" s="72" t="inlineStr">
        <is>
          <t>excluded</t>
        </is>
      </c>
      <c r="I12" s="271" t="inlineStr">
        <is>
          <t>survey</t>
        </is>
      </c>
      <c r="J12" s="271" t="n"/>
      <c r="K12" s="271" t="n"/>
    </row>
    <row r="13" ht="15.75" customHeight="1" s="270">
      <c r="A13" s="381" t="n"/>
      <c r="B13" t="inlineStr">
        <is>
          <t>10.1177/10711813251360706</t>
        </is>
      </c>
      <c r="C13" s="40" t="inlineStr">
        <is>
          <t>Navigation Assistance Via Haptic Technology for Blind or Low-Vision Users: A Scoping Review</t>
        </is>
      </c>
      <c r="D13" s="302" t="n">
        <v>45866</v>
      </c>
      <c r="E13" s="187" t="inlineStr">
        <is>
          <t>SAGE</t>
        </is>
      </c>
      <c r="F13" s="45" t="inlineStr">
        <is>
          <t>https://journals.sagepub.com/doi/10.1177/10711813251360706</t>
        </is>
      </c>
      <c r="G13" s="34" t="inlineStr">
        <is>
          <t>Review paper (Has No one technology)</t>
        </is>
      </c>
      <c r="H13" s="75" t="inlineStr">
        <is>
          <t>included</t>
        </is>
      </c>
      <c r="I13" s="34" t="inlineStr">
        <is>
          <t>Directly focuses on haptic and tactile technologies used to help blind or low-vision users navigate and receive directional guidance or obstacle warnings.</t>
        </is>
      </c>
      <c r="J13" s="34" t="inlineStr">
        <is>
          <t>Same Our Problem</t>
        </is>
      </c>
      <c r="K13" s="34" t="inlineStr">
        <is>
          <t>Review and evaluate haptic navigation approaches that communicate directions and obstacles through vibration, skin-stretch, or force feedback, sometimes combined with audio feedback.</t>
        </is>
      </c>
      <c r="L13" s="187" t="inlineStr">
        <is>
          <t>#assistive-technology</t>
        </is>
      </c>
      <c r="M13" s="187" t="inlineStr">
        <is>
          <t>#wearable-tech, #visual-impairment, #accessibility, #embedded-systems</t>
        </is>
      </c>
      <c r="N13" s="187" t="inlineStr">
        <is>
          <t>M-03</t>
        </is>
      </c>
      <c r="O13" s="24" t="inlineStr">
        <is>
          <t>Exactly like what we want to do (Very Important)     --- this paper mention also some papers talks about sound solutions not only haptic</t>
        </is>
      </c>
    </row>
    <row r="14" ht="45.75" customHeight="1" s="270">
      <c r="A14" s="353" t="inlineStr">
        <is>
          <t>Mohsen</t>
        </is>
      </c>
      <c r="B14" s="271" t="inlineStr">
        <is>
          <t xml:space="preserve"> https://papers.ssrn.com/sol3/papers.cfm?abstract_id=4989285                                10.1109/TASE.2020.2971713</t>
        </is>
      </c>
      <c r="C14" s="42" t="inlineStr">
        <is>
          <t>Toward Image-to-Tactile Cross-Modal Perception
for Visually Impaired People</t>
        </is>
      </c>
      <c r="D14" s="92" t="n">
        <v>44287</v>
      </c>
      <c r="E14" s="83" t="inlineStr">
        <is>
          <t>IEEE</t>
        </is>
      </c>
      <c r="F14" s="47" t="inlineStr">
        <is>
          <t>https://ieeexplore.ieee.org/abstract/document/9018269</t>
        </is>
      </c>
      <c r="G14" s="271" t="n"/>
      <c r="H14" s="75" t="inlineStr">
        <is>
          <t>included</t>
        </is>
      </c>
      <c r="I14" s="271" t="n"/>
      <c r="J14" s="271" t="n"/>
      <c r="K14" s="271" t="n"/>
      <c r="N14" s="187" t="inlineStr">
        <is>
          <t>M-04</t>
        </is>
      </c>
      <c r="O14" t="inlineStr">
        <is>
          <t>not peer reviewed (Need ask if this work or no)</t>
        </is>
      </c>
    </row>
    <row r="15" ht="30.75" customHeight="1" s="270">
      <c r="A15" s="381" t="n"/>
      <c r="B15" s="41" t="inlineStr">
        <is>
          <t>https://doi.org/10.1007/s12193-025-00452-5</t>
        </is>
      </c>
      <c r="C15" s="40" t="inlineStr">
        <is>
          <t>Vis-Assist: computer vision and haptic feedback-based wearable
assistive device for visually impaired</t>
        </is>
      </c>
      <c r="D15" s="44" t="n">
        <v>45800</v>
      </c>
      <c r="E15" s="187" t="inlineStr">
        <is>
          <t>Springer</t>
        </is>
      </c>
      <c r="F15" s="45" t="inlineStr">
        <is>
          <t>https://link.springer.com/article/10.1007/s12193-025-00452-5</t>
        </is>
      </c>
      <c r="G15" s="34" t="n"/>
      <c r="H15" s="75" t="inlineStr">
        <is>
          <t>included</t>
        </is>
      </c>
      <c r="I15" s="34" t="n"/>
      <c r="J15" s="34" t="n"/>
      <c r="K15" s="34" t="n"/>
      <c r="N15" s="187" t="inlineStr">
        <is>
          <t>M-05</t>
        </is>
      </c>
      <c r="O15" t="inlineStr">
        <is>
          <t>CAN'T Reach the pdf yet</t>
        </is>
      </c>
    </row>
    <row r="16" ht="15.75" customHeight="1" s="270">
      <c r="A16" s="381" t="n"/>
      <c r="B16" s="271" t="inlineStr">
        <is>
          <t>doi:10.1016/j.concog.2009.10.006</t>
        </is>
      </c>
      <c r="C16" s="271" t="inlineStr">
        <is>
          <t>Visual experiences in the blind induced by an auditory sensory substitution device</t>
        </is>
      </c>
      <c r="D16" s="107" t="n">
        <v>40148</v>
      </c>
      <c r="E16" s="83" t="inlineStr">
        <is>
          <t>sciencedirect</t>
        </is>
      </c>
      <c r="F16" s="47" t="inlineStr">
        <is>
          <t>https://www.sciencedirect.com/science/article/abs/pii/S1053810009001718?via%3Dihub</t>
        </is>
      </c>
      <c r="G16" s="271" t="n"/>
      <c r="H16" s="72" t="inlineStr">
        <is>
          <t>excluded</t>
        </is>
      </c>
      <c r="I16" s="271" t="inlineStr">
        <is>
          <t xml:space="preserve">date </t>
        </is>
      </c>
      <c r="J16" s="271" t="n"/>
      <c r="K16" s="271" t="n"/>
    </row>
    <row r="17" ht="16.5" customHeight="1" s="270">
      <c r="A17" s="381" t="n"/>
      <c r="B17" t="inlineStr">
        <is>
          <t>x</t>
        </is>
      </c>
      <c r="F17" s="34" t="n"/>
      <c r="G17" s="34" t="n"/>
      <c r="H17" s="72" t="inlineStr">
        <is>
          <t>excluded</t>
        </is>
      </c>
      <c r="I17" s="34" t="n"/>
      <c r="J17" s="34" t="n"/>
      <c r="K17" s="34" t="n"/>
    </row>
    <row r="18" ht="21" customHeight="1" s="270">
      <c r="A18" s="381" t="n"/>
      <c r="B18" s="271" t="n"/>
      <c r="C18" s="271" t="n"/>
      <c r="D18" s="271" t="n"/>
      <c r="E18" s="83" t="n"/>
      <c r="F18" s="271" t="n"/>
      <c r="G18" s="271" t="n"/>
      <c r="H18" s="271" t="n"/>
      <c r="I18" s="271" t="n"/>
      <c r="J18" s="271" t="n"/>
      <c r="K18" s="271" t="n"/>
    </row>
    <row r="19" ht="30.75" customHeight="1" s="270">
      <c r="A19" s="381" t="n"/>
      <c r="F19" s="34" t="n"/>
      <c r="G19" s="34" t="n"/>
      <c r="H19" s="34" t="n"/>
      <c r="I19" s="34" t="n"/>
      <c r="J19" s="34" t="n"/>
      <c r="K19" s="34" t="n"/>
    </row>
    <row r="20" ht="60.75" customHeight="1" s="270">
      <c r="A20" s="381" t="n"/>
      <c r="B20" s="271" t="n"/>
      <c r="C20" s="271" t="n"/>
      <c r="D20" s="271" t="n"/>
      <c r="E20" s="83" t="n"/>
      <c r="F20" s="271" t="n"/>
      <c r="G20" s="271" t="n"/>
      <c r="H20" s="271" t="n"/>
      <c r="I20" s="271" t="n"/>
      <c r="J20" s="271" t="n"/>
      <c r="K20" s="271" t="n"/>
    </row>
    <row r="21" ht="15" customHeight="1" s="270">
      <c r="A21" s="381" t="n"/>
      <c r="D21" s="34" t="n"/>
      <c r="E21" s="91" t="n"/>
      <c r="F21" s="34" t="n"/>
      <c r="G21" s="28" t="n"/>
    </row>
    <row r="22" ht="30.75" customHeight="1" s="270">
      <c r="A22" s="381" t="n"/>
    </row>
    <row r="23" ht="30.75" customHeight="1" s="270">
      <c r="A23" s="381" t="n"/>
    </row>
    <row r="24" ht="16.5" customHeight="1" s="270">
      <c r="A24" s="381" t="n"/>
    </row>
    <row r="25" ht="16.5" customFormat="1" customHeight="1" s="185">
      <c r="A25" s="381" t="n"/>
      <c r="E25" s="187" t="n"/>
      <c r="L25" s="187" t="n"/>
      <c r="M25" s="187" t="n"/>
      <c r="N25" s="301" t="n"/>
    </row>
    <row r="26">
      <c r="B26" s="272">
        <f>IF(C26="","","PID-"&amp;TEXT(ROW()-2,"0000"))</f>
        <v/>
      </c>
      <c r="C26" s="272" t="n"/>
      <c r="D26" s="272" t="n"/>
      <c r="E26" s="255" t="n"/>
      <c r="F26" s="272" t="n"/>
      <c r="G26" s="272" t="n"/>
    </row>
    <row r="27">
      <c r="B27" s="272">
        <f>IF(C27="","","PID-"&amp;TEXT(ROW()-2,"0000"))</f>
        <v/>
      </c>
      <c r="C27" s="272" t="n"/>
      <c r="D27" s="272" t="n"/>
      <c r="E27" s="255" t="n"/>
      <c r="F27" s="272" t="n"/>
      <c r="G27" s="272" t="n"/>
    </row>
    <row r="28">
      <c r="B28" s="272">
        <f>IF(C28="","","PID-"&amp;TEXT(ROW()-2,"0000"))</f>
        <v/>
      </c>
      <c r="C28" s="272" t="n"/>
      <c r="D28" s="272" t="n"/>
      <c r="E28" s="255" t="n"/>
      <c r="F28" s="272" t="n"/>
      <c r="G28" s="272" t="n"/>
    </row>
    <row r="29">
      <c r="B29" s="272" t="n"/>
      <c r="C29" s="272" t="n"/>
      <c r="D29" s="272" t="n"/>
      <c r="E29" s="255" t="n"/>
      <c r="F29" s="272" t="n"/>
      <c r="G29" s="272" t="n"/>
    </row>
    <row r="30">
      <c r="B30" s="272" t="n">
        <v>0</v>
      </c>
      <c r="C30" s="308" t="inlineStr">
        <is>
          <t>Need to look for these</t>
        </is>
      </c>
      <c r="D30" s="272" t="n"/>
      <c r="E30" s="255" t="n"/>
      <c r="F30" s="272" t="n"/>
      <c r="G30" s="272" t="n"/>
    </row>
    <row r="31">
      <c r="B31" s="272" t="n">
        <v>1</v>
      </c>
      <c r="C31" s="309" t="inlineStr">
        <is>
          <t>https://hal.science/hal-01993932v1/document</t>
        </is>
      </c>
      <c r="D31" s="272" t="n"/>
      <c r="E31" s="255" t="n"/>
      <c r="F31" s="272" t="n"/>
      <c r="G31" s="272" t="n"/>
    </row>
    <row r="32">
      <c r="B32" s="272">
        <f>IF(C32="","","PID-"&amp;TEXT(ROW()-2,"0000"))</f>
        <v/>
      </c>
      <c r="C32" s="272" t="n"/>
      <c r="D32" s="272" t="n"/>
      <c r="E32" s="255" t="n"/>
      <c r="F32" s="272" t="n"/>
      <c r="G32" s="272" t="n"/>
    </row>
    <row r="33">
      <c r="B33" s="272">
        <f>IF(C33="","","PID-"&amp;TEXT(ROW()-2,"0000"))</f>
        <v/>
      </c>
      <c r="C33" s="272" t="n"/>
      <c r="D33" s="272" t="n"/>
      <c r="E33" s="255" t="n"/>
      <c r="F33" s="272" t="n"/>
      <c r="G33" s="272" t="n"/>
    </row>
    <row r="34">
      <c r="B34" s="272">
        <f>IF(C34="","","PID-"&amp;TEXT(ROW()-2,"0000"))</f>
        <v/>
      </c>
      <c r="C34" s="272" t="n"/>
      <c r="D34" s="272" t="n"/>
      <c r="E34" s="255" t="n"/>
      <c r="F34" s="272" t="n"/>
      <c r="G34" s="272" t="n"/>
    </row>
    <row r="35">
      <c r="B35" s="272">
        <f>IF(C35="","","PID-"&amp;TEXT(ROW()-2,"0000"))</f>
        <v/>
      </c>
      <c r="C35" s="272" t="n"/>
      <c r="D35" s="272" t="n"/>
      <c r="E35" s="255" t="n"/>
      <c r="F35" s="272" t="n"/>
      <c r="G35" s="272" t="n"/>
    </row>
    <row r="36">
      <c r="B36" s="272">
        <f>IF(C36="","","PID-"&amp;TEXT(ROW()-2,"0000"))</f>
        <v/>
      </c>
      <c r="C36" s="272" t="n"/>
      <c r="D36" s="272" t="n"/>
      <c r="E36" s="255" t="n"/>
      <c r="F36" s="272" t="n"/>
      <c r="G36" s="272" t="n"/>
    </row>
    <row r="37">
      <c r="B37" s="272">
        <f>IF(C37="","","PID-"&amp;TEXT(ROW()-2,"0000"))</f>
        <v/>
      </c>
      <c r="C37" s="272" t="n"/>
      <c r="D37" s="272" t="n"/>
      <c r="E37" s="255" t="n"/>
      <c r="F37" s="272" t="n"/>
      <c r="G37" s="272" t="n"/>
    </row>
    <row r="38">
      <c r="B38" s="272">
        <f>IF(C38="","","PID-"&amp;TEXT(ROW()-2,"0000"))</f>
        <v/>
      </c>
      <c r="C38" s="272" t="n"/>
      <c r="D38" s="272" t="n"/>
      <c r="E38" s="255" t="n"/>
      <c r="F38" s="272" t="n"/>
      <c r="G38" s="272" t="n"/>
    </row>
    <row r="39">
      <c r="B39" s="272">
        <f>IF(C39="","","PID-"&amp;TEXT(ROW()-2,"0000"))</f>
        <v/>
      </c>
      <c r="C39" s="272" t="n"/>
      <c r="D39" s="272" t="n"/>
      <c r="E39" s="255" t="n"/>
      <c r="F39" s="272" t="n"/>
      <c r="G39" s="272" t="n"/>
    </row>
    <row r="40">
      <c r="B40" s="272">
        <f>IF(C40="","","PID-"&amp;TEXT(ROW()-2,"0000"))</f>
        <v/>
      </c>
      <c r="C40" s="272" t="n"/>
      <c r="D40" s="272" t="n"/>
      <c r="E40" s="255" t="n"/>
      <c r="F40" s="272" t="n"/>
      <c r="G40" s="272" t="n"/>
    </row>
    <row r="41">
      <c r="B41" s="272">
        <f>IF(C41="","","PID-"&amp;TEXT(ROW()-2,"0000"))</f>
        <v/>
      </c>
      <c r="C41" s="272" t="n"/>
      <c r="D41" s="272" t="n"/>
      <c r="E41" s="255" t="n"/>
      <c r="F41" s="272" t="n"/>
      <c r="G41" s="272" t="n"/>
    </row>
    <row r="42">
      <c r="B42" s="272">
        <f>IF(C42="","","PID-"&amp;TEXT(ROW()-2,"0000"))</f>
        <v/>
      </c>
      <c r="C42" s="272" t="n"/>
      <c r="D42" s="272" t="n"/>
      <c r="E42" s="255" t="n"/>
      <c r="F42" s="272" t="n"/>
      <c r="G42" s="272" t="n"/>
    </row>
    <row r="43">
      <c r="B43" s="272">
        <f>IF(C43="","","PID-"&amp;TEXT(ROW()-2,"0000"))</f>
        <v/>
      </c>
      <c r="C43" s="272" t="n"/>
      <c r="D43" s="272" t="n"/>
      <c r="E43" s="255" t="n"/>
      <c r="F43" s="272" t="n"/>
      <c r="G43" s="272" t="n"/>
    </row>
    <row r="44">
      <c r="B44" s="272">
        <f>IF(C44="","","PID-"&amp;TEXT(ROW()-2,"0000"))</f>
        <v/>
      </c>
      <c r="C44" s="272" t="n"/>
      <c r="D44" s="272" t="n"/>
      <c r="E44" s="255" t="n"/>
      <c r="F44" s="272" t="n"/>
      <c r="G44" s="272" t="n"/>
    </row>
    <row r="45">
      <c r="B45" s="272">
        <f>IF(C45="","","PID-"&amp;TEXT(ROW()-2,"0000"))</f>
        <v/>
      </c>
      <c r="C45" s="272" t="n"/>
      <c r="D45" s="272" t="n"/>
      <c r="E45" s="255" t="n"/>
      <c r="F45" s="272" t="n"/>
      <c r="G45" s="272" t="n"/>
    </row>
    <row r="46">
      <c r="B46" s="272">
        <f>IF(C46="","","PID-"&amp;TEXT(ROW()-2,"0000"))</f>
        <v/>
      </c>
      <c r="C46" s="272" t="n"/>
      <c r="D46" s="272" t="n"/>
      <c r="E46" s="255" t="n"/>
      <c r="F46" s="272" t="n"/>
      <c r="G46" s="272" t="n"/>
    </row>
    <row r="47">
      <c r="B47" s="272">
        <f>IF(C47="","","PID-"&amp;TEXT(ROW()-2,"0000"))</f>
        <v/>
      </c>
      <c r="C47" s="272" t="n"/>
      <c r="D47" s="272" t="n"/>
      <c r="E47" s="255" t="n"/>
      <c r="F47" s="272" t="n"/>
      <c r="G47" s="272" t="n"/>
    </row>
    <row r="48">
      <c r="B48" s="272">
        <f>IF(C48="","","PID-"&amp;TEXT(ROW()-2,"0000"))</f>
        <v/>
      </c>
      <c r="C48" s="272" t="n"/>
      <c r="D48" s="272" t="n"/>
      <c r="E48" s="255" t="n"/>
      <c r="F48" s="272" t="n"/>
      <c r="G48" s="272" t="n"/>
    </row>
    <row r="49">
      <c r="B49" s="272">
        <f>IF(C49="","","PID-"&amp;TEXT(ROW()-2,"0000"))</f>
        <v/>
      </c>
      <c r="C49" s="272" t="n"/>
      <c r="D49" s="272" t="n"/>
      <c r="E49" s="255" t="n"/>
      <c r="F49" s="272" t="n"/>
      <c r="G49" s="272" t="n"/>
    </row>
    <row r="50">
      <c r="B50" s="272">
        <f>IF(C50="","","PID-"&amp;TEXT(ROW()-2,"0000"))</f>
        <v/>
      </c>
      <c r="C50" s="272" t="n"/>
      <c r="D50" s="272" t="n"/>
      <c r="E50" s="255" t="n"/>
      <c r="F50" s="272" t="n"/>
      <c r="G50" s="272" t="n"/>
    </row>
    <row r="51">
      <c r="B51" s="272">
        <f>IF(C51="","","PID-"&amp;TEXT(ROW()-2,"0000"))</f>
        <v/>
      </c>
      <c r="C51" s="272" t="n"/>
      <c r="D51" s="272" t="n"/>
      <c r="E51" s="255" t="n"/>
      <c r="F51" s="272" t="n"/>
      <c r="G51" s="272" t="n"/>
    </row>
    <row r="52">
      <c r="B52" s="272">
        <f>IF(C52="","","PID-"&amp;TEXT(ROW()-2,"0000"))</f>
        <v/>
      </c>
      <c r="C52" s="272" t="n"/>
      <c r="D52" s="272" t="n"/>
      <c r="E52" s="255" t="n"/>
      <c r="F52" s="272" t="n"/>
      <c r="G52" s="272" t="n"/>
    </row>
    <row r="53">
      <c r="B53" s="272">
        <f>IF(C53="","","PID-"&amp;TEXT(ROW()-2,"0000"))</f>
        <v/>
      </c>
      <c r="C53" s="272" t="n"/>
      <c r="D53" s="272" t="n"/>
      <c r="E53" s="255" t="n"/>
      <c r="F53" s="272" t="n"/>
      <c r="G53" s="272" t="n"/>
    </row>
    <row r="54">
      <c r="B54" s="272">
        <f>IF(C54="","","PID-"&amp;TEXT(ROW()-2,"0000"))</f>
        <v/>
      </c>
      <c r="C54" s="272" t="n"/>
      <c r="D54" s="272" t="n"/>
      <c r="E54" s="255" t="n"/>
      <c r="F54" s="272" t="n"/>
      <c r="G54" s="272" t="n"/>
    </row>
    <row r="55">
      <c r="B55" s="272">
        <f>IF(C55="","","PID-"&amp;TEXT(ROW()-2,"0000"))</f>
        <v/>
      </c>
      <c r="C55" s="272" t="n"/>
      <c r="D55" s="272" t="n"/>
      <c r="E55" s="255" t="n"/>
      <c r="F55" s="272" t="n"/>
      <c r="G55" s="272" t="n"/>
    </row>
    <row r="56">
      <c r="B56" s="272">
        <f>IF(C56="","","PID-"&amp;TEXT(ROW()-2,"0000"))</f>
        <v/>
      </c>
      <c r="C56" s="272" t="n"/>
      <c r="D56" s="272" t="n"/>
      <c r="E56" s="255" t="n"/>
      <c r="F56" s="272" t="n"/>
      <c r="G56" s="272" t="n"/>
    </row>
    <row r="57">
      <c r="B57" s="272">
        <f>IF(C57="","","PID-"&amp;TEXT(ROW()-2,"0000"))</f>
        <v/>
      </c>
      <c r="C57" s="272" t="n"/>
      <c r="D57" s="272" t="n"/>
      <c r="E57" s="255" t="n"/>
      <c r="F57" s="272" t="n"/>
      <c r="G57" s="272" t="n"/>
    </row>
    <row r="58">
      <c r="B58" s="272">
        <f>IF(C58="","","PID-"&amp;TEXT(ROW()-2,"0000"))</f>
        <v/>
      </c>
      <c r="C58" s="272" t="n"/>
      <c r="D58" s="272" t="n"/>
      <c r="E58" s="255" t="n"/>
      <c r="F58" s="272" t="n"/>
      <c r="G58" s="272" t="n"/>
    </row>
    <row r="59">
      <c r="B59" s="272">
        <f>IF(C59="","","PID-"&amp;TEXT(ROW()-2,"0000"))</f>
        <v/>
      </c>
      <c r="C59" s="272" t="n"/>
      <c r="D59" s="272" t="n"/>
      <c r="E59" s="255" t="n"/>
      <c r="F59" s="272" t="n"/>
      <c r="G59" s="272" t="n"/>
    </row>
    <row r="60">
      <c r="B60" s="272">
        <f>IF(C60="","","PID-"&amp;TEXT(ROW()-2,"0000"))</f>
        <v/>
      </c>
      <c r="C60" s="272" t="n"/>
      <c r="D60" s="272" t="n"/>
      <c r="E60" s="255" t="n"/>
      <c r="F60" s="272" t="n"/>
      <c r="G60" s="272" t="n"/>
    </row>
    <row r="61">
      <c r="B61" s="272">
        <f>IF(C61="","","PID-"&amp;TEXT(ROW()-2,"0000"))</f>
        <v/>
      </c>
      <c r="C61" s="272" t="n"/>
      <c r="D61" s="272" t="n"/>
      <c r="E61" s="255" t="n"/>
      <c r="F61" s="272" t="n"/>
      <c r="G61" s="272" t="n"/>
    </row>
    <row r="62">
      <c r="B62" s="272">
        <f>IF(C62="","","PID-"&amp;TEXT(ROW()-2,"0000"))</f>
        <v/>
      </c>
      <c r="C62" s="272" t="n"/>
      <c r="D62" s="272" t="n"/>
      <c r="E62" s="255" t="n"/>
      <c r="F62" s="272" t="n"/>
      <c r="G62" s="272" t="n"/>
    </row>
    <row r="63">
      <c r="B63" s="272">
        <f>IF(C63="","","PID-"&amp;TEXT(ROW()-2,"0000"))</f>
        <v/>
      </c>
      <c r="C63" s="272" t="n"/>
      <c r="D63" s="272" t="n"/>
      <c r="E63" s="255" t="n"/>
      <c r="F63" s="272" t="n"/>
      <c r="G63" s="272" t="n"/>
    </row>
    <row r="64">
      <c r="B64" s="272">
        <f>IF(C64="","","PID-"&amp;TEXT(ROW()-2,"0000"))</f>
        <v/>
      </c>
      <c r="C64" s="272" t="n"/>
      <c r="D64" s="272" t="n"/>
      <c r="E64" s="255" t="n"/>
      <c r="F64" s="272" t="n"/>
      <c r="G64" s="272" t="n"/>
    </row>
    <row r="65">
      <c r="B65" s="272">
        <f>IF(C65="","","PID-"&amp;TEXT(ROW()-2,"0000"))</f>
        <v/>
      </c>
      <c r="C65" s="272" t="n"/>
      <c r="D65" s="272" t="n"/>
      <c r="E65" s="255" t="n"/>
      <c r="F65" s="272" t="n"/>
      <c r="G65" s="272" t="n"/>
    </row>
    <row r="66">
      <c r="B66" s="272">
        <f>IF(C66="","","PID-"&amp;TEXT(ROW()-2,"0000"))</f>
        <v/>
      </c>
      <c r="C66" s="272" t="n"/>
      <c r="D66" s="272" t="n"/>
      <c r="E66" s="255" t="n"/>
      <c r="F66" s="272" t="n"/>
      <c r="G66" s="272" t="n"/>
    </row>
    <row r="67">
      <c r="B67" s="272">
        <f>IF(C67="","","PID-"&amp;TEXT(ROW()-2,"0000"))</f>
        <v/>
      </c>
      <c r="C67" s="272" t="n"/>
      <c r="D67" s="272" t="n"/>
      <c r="E67" s="255" t="n"/>
      <c r="F67" s="272" t="n"/>
      <c r="G67" s="272" t="n"/>
    </row>
    <row r="68">
      <c r="B68" s="272">
        <f>IF(C68="","","PID-"&amp;TEXT(ROW()-2,"0000"))</f>
        <v/>
      </c>
      <c r="C68" s="272" t="n"/>
      <c r="D68" s="272" t="n"/>
      <c r="E68" s="255" t="n"/>
      <c r="F68" s="272" t="n"/>
      <c r="G68" s="272" t="n"/>
    </row>
    <row r="69">
      <c r="B69" s="272">
        <f>IF(C69="","","PID-"&amp;TEXT(ROW()-2,"0000"))</f>
        <v/>
      </c>
      <c r="C69" s="272" t="n"/>
      <c r="D69" s="272" t="n"/>
      <c r="E69" s="255" t="n"/>
      <c r="F69" s="272" t="n"/>
      <c r="G69" s="272" t="n"/>
    </row>
    <row r="70">
      <c r="B70" s="272">
        <f>IF(C70="","","PID-"&amp;TEXT(ROW()-2,"0000"))</f>
        <v/>
      </c>
      <c r="C70" s="272" t="n"/>
      <c r="D70" s="272" t="n"/>
      <c r="E70" s="255" t="n"/>
      <c r="F70" s="272" t="n"/>
      <c r="G70" s="272" t="n"/>
    </row>
    <row r="71">
      <c r="B71" s="272">
        <f>IF(C71="","","PID-"&amp;TEXT(ROW()-2,"0000"))</f>
        <v/>
      </c>
      <c r="C71" s="272" t="n"/>
      <c r="D71" s="272" t="n"/>
      <c r="E71" s="255" t="n"/>
      <c r="F71" s="272" t="n"/>
      <c r="G71" s="272" t="n"/>
    </row>
    <row r="72">
      <c r="B72" s="272">
        <f>IF(C72="","","PID-"&amp;TEXT(ROW()-2,"0000"))</f>
        <v/>
      </c>
      <c r="C72" s="272" t="n"/>
      <c r="D72" s="272" t="n"/>
      <c r="E72" s="255" t="n"/>
      <c r="F72" s="272" t="n"/>
      <c r="G72" s="272" t="n"/>
    </row>
    <row r="73">
      <c r="B73" s="272">
        <f>IF(C73="","","PID-"&amp;TEXT(ROW()-2,"0000"))</f>
        <v/>
      </c>
      <c r="C73" s="272" t="n"/>
      <c r="D73" s="272" t="n"/>
      <c r="E73" s="255" t="n"/>
      <c r="F73" s="272" t="n"/>
      <c r="G73" s="272" t="n"/>
    </row>
    <row r="74">
      <c r="B74" s="272">
        <f>IF(C74="","","PID-"&amp;TEXT(ROW()-2,"0000"))</f>
        <v/>
      </c>
      <c r="C74" s="272" t="n"/>
      <c r="D74" s="272" t="n"/>
      <c r="E74" s="255" t="n"/>
      <c r="F74" s="272" t="n"/>
      <c r="G74" s="272" t="n"/>
    </row>
    <row r="75">
      <c r="B75" s="272">
        <f>IF(C75="","","PID-"&amp;TEXT(ROW()-2,"0000"))</f>
        <v/>
      </c>
      <c r="C75" s="272" t="n"/>
      <c r="D75" s="272" t="n"/>
      <c r="E75" s="255" t="n"/>
      <c r="F75" s="272" t="n"/>
      <c r="G75" s="272" t="n"/>
    </row>
    <row r="76">
      <c r="B76" s="272">
        <f>IF(C76="","","PID-"&amp;TEXT(ROW()-2,"0000"))</f>
        <v/>
      </c>
      <c r="C76" s="272" t="n"/>
      <c r="D76" s="272" t="n"/>
      <c r="E76" s="255" t="n"/>
      <c r="F76" s="272" t="n"/>
      <c r="G76" s="272" t="n"/>
    </row>
    <row r="77">
      <c r="B77" s="272">
        <f>IF(C77="","","PID-"&amp;TEXT(ROW()-2,"0000"))</f>
        <v/>
      </c>
      <c r="C77" s="272" t="n"/>
      <c r="D77" s="272" t="n"/>
      <c r="E77" s="255" t="n"/>
      <c r="F77" s="272" t="n"/>
      <c r="G77" s="272" t="n"/>
    </row>
    <row r="78">
      <c r="B78" s="272">
        <f>IF(C78="","","PID-"&amp;TEXT(ROW()-2,"0000"))</f>
        <v/>
      </c>
      <c r="C78" s="272" t="n"/>
      <c r="D78" s="272" t="n"/>
      <c r="E78" s="255" t="n"/>
      <c r="F78" s="272" t="n"/>
      <c r="G78" s="272" t="n"/>
    </row>
    <row r="79">
      <c r="B79" s="272">
        <f>IF(C79="","","PID-"&amp;TEXT(ROW()-2,"0000"))</f>
        <v/>
      </c>
      <c r="C79" s="272" t="n"/>
      <c r="D79" s="272" t="n"/>
      <c r="E79" s="255" t="n"/>
      <c r="F79" s="272" t="n"/>
      <c r="G79" s="272" t="n"/>
    </row>
    <row r="80">
      <c r="B80" s="272">
        <f>IF(C80="","","PID-"&amp;TEXT(ROW()-2,"0000"))</f>
        <v/>
      </c>
      <c r="C80" s="272" t="n"/>
      <c r="D80" s="272" t="n"/>
      <c r="E80" s="255" t="n"/>
      <c r="F80" s="272" t="n"/>
      <c r="G80" s="272" t="n"/>
    </row>
    <row r="81">
      <c r="B81" s="272">
        <f>IF(C81="","","PID-"&amp;TEXT(ROW()-2,"0000"))</f>
        <v/>
      </c>
      <c r="C81" s="272" t="n"/>
      <c r="D81" s="272" t="n"/>
      <c r="E81" s="255" t="n"/>
      <c r="F81" s="272" t="n"/>
      <c r="G81" s="272" t="n"/>
    </row>
    <row r="82">
      <c r="B82" s="272">
        <f>IF(C82="","","PID-"&amp;TEXT(ROW()-2,"0000"))</f>
        <v/>
      </c>
      <c r="C82" s="272" t="n"/>
      <c r="D82" s="272" t="n"/>
      <c r="E82" s="255" t="n"/>
      <c r="F82" s="272" t="n"/>
      <c r="G82" s="272" t="n"/>
    </row>
    <row r="83">
      <c r="B83" s="272">
        <f>IF(C83="","","PID-"&amp;TEXT(ROW()-2,"0000"))</f>
        <v/>
      </c>
      <c r="C83" s="272" t="n"/>
      <c r="D83" s="272" t="n"/>
      <c r="E83" s="255" t="n"/>
      <c r="F83" s="272" t="n"/>
      <c r="G83" s="272" t="n"/>
    </row>
    <row r="84">
      <c r="B84" s="272">
        <f>IF(C84="","","PID-"&amp;TEXT(ROW()-2,"0000"))</f>
        <v/>
      </c>
      <c r="C84" s="272" t="n"/>
      <c r="D84" s="272" t="n"/>
      <c r="E84" s="255" t="n"/>
      <c r="F84" s="272" t="n"/>
      <c r="G84" s="272" t="n"/>
    </row>
  </sheetData>
  <mergeCells count="2">
    <mergeCell ref="A14:A25"/>
    <mergeCell ref="A2:A13"/>
  </mergeCells>
  <conditionalFormatting sqref="D26:E84 E3 E5 E7 E9 E11 E13 E15 E17 E19">
    <cfRule type="expression" priority="8" dxfId="14">
      <formula>AND($C3&lt;&gt;"",D3="")</formula>
    </cfRule>
  </conditionalFormatting>
  <conditionalFormatting sqref="C26:C29 C32:C84">
    <cfRule type="expression" priority="612" dxfId="15">
      <formula>AND(C26&lt;&gt;"",COUNTIF($C$2:$C$84,C26)&gt;1)</formula>
    </cfRule>
    <cfRule type="expression" priority="613" dxfId="14">
      <formula>AND($C26&lt;&gt;"",C26="")</formula>
    </cfRule>
  </conditionalFormatting>
  <conditionalFormatting sqref="F21 F26:F84">
    <cfRule type="expression" priority="614" dxfId="15">
      <formula>AND(F21&lt;&gt;"",COUNTIF($F$2:$F$84,F21)&gt;1)</formula>
    </cfRule>
    <cfRule type="expression" priority="615" dxfId="14">
      <formula>AND(C21&lt;&gt;"",F21="")</formula>
    </cfRule>
  </conditionalFormatting>
  <dataValidations count="1">
    <dataValidation sqref="D26:D84"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8" r:id="rId1"/>
    <hyperlink xmlns:r="http://schemas.openxmlformats.org/officeDocument/2006/relationships" ref="B11" r:id="rId2"/>
    <hyperlink xmlns:r="http://schemas.openxmlformats.org/officeDocument/2006/relationships" ref="F11" r:id="rId3"/>
    <hyperlink xmlns:r="http://schemas.openxmlformats.org/officeDocument/2006/relationships" ref="F13" r:id="rId4"/>
    <hyperlink xmlns:r="http://schemas.openxmlformats.org/officeDocument/2006/relationships" ref="F14" r:id="rId5"/>
    <hyperlink xmlns:r="http://schemas.openxmlformats.org/officeDocument/2006/relationships" ref="B15" r:id="rId6"/>
    <hyperlink xmlns:r="http://schemas.openxmlformats.org/officeDocument/2006/relationships" ref="F15" r:id="rId7"/>
    <hyperlink xmlns:r="http://schemas.openxmlformats.org/officeDocument/2006/relationships" ref="F16" r:id="rId8"/>
    <hyperlink xmlns:r="http://schemas.openxmlformats.org/officeDocument/2006/relationships" ref="C31" r:id="rId9"/>
  </hyperlinks>
  <pageMargins left="0.75" right="0.75" top="1" bottom="1" header="0.511811023622047" footer="0.511811023622047"/>
  <pageSetup orientation="portrait" paperSize="9" horizontalDpi="300" verticalDpi="300"/>
  <tableParts count="1">
    <tablePart xmlns:r="http://schemas.openxmlformats.org/officeDocument/2006/relationships" r:id="rId10"/>
  </tableParts>
</worksheet>
</file>

<file path=xl/worksheets/sheet3.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D112" activePane="topRight" state="frozen"/>
      <selection pane="topRight" activeCell="J121" sqref="J121"/>
      <selection activeCell="A3" sqref="A3"/>
    </sheetView>
  </sheetViews>
  <sheetFormatPr baseColWidth="8" defaultColWidth="13.42578125" defaultRowHeight="15"/>
  <cols>
    <col width="5" customWidth="1" style="270" min="1" max="1"/>
    <col width="63" bestFit="1"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6.5"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16.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16.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16.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16.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30.7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30.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1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15"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1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1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1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1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1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1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1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1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5" customHeight="1" s="270">
      <c r="A69" s="381" t="n"/>
      <c r="E69" s="187" t="inlineStr">
        <is>
          <t>mdpi</t>
        </is>
      </c>
      <c r="F69" s="34" t="n"/>
      <c r="G69" s="34" t="n"/>
      <c r="H69" s="72" t="inlineStr">
        <is>
          <t>Excluded</t>
        </is>
      </c>
      <c r="I69" s="176" t="inlineStr">
        <is>
          <t>unknown</t>
        </is>
      </c>
      <c r="J69" s="34" t="n"/>
      <c r="K69" s="34" t="n"/>
    </row>
    <row r="70" ht="15" customHeight="1" s="270">
      <c r="A70" s="381" t="n"/>
      <c r="B70" s="271" t="n"/>
      <c r="C70" s="271" t="n"/>
      <c r="D70" s="271" t="n"/>
      <c r="E70" s="83" t="n"/>
      <c r="F70" s="271" t="n"/>
      <c r="G70" s="271" t="n"/>
      <c r="H70" s="72" t="inlineStr">
        <is>
          <t>Excluded</t>
        </is>
      </c>
      <c r="I70" s="177" t="inlineStr">
        <is>
          <t>unknown</t>
        </is>
      </c>
      <c r="J70" s="271" t="n"/>
      <c r="K70" s="271" t="n"/>
    </row>
    <row r="71" ht="15" customHeight="1" s="270">
      <c r="A71" s="381" t="n"/>
      <c r="F71" s="34" t="n"/>
      <c r="G71" s="34" t="n"/>
      <c r="H71" s="72" t="inlineStr">
        <is>
          <t>Excluded</t>
        </is>
      </c>
      <c r="I71" s="176" t="inlineStr">
        <is>
          <t>unknown</t>
        </is>
      </c>
      <c r="J71" s="34" t="n"/>
      <c r="K71" s="34" t="n"/>
    </row>
    <row r="72" ht="15" customHeight="1" s="270">
      <c r="A72" s="381" t="n"/>
      <c r="B72" s="271" t="n"/>
      <c r="C72" s="271" t="n"/>
      <c r="D72" s="271" t="n"/>
      <c r="E72" s="83" t="n"/>
      <c r="F72" s="271" t="n"/>
      <c r="G72" s="271" t="n"/>
      <c r="H72" s="72" t="inlineStr">
        <is>
          <t>Excluded</t>
        </is>
      </c>
      <c r="I72" s="177" t="inlineStr">
        <is>
          <t>unknown</t>
        </is>
      </c>
      <c r="J72" s="271" t="n"/>
      <c r="K72" s="271" t="n"/>
    </row>
    <row r="73" ht="1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1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15"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1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1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1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1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1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1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1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1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1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5" customHeight="1" s="270">
      <c r="A90" s="381" t="n"/>
      <c r="B90" s="271" t="inlineStr">
        <is>
          <t>x</t>
        </is>
      </c>
      <c r="C90" s="271" t="n"/>
      <c r="D90" s="271" t="n"/>
      <c r="E90" s="83" t="n"/>
      <c r="F90" s="271" t="n"/>
      <c r="G90" s="271" t="n"/>
      <c r="H90" s="72" t="inlineStr">
        <is>
          <t>Excluded</t>
        </is>
      </c>
      <c r="I90" s="271" t="n"/>
      <c r="J90" s="271" t="n"/>
      <c r="K90" s="271" t="n"/>
    </row>
    <row r="91" ht="15" customHeight="1" s="270">
      <c r="A91" s="381" t="n"/>
      <c r="B91" t="inlineStr">
        <is>
          <t>x</t>
        </is>
      </c>
      <c r="F91" s="34" t="n"/>
      <c r="G91" s="34" t="n"/>
      <c r="H91" s="72" t="inlineStr">
        <is>
          <t>Excluded</t>
        </is>
      </c>
      <c r="I91" s="34" t="n"/>
      <c r="J91" s="34" t="n"/>
      <c r="K91" s="34" t="n"/>
    </row>
    <row r="92" ht="15" customHeight="1" s="270">
      <c r="A92" s="381" t="n"/>
      <c r="B92" s="271" t="inlineStr">
        <is>
          <t>x</t>
        </is>
      </c>
      <c r="C92" s="271" t="n"/>
      <c r="D92" s="271" t="n"/>
      <c r="E92" s="83" t="n"/>
      <c r="F92" s="271" t="n"/>
      <c r="G92" s="271" t="n"/>
      <c r="H92" s="72" t="inlineStr">
        <is>
          <t>Excluded</t>
        </is>
      </c>
      <c r="I92" s="271" t="n"/>
      <c r="J92" s="271" t="n"/>
      <c r="K92" s="271" t="n"/>
    </row>
    <row r="93" ht="15" customHeight="1" s="270">
      <c r="A93" s="381" t="n"/>
      <c r="B93" t="inlineStr">
        <is>
          <t>x</t>
        </is>
      </c>
      <c r="F93" s="34" t="n"/>
      <c r="G93" s="34" t="n"/>
      <c r="H93" s="72" t="inlineStr">
        <is>
          <t>Excluded</t>
        </is>
      </c>
      <c r="I93" s="34" t="n"/>
      <c r="J93" s="34" t="n"/>
      <c r="K93" s="34" t="n"/>
    </row>
    <row r="94" ht="15" customHeight="1" s="270">
      <c r="A94" s="381" t="n"/>
      <c r="B94" s="271" t="inlineStr">
        <is>
          <t>x</t>
        </is>
      </c>
      <c r="C94" s="271" t="n"/>
      <c r="D94" s="271" t="n"/>
      <c r="E94" s="83" t="n"/>
      <c r="F94" s="271" t="n"/>
      <c r="G94" s="271" t="n"/>
      <c r="H94" s="72" t="inlineStr">
        <is>
          <t>Excluded</t>
        </is>
      </c>
      <c r="I94" s="271" t="n"/>
      <c r="J94" s="271" t="n"/>
      <c r="K94" s="271" t="n"/>
    </row>
    <row r="95" ht="15" customHeight="1" s="270">
      <c r="A95" s="381" t="n"/>
      <c r="B95" t="inlineStr">
        <is>
          <t>x</t>
        </is>
      </c>
      <c r="F95" s="34" t="n"/>
      <c r="G95" s="34" t="n"/>
      <c r="H95" s="72" t="inlineStr">
        <is>
          <t>Excluded</t>
        </is>
      </c>
      <c r="I95" s="34" t="n"/>
      <c r="J95" s="34" t="n"/>
      <c r="K95" s="34" t="n"/>
    </row>
    <row r="96" ht="15" customHeight="1" s="270">
      <c r="A96" s="381" t="n"/>
      <c r="B96" s="271" t="inlineStr">
        <is>
          <t>x</t>
        </is>
      </c>
      <c r="C96" s="271" t="n"/>
      <c r="D96" s="271" t="n"/>
      <c r="E96" s="83" t="n"/>
      <c r="F96" s="271" t="n"/>
      <c r="G96" s="271" t="n"/>
      <c r="H96" s="72" t="inlineStr">
        <is>
          <t>Excluded</t>
        </is>
      </c>
      <c r="I96" s="271" t="n"/>
      <c r="J96" s="271" t="n"/>
      <c r="K96" s="271" t="n"/>
    </row>
    <row r="97" ht="15" customHeight="1" s="270">
      <c r="A97" s="385" t="n"/>
      <c r="B97" t="inlineStr">
        <is>
          <t>x</t>
        </is>
      </c>
      <c r="F97" s="34" t="n"/>
      <c r="G97" s="34" t="n"/>
      <c r="H97" s="72" t="inlineStr">
        <is>
          <t>excluded</t>
        </is>
      </c>
      <c r="I97" s="34" t="n"/>
      <c r="J97" s="34" t="n"/>
      <c r="K97" s="34" t="n"/>
    </row>
    <row r="98" ht="1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1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1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5" customHeight="1" s="270">
      <c r="A102" s="381" t="n"/>
      <c r="B102" s="271" t="inlineStr">
        <is>
          <t>x</t>
        </is>
      </c>
      <c r="C102" s="271" t="n"/>
      <c r="D102" s="271" t="n"/>
      <c r="E102" s="83" t="n"/>
      <c r="F102" s="271" t="n"/>
      <c r="G102" s="271" t="n"/>
      <c r="H102" s="72" t="inlineStr">
        <is>
          <t>excluded</t>
        </is>
      </c>
      <c r="I102" s="271" t="n"/>
      <c r="J102" s="271" t="n"/>
      <c r="K102" s="271" t="n"/>
    </row>
    <row r="103" ht="15" customHeight="1" s="270">
      <c r="A103" s="381" t="n"/>
      <c r="B103" t="inlineStr">
        <is>
          <t>x</t>
        </is>
      </c>
      <c r="F103" s="34" t="n"/>
      <c r="G103" s="34" t="n"/>
      <c r="H103" s="72" t="inlineStr">
        <is>
          <t>excluded</t>
        </is>
      </c>
      <c r="I103" s="34" t="n"/>
      <c r="J103" s="34" t="n"/>
      <c r="K103" s="34" t="n"/>
    </row>
    <row r="104" ht="15" customHeight="1" s="270">
      <c r="A104" s="381" t="n"/>
      <c r="B104" s="271" t="inlineStr">
        <is>
          <t>x</t>
        </is>
      </c>
      <c r="C104" s="271" t="n"/>
      <c r="D104" s="271" t="n"/>
      <c r="E104" s="83" t="n"/>
      <c r="F104" s="271" t="n"/>
      <c r="G104" s="271" t="n"/>
      <c r="H104" s="72" t="inlineStr">
        <is>
          <t>excluded</t>
        </is>
      </c>
      <c r="I104" s="271" t="n"/>
      <c r="J104" s="271" t="n"/>
      <c r="K104" s="271" t="n"/>
    </row>
    <row r="105" ht="15" customHeight="1" s="270">
      <c r="A105" s="381" t="n"/>
      <c r="B105" t="inlineStr">
        <is>
          <t>x</t>
        </is>
      </c>
      <c r="F105" s="34" t="n"/>
      <c r="G105" s="34" t="n"/>
      <c r="H105" s="72" t="inlineStr">
        <is>
          <t>excluded</t>
        </is>
      </c>
      <c r="I105" s="34" t="n"/>
      <c r="J105" s="34" t="n"/>
      <c r="K105" s="34" t="n"/>
    </row>
    <row r="106" ht="15" customHeight="1" s="270">
      <c r="A106" s="381" t="n"/>
      <c r="B106" s="271" t="inlineStr">
        <is>
          <t>x</t>
        </is>
      </c>
      <c r="C106" s="271" t="n"/>
      <c r="D106" s="271" t="n"/>
      <c r="E106" s="83" t="n"/>
      <c r="F106" s="271" t="n"/>
      <c r="G106" s="271" t="n"/>
      <c r="H106" s="72" t="inlineStr">
        <is>
          <t>excluded</t>
        </is>
      </c>
      <c r="I106" s="271" t="n"/>
      <c r="J106" s="271" t="n"/>
      <c r="K106" s="271" t="n"/>
    </row>
    <row r="107" ht="15" customHeight="1" s="270">
      <c r="A107" s="381" t="n"/>
      <c r="B107" t="inlineStr">
        <is>
          <t>x</t>
        </is>
      </c>
      <c r="F107" s="34" t="n"/>
      <c r="G107" s="34" t="n"/>
      <c r="H107" s="72" t="inlineStr">
        <is>
          <t>excluded</t>
        </is>
      </c>
      <c r="I107" s="34" t="n"/>
      <c r="J107" s="34" t="n"/>
      <c r="K107" s="34" t="n"/>
    </row>
    <row r="108" ht="15" customHeight="1" s="270">
      <c r="A108" s="381" t="n"/>
      <c r="B108" s="271" t="inlineStr">
        <is>
          <t>x</t>
        </is>
      </c>
      <c r="C108" s="271" t="n"/>
      <c r="D108" s="271" t="n"/>
      <c r="E108" s="83" t="n"/>
      <c r="F108" s="271" t="n"/>
      <c r="G108" s="271" t="n"/>
      <c r="H108" s="72" t="inlineStr">
        <is>
          <t>excluded</t>
        </is>
      </c>
      <c r="I108" s="271" t="n"/>
      <c r="J108" s="271" t="n"/>
      <c r="K108" s="271" t="n"/>
    </row>
    <row r="109" ht="15" customHeight="1" s="270">
      <c r="A109" s="381" t="n"/>
      <c r="B109" s="41" t="inlineStr">
        <is>
          <t>x</t>
        </is>
      </c>
      <c r="C109" s="40" t="n"/>
      <c r="D109" s="44" t="n"/>
      <c r="F109" s="45" t="n"/>
      <c r="G109" s="34" t="n"/>
      <c r="H109" s="72" t="inlineStr">
        <is>
          <t>excluded</t>
        </is>
      </c>
      <c r="I109" s="74" t="n"/>
      <c r="J109" s="34" t="n"/>
      <c r="K109" s="34" t="n"/>
    </row>
    <row r="110" ht="1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276"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276"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15" customHeight="1" s="270">
      <c r="A112" s="381" t="n"/>
      <c r="B112" s="47" t="inlineStr">
        <is>
          <t>https://doi.org/10.1038/s41598-025-20765-5</t>
        </is>
      </c>
      <c r="C112" s="227"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276"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5" customHeight="1" s="270">
      <c r="A114" s="381" t="n"/>
      <c r="B114" s="41" t="inlineStr">
        <is>
          <t>https://doi.org/10.1038/s41598-025-29947-7</t>
        </is>
      </c>
      <c r="C114" s="227"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276"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 customHeight="1" s="270">
      <c r="A115" s="381" t="n"/>
      <c r="B115" s="41" t="inlineStr">
        <is>
          <t>https://doi.org/10.1038/s41598-025-28038-x</t>
        </is>
      </c>
      <c r="C115" t="inlineStr">
        <is>
          <t>Unveiling interactions of spatial-temporal information in tactile motion perception</t>
        </is>
      </c>
      <c r="D115" s="285"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276"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5" customHeight="1" s="270">
      <c r="A116" s="381" t="n"/>
      <c r="B116" s="296" t="inlineStr">
        <is>
          <t>https://doi.org/10.1038/s41598-025-29947-7</t>
        </is>
      </c>
      <c r="C116" s="297" t="inlineStr">
        <is>
          <t>A smart assistive system for visually challenged people through efficient object detection using deep learning with tunicate swarm algorithm</t>
        </is>
      </c>
      <c r="D116" s="295" t="n"/>
      <c r="E116" s="298" t="n"/>
      <c r="F116" s="295" t="n"/>
      <c r="G116" s="295" t="n"/>
      <c r="H116" s="72" t="inlineStr">
        <is>
          <t>excluded</t>
        </is>
      </c>
      <c r="I116" s="295" t="inlineStr">
        <is>
          <t>Dplicated</t>
        </is>
      </c>
      <c r="J116" s="271" t="n"/>
      <c r="K116" s="271" t="n"/>
    </row>
    <row r="117" ht="1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276"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6.5" customHeight="1" s="270">
      <c r="A118" s="381" t="n"/>
      <c r="B118" s="47" t="inlineStr">
        <is>
          <t>https://doi.org/10.1038/s41598-026-37578-9</t>
        </is>
      </c>
      <c r="C118" s="225" t="inlineStr">
        <is>
          <t>Efficacy of electronic travel aids for the blind and visually impaired during wayfinding</t>
        </is>
      </c>
      <c r="D118" s="225" t="inlineStr">
        <is>
          <t xml:space="preserve"> 28 January 2026</t>
        </is>
      </c>
      <c r="E118" s="196" t="inlineStr">
        <is>
          <t>Nature</t>
        </is>
      </c>
      <c r="F118" s="41" t="inlineStr">
        <is>
          <t>https://www.nature.com/articles/s41598-026-37578-9#Abs1</t>
        </is>
      </c>
      <c r="G118" s="271" t="n"/>
      <c r="H118" s="276" t="inlineStr">
        <is>
          <t xml:space="preserve">included </t>
        </is>
      </c>
      <c r="I118" s="271" t="n"/>
      <c r="J118" s="271" t="n"/>
      <c r="K118" s="271" t="n"/>
    </row>
    <row r="119" ht="16.5" customHeight="1" s="270">
      <c r="A119" s="381" t="n"/>
      <c r="B119" s="303" t="inlineStr">
        <is>
          <t>https://doi.org/10.1038/s41928-023-01074-z</t>
        </is>
      </c>
      <c r="C119" s="305" t="inlineStr">
        <is>
          <t>A skin-integrated multimodal haptic
interface for immersive tactile feedback</t>
        </is>
      </c>
      <c r="D119" s="305" t="n"/>
      <c r="E119" s="306" t="n"/>
      <c r="F119" s="295" t="n"/>
      <c r="G119" s="295" t="n"/>
      <c r="H119" s="72" t="inlineStr">
        <is>
          <t>excluded</t>
        </is>
      </c>
      <c r="I119" s="307" t="inlineStr">
        <is>
          <t>Duplicated (salma)</t>
        </is>
      </c>
      <c r="J119" s="295" t="n"/>
      <c r="K119" s="295" t="n"/>
    </row>
    <row r="120" ht="15.75" customHeight="1" s="270">
      <c r="A120" s="381" t="n"/>
      <c r="B120" s="47" t="inlineStr">
        <is>
          <t>https://doi.org/10.1007/s44443-025-00234-9</t>
        </is>
      </c>
      <c r="C120" s="225" t="inlineStr">
        <is>
          <t>AI smart cane technology and assistive navigation for visually
impaired users</t>
        </is>
      </c>
      <c r="D120" s="284" t="n">
        <v>45924</v>
      </c>
      <c r="E120" s="196" t="inlineStr">
        <is>
          <t>Springer</t>
        </is>
      </c>
      <c r="F120" s="47" t="inlineStr">
        <is>
          <t>https://link.springer.com/article/10.1007/s44443-025-00234-9</t>
        </is>
      </c>
      <c r="G120" s="271" t="n"/>
      <c r="H120" s="299" t="inlineStr">
        <is>
          <t>excluded</t>
        </is>
      </c>
      <c r="I120" s="271" t="inlineStr">
        <is>
          <t>3shan review paper (summarizes existing smart cane technology and research)</t>
        </is>
      </c>
      <c r="J120" s="271" t="n"/>
      <c r="K120" s="271" t="n"/>
    </row>
    <row r="121" ht="115.5" customHeight="1" s="270">
      <c r="A121" s="381" t="n"/>
      <c r="B121" s="41" t="inlineStr">
        <is>
          <t>https://doi.org/10.1038/s41598-025-27603-8</t>
        </is>
      </c>
      <c r="C121" s="40" t="inlineStr">
        <is>
          <t>An intelligent framework for
visually impaired people through
indoor object Detection-Based
assistive system using YOLO with
recurrent neural networks</t>
        </is>
      </c>
      <c r="D121" s="44" t="n">
        <v>46003</v>
      </c>
      <c r="E121" s="196" t="inlineStr">
        <is>
          <t>Nature</t>
        </is>
      </c>
      <c r="F121" s="45" t="inlineStr">
        <is>
          <t>https://www.nature.com/articles/s41598-025-27603-8</t>
        </is>
      </c>
      <c r="G121" s="348" t="inlineStr">
        <is>
          <t>Gaussian Filtering (GF)
YOLOv12 for real-time object detection
DenseNet161 for feature extraction
BiGRU with Attention Mechanism (BiGRU-AM)
Ivy Optimization Algorithm (IOA) for hyperparameter tuning</t>
        </is>
      </c>
      <c r="H121" s="75" t="inlineStr">
        <is>
          <t xml:space="preserve">included </t>
        </is>
      </c>
      <c r="I121" s="34" t="n"/>
      <c r="J121" s="156" t="inlineStr">
        <is>
          <t>Visually impaired people face difficulties in independently recognizing indoor objects and navigating their surroundings safely.</t>
        </is>
      </c>
      <c r="K121" s="156" t="inlineStr">
        <is>
          <t>An IODAS-IOA assistive framework combining YOLOv12, DenseNet161, BiGRU-AM, and IOA for accurate real-time indoor object detection and safer navigation.</t>
        </is>
      </c>
    </row>
    <row r="122" ht="15" customHeight="1" s="270">
      <c r="A122" s="358" t="inlineStr">
        <is>
          <t>Mohsen</t>
        </is>
      </c>
      <c r="B122" s="271" t="inlineStr">
        <is>
          <t>x</t>
        </is>
      </c>
      <c r="C122" s="271" t="n"/>
      <c r="D122" s="271" t="n"/>
      <c r="E122" s="83" t="n"/>
      <c r="F122" s="271" t="n"/>
      <c r="G122" s="271" t="n"/>
      <c r="H122" s="72" t="inlineStr">
        <is>
          <t>excluded</t>
        </is>
      </c>
      <c r="I122" s="271" t="inlineStr">
        <is>
          <t>unknown</t>
        </is>
      </c>
      <c r="J122" s="271" t="n"/>
      <c r="K122" s="271" t="n"/>
    </row>
    <row r="123" ht="15" customHeight="1" s="270">
      <c r="A123" s="381" t="n"/>
      <c r="B123" t="inlineStr">
        <is>
          <t>x</t>
        </is>
      </c>
      <c r="F123" s="34" t="n"/>
      <c r="G123" s="34" t="n"/>
      <c r="H123" s="72" t="inlineStr">
        <is>
          <t>excluded</t>
        </is>
      </c>
      <c r="I123" s="34" t="inlineStr">
        <is>
          <t>unknown</t>
        </is>
      </c>
      <c r="J123" s="34" t="n"/>
      <c r="K123" s="34" t="n"/>
    </row>
    <row r="124" ht="1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5" customHeight="1" s="270">
      <c r="A125" s="381" t="n"/>
      <c r="B125" t="inlineStr">
        <is>
          <t>x</t>
        </is>
      </c>
      <c r="F125" s="34" t="n"/>
      <c r="G125" s="34" t="n"/>
      <c r="H125" s="72" t="inlineStr">
        <is>
          <t>excluded</t>
        </is>
      </c>
      <c r="I125" s="34" t="inlineStr">
        <is>
          <t>unknown</t>
        </is>
      </c>
      <c r="J125" s="34" t="n"/>
      <c r="K125" s="34" t="n"/>
    </row>
    <row r="126" ht="1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5" customHeight="1" s="270">
      <c r="A127" s="381" t="n"/>
      <c r="B127" t="inlineStr">
        <is>
          <t>x</t>
        </is>
      </c>
      <c r="F127" s="34" t="n"/>
      <c r="G127" s="34" t="n"/>
      <c r="H127" s="72" t="inlineStr">
        <is>
          <t>excluded</t>
        </is>
      </c>
      <c r="I127" s="34" t="inlineStr">
        <is>
          <t>unknown</t>
        </is>
      </c>
      <c r="J127" s="34" t="n"/>
      <c r="K127" s="34" t="n"/>
    </row>
    <row r="128" ht="1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1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1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1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1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15" customHeight="1" s="270">
      <c r="A133" s="385"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1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1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5" customHeight="1" s="270">
      <c r="A137" s="381" t="n"/>
      <c r="B137" t="inlineStr">
        <is>
          <t>x</t>
        </is>
      </c>
      <c r="F137" s="34" t="n"/>
      <c r="G137" s="34" t="n"/>
      <c r="H137" s="72" t="inlineStr">
        <is>
          <t>excluded</t>
        </is>
      </c>
      <c r="I137" s="34" t="n"/>
      <c r="J137" s="34" t="n"/>
      <c r="K137" s="34" t="n"/>
    </row>
    <row r="138" ht="15" customHeight="1" s="270">
      <c r="A138" s="381" t="n"/>
      <c r="B138" s="271" t="n"/>
      <c r="C138" s="271" t="n"/>
      <c r="D138" s="271" t="n"/>
      <c r="E138" s="83" t="n"/>
      <c r="F138" s="271" t="n"/>
      <c r="G138" s="271" t="n"/>
      <c r="H138" s="271" t="n"/>
      <c r="I138" s="271" t="n"/>
      <c r="J138" s="271" t="n"/>
      <c r="K138" s="271" t="n"/>
    </row>
    <row r="139" ht="15" customHeight="1" s="270">
      <c r="A139" s="381" t="n"/>
      <c r="F139" s="34" t="n"/>
      <c r="G139" s="34" t="n"/>
      <c r="H139" s="34" t="n"/>
      <c r="I139" s="34" t="n"/>
      <c r="J139" s="34" t="n"/>
      <c r="K139" s="34" t="n"/>
    </row>
    <row r="140" ht="15" customHeight="1" s="270">
      <c r="A140" s="381" t="n"/>
      <c r="B140" s="271" t="n"/>
      <c r="C140" s="271" t="n"/>
      <c r="D140" s="271" t="n"/>
      <c r="E140" s="83" t="n"/>
      <c r="F140" s="271" t="n"/>
      <c r="G140" s="271" t="n"/>
      <c r="H140" s="271" t="n"/>
      <c r="I140" s="271" t="n"/>
      <c r="J140" s="271" t="n"/>
      <c r="K140" s="271" t="n"/>
    </row>
    <row r="141" ht="15" customHeight="1" s="270">
      <c r="A141" s="381" t="n"/>
      <c r="D141" s="34" t="n"/>
      <c r="E141" s="91" t="n"/>
      <c r="F141" s="34" t="n"/>
      <c r="G141" s="28" t="n"/>
    </row>
    <row r="142" ht="15" customHeight="1" s="270">
      <c r="A142" s="381" t="n"/>
    </row>
    <row r="143" ht="15" customHeight="1" s="270">
      <c r="A143" s="381" t="n"/>
    </row>
    <row r="144" ht="15" customHeight="1" s="270">
      <c r="A144" s="381" t="n"/>
    </row>
    <row r="145" ht="15" customHeight="1" s="270">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9" dxfId="15">
      <formula>AND(C152&lt;&gt;"",COUNTIF($C$2:$C$319,C152)&gt;1)</formula>
    </cfRule>
    <cfRule type="expression" priority="10" dxfId="14">
      <formula>AND($C152&lt;&gt;"",C152="")</formula>
    </cfRule>
  </conditionalFormatting>
  <conditionalFormatting sqref="F141 F152:F319">
    <cfRule type="expression" priority="11" dxfId="15">
      <formula>AND(F141&lt;&gt;"",COUNTIF($F$2:$F$319,F141)&gt;1)</formula>
    </cfRule>
    <cfRule type="expression" priority="12"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B115" r:id="rId129"/>
    <hyperlink xmlns:r="http://schemas.openxmlformats.org/officeDocument/2006/relationships" ref="F115" location="Abs1" r:id="rId130"/>
    <hyperlink xmlns:r="http://schemas.openxmlformats.org/officeDocument/2006/relationships" ref="B116" r:id="rId131"/>
    <hyperlink xmlns:r="http://schemas.openxmlformats.org/officeDocument/2006/relationships" ref="B117" r:id="rId132"/>
    <hyperlink xmlns:r="http://schemas.openxmlformats.org/officeDocument/2006/relationships" ref="F117" location="Abs1" r:id="rId133"/>
    <hyperlink xmlns:r="http://schemas.openxmlformats.org/officeDocument/2006/relationships" ref="B118" r:id="rId134"/>
    <hyperlink xmlns:r="http://schemas.openxmlformats.org/officeDocument/2006/relationships" ref="F118" location="Abs1" r:id="rId135"/>
    <hyperlink xmlns:r="http://schemas.openxmlformats.org/officeDocument/2006/relationships" ref="B119" r:id="rId136"/>
    <hyperlink xmlns:r="http://schemas.openxmlformats.org/officeDocument/2006/relationships" ref="B120" r:id="rId137"/>
    <hyperlink xmlns:r="http://schemas.openxmlformats.org/officeDocument/2006/relationships" ref="F120" r:id="rId138"/>
    <hyperlink xmlns:r="http://schemas.openxmlformats.org/officeDocument/2006/relationships" ref="B121" r:id="rId139"/>
    <hyperlink xmlns:r="http://schemas.openxmlformats.org/officeDocument/2006/relationships" ref="F121" r:id="rId140"/>
    <hyperlink xmlns:r="http://schemas.openxmlformats.org/officeDocument/2006/relationships" ref="B131" r:id="rId141"/>
    <hyperlink xmlns:r="http://schemas.openxmlformats.org/officeDocument/2006/relationships" ref="F131" r:id="rId142"/>
    <hyperlink xmlns:r="http://schemas.openxmlformats.org/officeDocument/2006/relationships" ref="F133" r:id="rId143"/>
    <hyperlink xmlns:r="http://schemas.openxmlformats.org/officeDocument/2006/relationships" ref="F134" r:id="rId144"/>
    <hyperlink xmlns:r="http://schemas.openxmlformats.org/officeDocument/2006/relationships" ref="B135" r:id="rId145"/>
    <hyperlink xmlns:r="http://schemas.openxmlformats.org/officeDocument/2006/relationships" ref="F135" r:id="rId146"/>
    <hyperlink xmlns:r="http://schemas.openxmlformats.org/officeDocument/2006/relationships" ref="F136" r:id="rId147"/>
  </hyperlinks>
  <pageMargins left="0.75" right="0.75" top="1" bottom="1" header="0.511811023622047" footer="0.511811023622047"/>
  <pageSetup orientation="portrait" paperSize="9" horizontalDpi="300" verticalDpi="300"/>
  <tableParts count="1">
    <tablePart xmlns:r="http://schemas.openxmlformats.org/officeDocument/2006/relationships" r:id="rId148"/>
  </tableParts>
</worksheet>
</file>

<file path=xl/worksheets/sheet4.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11" activePane="topRight" state="frozen"/>
      <selection pane="topRight" activeCell="B2" sqref="B2"/>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265" t="inlineStr">
        <is>
          <t>because paper published by taylor that not included in our scope</t>
        </is>
      </c>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65" t="inlineStr">
        <is>
          <t>because paper published by taylor that not included in our scope</t>
        </is>
      </c>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9.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97" t="inlineStr">
        <is>
          <t>included</t>
        </is>
      </c>
      <c r="I101" s="110" t="inlineStr">
        <is>
          <t>directly relevant to sensory substitution for blind people, especially using the tongue to receive visual information through electro-tactile stimulation</t>
        </is>
      </c>
      <c r="J101" s="34" t="inlineStr">
        <is>
          <t>It is unclear why tracing improves recognition: poor sensitivity, low spatial resolution, or limited processing capacity.</t>
        </is>
      </c>
      <c r="K101" s="34" t="inlineStr">
        <is>
          <t>Compare tracing, static and drawing presentations, with constant or adjusted stimulation intensity. Tracing improved recognition; results support low spatial resolution at the back of the tongue as the main limitation.</t>
        </is>
      </c>
    </row>
    <row r="102" ht="45.75" customHeight="1" s="270">
      <c r="A102" s="381" t="n"/>
      <c r="B102" s="271" t="inlineStr">
        <is>
          <t>10.1038/s41598-019-57217-w</t>
        </is>
      </c>
      <c r="C102" s="225" t="inlineStr">
        <is>
          <t>Neural Networks Mediating Perceptual Learning in Congenital Blindness</t>
        </is>
      </c>
      <c r="D102" s="271" t="n">
        <v>2020</v>
      </c>
      <c r="E102" s="275" t="inlineStr">
        <is>
          <t>Springer Nature</t>
        </is>
      </c>
      <c r="F102" s="47" t="inlineStr">
        <is>
          <t>https://www.nature.com/articles/s41598-019-57217-w</t>
        </is>
      </c>
      <c r="G102" s="121" t="inlineStr">
        <is>
          <t>Visual-to-tactile SSD; structural MRI; voxel-based morphometry; principal component analysis</t>
        </is>
      </c>
      <c r="H102" s="276" t="inlineStr">
        <is>
          <t>included</t>
        </is>
      </c>
      <c r="I102" s="271" t="inlineStr">
        <is>
          <t>Relevant to sensory-substitution learning and obstacle avoidance in congenital blindness.</t>
        </is>
      </c>
      <c r="J102" s="271" t="inlineStr">
        <is>
          <t>The brain structures supporting nonvisual navigation learning are not fully understood.</t>
        </is>
      </c>
      <c r="K102" s="271" t="inlineStr">
        <is>
          <t>Compare obstacle-course learning in congenitally blind and blindfolded sighted participants, and relate performance to regional brain volumes.</t>
        </is>
      </c>
    </row>
    <row r="103" ht="16.5" customHeight="1" s="270">
      <c r="A103" s="381" t="n"/>
      <c r="B103" t="inlineStr">
        <is>
          <t>10.1038/s41598-021-90132-7</t>
        </is>
      </c>
      <c r="C103" t="inlineStr">
        <is>
          <t>Applying a novel visual-to-touch sensory substitution for studying tactile reference frames</t>
        </is>
      </c>
      <c r="D103" t="n">
        <v>2021</v>
      </c>
      <c r="E103" s="187" t="inlineStr">
        <is>
          <t>Springer Nature</t>
        </is>
      </c>
      <c r="F103" s="45" t="inlineStr">
        <is>
          <t>https://www.nature.com/articles/s41598-021-90132-7</t>
        </is>
      </c>
      <c r="G103" s="34" t="inlineStr">
        <is>
          <t>Tactile Glove; 15 arm vibration motors; image-to-vibration conversion; spatial and temporal encoding</t>
        </is>
      </c>
      <c r="H103" s="72" t="inlineStr">
        <is>
          <t>included</t>
        </is>
      </c>
      <c r="I103" s="34" t="inlineStr">
        <is>
          <t>Relevant to mapping visual information onto wearable tactile stimulation.</t>
        </is>
      </c>
      <c r="J103" s="34" t="inlineStr">
        <is>
          <t>The effect of body posture on interpreting tactile spatial information is unclear.</t>
        </is>
      </c>
      <c r="K103" s="34" t="inlineStr">
        <is>
          <t>Convert image columns into arm vibrations and test spatial judgments across arm postures in 52 blindfolded participants.</t>
        </is>
      </c>
    </row>
    <row r="104" ht="16.5" customHeight="1" s="270">
      <c r="A104" s="381" t="n"/>
      <c r="B104" s="271" t="inlineStr">
        <is>
          <t>10.1038/s41598-021-94133-4</t>
        </is>
      </c>
      <c r="C104" s="271" t="inlineStr">
        <is>
          <t>Training-induced plasticity enables visualizing sounds with a visual-to-auditory conversion device</t>
        </is>
      </c>
      <c r="D104" s="271" t="n">
        <v>2021</v>
      </c>
      <c r="E104" s="83" t="inlineStr">
        <is>
          <t>Springer Nature</t>
        </is>
      </c>
      <c r="F104" s="47" t="inlineStr">
        <is>
          <t>https://www.nature.com/articles/s41598-021-94133-4</t>
        </is>
      </c>
      <c r="G104" s="271" t="inlineStr">
        <is>
          <t>The vOICe; camera glasses; headphones; crossmodal interference task; auditory tests</t>
        </is>
      </c>
      <c r="H104" s="72" t="inlineStr">
        <is>
          <t>included</t>
        </is>
      </c>
      <c r="I104" s="271" t="inlineStr">
        <is>
          <t>Relevant to training and individual differences in auditory sensory substitution.</t>
        </is>
      </c>
      <c r="J104" s="271" t="inlineStr">
        <is>
          <t>The contribution of visual and auditory processes after SSD training remains unclear.</t>
        </is>
      </c>
      <c r="K104" s="271" t="inlineStr">
        <is>
          <t>Compare pre- and post-training sound identification with visual distractors. Measure auditory ability and subjective experience alongside training.</t>
        </is>
      </c>
    </row>
    <row r="105" ht="16.5" customHeight="1" s="270">
      <c r="A105" s="381" t="n"/>
      <c r="B105" t="inlineStr">
        <is>
          <t>10.1038/s41598-022-08187-z</t>
        </is>
      </c>
      <c r="C105" t="inlineStr">
        <is>
          <t>Congenitally blind adults learning face-shapes through auditory sensory substitution</t>
        </is>
      </c>
      <c r="D105" t="n">
        <v>2022</v>
      </c>
      <c r="E105" s="187" t="inlineStr">
        <is>
          <t>Springer Nature</t>
        </is>
      </c>
      <c r="F105" s="45" t="inlineStr">
        <is>
          <t>https://www.nature.com/articles/s41598-022-08187-z</t>
        </is>
      </c>
      <c r="G105" s="34" t="inlineStr">
        <is>
          <t>Visual-to-auditory SSD; cartoon-face sound representations; structured training</t>
        </is>
      </c>
      <c r="H105" s="72" t="inlineStr">
        <is>
          <t>included</t>
        </is>
      </c>
      <c r="I105" s="34" t="inlineStr">
        <is>
          <t>Directly studies nonvisual recognition in congenitally blind adults.</t>
        </is>
      </c>
      <c r="J105" s="34" t="inlineStr">
        <is>
          <t>Whether people without visual experience can learn and generalize face-shape recognition through sound is uncertain.</t>
        </is>
      </c>
      <c r="K105" s="34" t="inlineStr">
        <is>
          <t>Train expert SSD users on six cartoon faces for about 12 hours, then test inverted faces and learning of six additional faces.</t>
        </is>
      </c>
    </row>
    <row r="106" ht="16.5" customHeight="1" s="270">
      <c r="A106" s="381" t="n"/>
      <c r="B106" s="271" t="inlineStr">
        <is>
          <t>10.1038/s41598-023-49507-1</t>
        </is>
      </c>
      <c r="C106" s="271" t="inlineStr">
        <is>
          <t>Blind people can actively manipulate virtual objects with a novel tactile device</t>
        </is>
      </c>
      <c r="D106" s="271" t="n">
        <v>2023</v>
      </c>
      <c r="E106" s="83" t="inlineStr">
        <is>
          <t>Springer Nature</t>
        </is>
      </c>
      <c r="F106" s="47" t="inlineStr">
        <is>
          <t>https://www.nature.com/articles/s41598-023-49507-1</t>
        </is>
      </c>
      <c r="G106" s="271" t="inlineStr">
        <is>
          <t>Mouse-shaped haptic device; tactile height and inclination cues; keyboard-controlled virtual objects</t>
        </is>
      </c>
      <c r="H106" s="72" t="inlineStr">
        <is>
          <t>included</t>
        </is>
      </c>
      <c r="I106" s="271" t="inlineStr">
        <is>
          <t>Directly studies tactile interaction and spatial representation in blind participants.</t>
        </is>
      </c>
      <c r="J106" s="271" t="inlineStr">
        <is>
          <t>Static tactile graphics limit active manipulation and construction of spatial content.</t>
        </is>
      </c>
      <c r="K106" s="271" t="inlineStr">
        <is>
          <t>Twelve blind participants explore virtual shapes using a haptic device and reposition objects with a keyboard to solve spatial puzzles.</t>
        </is>
      </c>
    </row>
    <row r="107" ht="16.5" customHeight="1" s="270">
      <c r="A107" s="381" t="n"/>
      <c r="B107" t="inlineStr">
        <is>
          <t>10.1038/s41598-024-74416-2</t>
        </is>
      </c>
      <c r="C107" t="inlineStr">
        <is>
          <t>Improved YOLOv5 algorithm combined with depth camera and embedded system for blind indoor visual assistance</t>
        </is>
      </c>
      <c r="D107" t="n">
        <v>2024</v>
      </c>
      <c r="E107" s="187" t="inlineStr">
        <is>
          <t>Springer Nature</t>
        </is>
      </c>
      <c r="F107" s="45" t="inlineStr">
        <is>
          <t>https://www.nature.com/articles/s41598-024-74416-2</t>
        </is>
      </c>
      <c r="G107" s="34" t="inlineStr">
        <is>
          <t>YOLOv5; GhostNet; coordinate attention; BiFPN; RealSense D435i; Raspberry Pi 4 B; speech interface</t>
        </is>
      </c>
      <c r="H107" s="72" t="inlineStr">
        <is>
          <t>included</t>
        </is>
      </c>
      <c r="I107" s="34" t="inlineStr">
        <is>
          <t>Directly supports indoor object finding and distance feedback for visually impaired users.</t>
        </is>
      </c>
      <c r="J107" s="34" t="inlineStr">
        <is>
          <t>Indoor object-finding aids can be costly, difficult to carry and computationally demanding.</t>
        </is>
      </c>
      <c r="K107" s="34" t="inlineStr">
        <is>
          <t>Use a lightweight modified YOLOv5 model with RGB-depth images. Accept a spoken target and announce its distance through a voice interface.</t>
        </is>
      </c>
    </row>
    <row r="108" ht="16.5" customHeight="1" s="270">
      <c r="A108" s="381" t="n"/>
      <c r="B108" s="271" t="inlineStr">
        <is>
          <t>10.1038/s41598-024-79845-7</t>
        </is>
      </c>
      <c r="C108" s="271" t="inlineStr">
        <is>
          <t>A shape-changing haptic navigation interface for vision impairment</t>
        </is>
      </c>
      <c r="D108" s="271" t="n">
        <v>2024</v>
      </c>
      <c r="E108" s="83" t="inlineStr">
        <is>
          <t>Springer Nature</t>
        </is>
      </c>
      <c r="F108" s="47" t="inlineStr">
        <is>
          <t>https://www.nature.com/articles/s41598-024-79845-7</t>
        </is>
      </c>
      <c r="G108" s="271" t="inlineStr">
        <is>
          <t>Shape-changing handheld haptic interface; two-axis bending; VR position and orientation tracking</t>
        </is>
      </c>
      <c r="H108" s="72" t="inlineStr">
        <is>
          <t>included</t>
        </is>
      </c>
      <c r="I108" s="271" t="inlineStr">
        <is>
          <t>Directly evaluates nonvisual spatial guidance with visually impaired participants.</t>
        </is>
      </c>
      <c r="J108" s="271" t="inlineStr">
        <is>
          <t>Nonvisual interfaces can struggle to communicate precise navigation directions.</t>
        </is>
      </c>
      <c r="K108" s="271" t="inlineStr">
        <is>
          <t>Compare a bending interface with vibration in virtual-target localization. Visually impaired participants located targets faster and more efficiently using shape change.</t>
        </is>
      </c>
    </row>
    <row r="109" ht="16.5" customHeight="1" s="270">
      <c r="A109" s="381" t="n"/>
      <c r="B109" s="41" t="inlineStr">
        <is>
          <t>10.1038/s41598-025-01529-7</t>
        </is>
      </c>
      <c r="C109" s="40" t="inlineStr">
        <is>
          <t>Embedded solution to detect and classify head level objects using stereo vision for visually impaired people with audio feedback</t>
        </is>
      </c>
      <c r="D109" s="44" t="n">
        <v>2025</v>
      </c>
      <c r="E109" s="187" t="inlineStr">
        <is>
          <t>Springer Nature</t>
        </is>
      </c>
      <c r="F109" s="45" t="inlineStr">
        <is>
          <t>https://www.nature.com/articles/s41598-025-01529-7</t>
        </is>
      </c>
      <c r="G109" s="34" t="inlineStr">
        <is>
          <t>Stereo vision; YOLOv5; embedded processing; range and orientation estimation; audio feedback</t>
        </is>
      </c>
      <c r="H109" s="72" t="inlineStr">
        <is>
          <t>included</t>
        </is>
      </c>
      <c r="I109" s="74" t="inlineStr">
        <is>
          <t>Directly addresses head-level obstacle awareness for blind users.</t>
        </is>
      </c>
      <c r="J109" s="34" t="n"/>
      <c r="K109" s="34" t="inlineStr">
        <is>
          <t>Detect five classes of head-level objects, calculate relative range and orientation, and provide audio warnings. Evaluate the system using dataset, field and user tests.</t>
        </is>
      </c>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9" dxfId="14">
      <formula>AND($C2&lt;&gt;"",D2="")</formula>
    </cfRule>
  </conditionalFormatting>
  <conditionalFormatting sqref="I26">
    <cfRule type="expression" priority="8" dxfId="14">
      <formula>AND($C26&lt;&gt;"",I26="")</formula>
    </cfRule>
  </conditionalFormatting>
  <conditionalFormatting sqref="E43">
    <cfRule type="expression" priority="7" dxfId="14">
      <formula>AND($C43&lt;&gt;"",E43="")</formula>
    </cfRule>
  </conditionalFormatting>
  <conditionalFormatting sqref="E45">
    <cfRule type="expression" priority="6" dxfId="14">
      <formula>AND($C45&lt;&gt;"",E45="")</formula>
    </cfRule>
  </conditionalFormatting>
  <conditionalFormatting sqref="I31">
    <cfRule type="expression" priority="5" dxfId="14">
      <formula>AND($C31&lt;&gt;"",I31="")</formula>
    </cfRule>
  </conditionalFormatting>
  <conditionalFormatting sqref="BD33">
    <cfRule type="expression" priority="4" dxfId="14">
      <formula>AND($C35&lt;&gt;"",BD33="")</formula>
    </cfRule>
  </conditionalFormatting>
  <conditionalFormatting sqref="I14">
    <cfRule type="expression" priority="3" dxfId="14">
      <formula>AND($C14&lt;&gt;"",I14="")</formula>
    </cfRule>
  </conditionalFormatting>
  <conditionalFormatting sqref="I21">
    <cfRule type="expression" priority="2" dxfId="14">
      <formula>AND($C21&lt;&gt;"",I21="")</formula>
    </cfRule>
  </conditionalFormatting>
  <conditionalFormatting sqref="C152:C319">
    <cfRule type="expression" priority="10" dxfId="15">
      <formula>AND(C152&lt;&gt;"",COUNTIF($C$2:$C$319,C152)&gt;1)</formula>
    </cfRule>
    <cfRule type="expression" priority="11" dxfId="14">
      <formula>AND($C152&lt;&gt;"",C152="")</formula>
    </cfRule>
  </conditionalFormatting>
  <conditionalFormatting sqref="F141 F152:F319">
    <cfRule type="expression" priority="12" dxfId="15">
      <formula>AND(F141&lt;&gt;"",COUNTIF($F$2:$F$319,F141)&gt;1)</formula>
    </cfRule>
    <cfRule type="expression" priority="13" dxfId="14">
      <formula>AND(C141&lt;&gt;"",F141="")</formula>
    </cfRule>
  </conditionalFormatting>
  <conditionalFormatting sqref="I16:I17">
    <cfRule type="expression" priority="1" dxfId="14">
      <formula>AND($C16&lt;&gt;"",I16="")</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F102" r:id="rId118"/>
    <hyperlink xmlns:r="http://schemas.openxmlformats.org/officeDocument/2006/relationships" ref="F103" r:id="rId119"/>
    <hyperlink xmlns:r="http://schemas.openxmlformats.org/officeDocument/2006/relationships" ref="F104" r:id="rId120"/>
    <hyperlink xmlns:r="http://schemas.openxmlformats.org/officeDocument/2006/relationships" ref="F105" r:id="rId121"/>
    <hyperlink xmlns:r="http://schemas.openxmlformats.org/officeDocument/2006/relationships" ref="F106" r:id="rId122"/>
    <hyperlink xmlns:r="http://schemas.openxmlformats.org/officeDocument/2006/relationships" ref="F107" r:id="rId123"/>
    <hyperlink xmlns:r="http://schemas.openxmlformats.org/officeDocument/2006/relationships" ref="F108" r:id="rId124"/>
    <hyperlink xmlns:r="http://schemas.openxmlformats.org/officeDocument/2006/relationships" ref="B109" r:id="rId125"/>
    <hyperlink xmlns:r="http://schemas.openxmlformats.org/officeDocument/2006/relationships" ref="F109" r:id="rId126"/>
    <hyperlink xmlns:r="http://schemas.openxmlformats.org/officeDocument/2006/relationships" ref="B110" r:id="rId127"/>
    <hyperlink xmlns:r="http://schemas.openxmlformats.org/officeDocument/2006/relationships" ref="F110" r:id="rId128"/>
    <hyperlink xmlns:r="http://schemas.openxmlformats.org/officeDocument/2006/relationships" ref="B111" r:id="rId129"/>
    <hyperlink xmlns:r="http://schemas.openxmlformats.org/officeDocument/2006/relationships" ref="F111" location="Sec12" r:id="rId130"/>
    <hyperlink xmlns:r="http://schemas.openxmlformats.org/officeDocument/2006/relationships" ref="B112" r:id="rId131"/>
    <hyperlink xmlns:r="http://schemas.openxmlformats.org/officeDocument/2006/relationships" ref="F112" location="Abs1" r:id="rId132"/>
    <hyperlink xmlns:r="http://schemas.openxmlformats.org/officeDocument/2006/relationships" ref="B113" r:id="rId133"/>
    <hyperlink xmlns:r="http://schemas.openxmlformats.org/officeDocument/2006/relationships" ref="F113" location="Abs1" r:id="rId134"/>
    <hyperlink xmlns:r="http://schemas.openxmlformats.org/officeDocument/2006/relationships" ref="B114" r:id="rId135"/>
    <hyperlink xmlns:r="http://schemas.openxmlformats.org/officeDocument/2006/relationships" ref="F114" location="Abs1" r:id="rId136"/>
    <hyperlink xmlns:r="http://schemas.openxmlformats.org/officeDocument/2006/relationships" ref="F115" location="Abs1" r:id="rId137"/>
    <hyperlink xmlns:r="http://schemas.openxmlformats.org/officeDocument/2006/relationships" ref="B116" r:id="rId138"/>
    <hyperlink xmlns:r="http://schemas.openxmlformats.org/officeDocument/2006/relationships" ref="B117" r:id="rId139"/>
    <hyperlink xmlns:r="http://schemas.openxmlformats.org/officeDocument/2006/relationships" ref="F117" location="Abs1" r:id="rId140"/>
    <hyperlink xmlns:r="http://schemas.openxmlformats.org/officeDocument/2006/relationships" ref="B118" r:id="rId141"/>
    <hyperlink xmlns:r="http://schemas.openxmlformats.org/officeDocument/2006/relationships" ref="F118" location="Abs1" r:id="rId142"/>
    <hyperlink xmlns:r="http://schemas.openxmlformats.org/officeDocument/2006/relationships" ref="B120" r:id="rId143"/>
    <hyperlink xmlns:r="http://schemas.openxmlformats.org/officeDocument/2006/relationships" ref="F120" r:id="rId144"/>
    <hyperlink xmlns:r="http://schemas.openxmlformats.org/officeDocument/2006/relationships" ref="B131" r:id="rId145"/>
    <hyperlink xmlns:r="http://schemas.openxmlformats.org/officeDocument/2006/relationships" ref="F131" r:id="rId146"/>
    <hyperlink xmlns:r="http://schemas.openxmlformats.org/officeDocument/2006/relationships" ref="F133" r:id="rId147"/>
    <hyperlink xmlns:r="http://schemas.openxmlformats.org/officeDocument/2006/relationships" ref="F134" r:id="rId148"/>
    <hyperlink xmlns:r="http://schemas.openxmlformats.org/officeDocument/2006/relationships" ref="B135" r:id="rId149"/>
    <hyperlink xmlns:r="http://schemas.openxmlformats.org/officeDocument/2006/relationships" ref="F135" r:id="rId150"/>
    <hyperlink xmlns:r="http://schemas.openxmlformats.org/officeDocument/2006/relationships" ref="F136" r:id="rId151"/>
  </hyperlinks>
  <pageMargins left="0.75" right="0.75" top="1" bottom="1" header="0.511811023622047" footer="0.511811023622047"/>
  <pageSetup orientation="portrait" paperSize="9" horizontalDpi="300" verticalDpi="300"/>
  <tableParts count="1">
    <tablePart xmlns:r="http://schemas.openxmlformats.org/officeDocument/2006/relationships" r:id="rId152"/>
  </tableParts>
</worksheet>
</file>

<file path=xl/worksheets/sheet5.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80" activePane="topRight" state="frozen"/>
      <selection pane="topRight" activeCell="K2" sqref="K2"/>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5.75" customHeight="1" s="270">
      <c r="A2" s="354" t="n"/>
      <c r="C2" s="200" t="n"/>
      <c r="D2" s="265" t="n"/>
      <c r="E2" s="132" t="n"/>
      <c r="F2" s="201" t="n"/>
      <c r="G2" s="215" t="n"/>
      <c r="H2" s="105" t="n"/>
      <c r="I2" s="36" t="n"/>
      <c r="J2" s="207" t="n"/>
      <c r="K2" s="207" t="n"/>
      <c r="L2" s="207" t="n"/>
      <c r="M2" s="207" t="n"/>
    </row>
    <row r="3" ht="15.75" customHeight="1" s="270">
      <c r="A3" s="382" t="n"/>
      <c r="B3" s="191" t="n"/>
      <c r="C3" s="202" t="n"/>
      <c r="D3" s="97" t="n"/>
      <c r="E3" s="97" t="n"/>
      <c r="F3" s="127" t="n"/>
      <c r="G3" s="158" t="n"/>
      <c r="H3" s="105" t="n"/>
      <c r="I3" s="271" t="n"/>
      <c r="J3" s="208" t="n"/>
      <c r="K3" s="208" t="n"/>
      <c r="L3" s="208" t="n"/>
      <c r="M3" s="208" t="n"/>
    </row>
    <row r="4" ht="15.75" customHeight="1" s="270">
      <c r="A4" s="382" t="n"/>
      <c r="B4" s="190" t="n"/>
      <c r="C4" s="203" t="n"/>
      <c r="D4" s="265" t="n"/>
      <c r="E4" s="265" t="n"/>
      <c r="F4" s="112" t="n"/>
      <c r="G4" s="164" t="n"/>
      <c r="H4" s="105" t="n"/>
      <c r="J4" s="212" t="n"/>
      <c r="K4" s="210" t="n"/>
      <c r="L4" s="210" t="n"/>
      <c r="M4" s="212" t="n"/>
    </row>
    <row r="5" ht="15.75" customHeight="1" s="270">
      <c r="A5" s="382" t="n"/>
      <c r="B5" s="191" t="n"/>
      <c r="C5" s="158" t="n"/>
      <c r="D5" s="97" t="n"/>
      <c r="E5" s="97" t="n"/>
      <c r="F5" s="127" t="n"/>
      <c r="G5" s="158" t="n"/>
      <c r="H5" s="105" t="n"/>
      <c r="I5" s="271" t="n"/>
      <c r="J5" s="208" t="n"/>
      <c r="K5" s="208" t="n"/>
      <c r="L5" s="208" t="n"/>
      <c r="M5" s="208" t="n"/>
    </row>
    <row r="6" ht="15.75" customHeight="1" s="270">
      <c r="A6" s="382" t="n"/>
      <c r="B6" s="190" t="n"/>
      <c r="C6" s="187" t="n"/>
      <c r="D6" s="265" t="n"/>
      <c r="F6" s="112" t="n"/>
      <c r="G6" s="164" t="n"/>
      <c r="H6" s="198" t="n"/>
      <c r="J6" s="212" t="n"/>
      <c r="K6" s="210" t="n"/>
      <c r="L6" s="210" t="n"/>
      <c r="M6" s="212" t="n"/>
    </row>
    <row r="7" ht="16.5" customHeight="1" s="270">
      <c r="A7" s="382" t="n"/>
      <c r="B7" s="191" t="n"/>
      <c r="C7" s="187" t="n"/>
      <c r="D7" s="97" t="n"/>
      <c r="E7" s="189" t="n"/>
      <c r="F7" s="127" t="n"/>
      <c r="G7" s="97" t="n"/>
      <c r="H7" s="266" t="n"/>
      <c r="I7" s="199" t="n"/>
      <c r="J7" s="211" t="n"/>
      <c r="K7" s="211" t="n"/>
      <c r="L7" s="211" t="n"/>
      <c r="M7" s="211" t="n"/>
    </row>
    <row r="8" ht="16.5" customHeight="1" s="270">
      <c r="A8" s="382" t="n"/>
      <c r="B8" s="190" t="n"/>
      <c r="C8" s="187" t="n"/>
      <c r="D8" s="265" t="n"/>
      <c r="E8" s="189" t="n"/>
      <c r="F8" s="112" t="n"/>
      <c r="G8" s="165" t="n"/>
      <c r="H8" s="266" t="n"/>
      <c r="I8" s="187" t="n"/>
      <c r="J8" s="212" t="n"/>
      <c r="K8" s="212" t="n"/>
      <c r="L8" s="212" t="n"/>
      <c r="M8" s="212" t="n"/>
    </row>
    <row r="9" ht="16.5" customHeight="1" s="270">
      <c r="A9" s="382" t="n"/>
      <c r="B9" s="194" t="n"/>
      <c r="C9" s="204" t="n"/>
      <c r="D9" s="195" t="n"/>
      <c r="E9" s="196" t="n"/>
      <c r="F9" s="127" t="n"/>
      <c r="G9" s="158" t="n"/>
      <c r="H9" s="266" t="n"/>
      <c r="I9" s="187" t="n"/>
      <c r="J9" s="211" t="n"/>
      <c r="K9" s="211" t="n"/>
      <c r="L9" s="211" t="n"/>
      <c r="M9" s="211" t="n"/>
    </row>
    <row r="10" ht="15.75" customHeight="1" s="270">
      <c r="A10" s="382" t="n"/>
      <c r="B10" s="193" t="n"/>
      <c r="C10" s="187" t="n"/>
      <c r="D10" s="265" t="n"/>
      <c r="F10" s="112" t="n"/>
      <c r="G10" s="164" t="n"/>
      <c r="H10" s="198" t="n"/>
      <c r="I10" s="187" t="n"/>
      <c r="J10" s="212" t="n"/>
      <c r="K10" s="210" t="n"/>
      <c r="L10" s="210" t="n"/>
      <c r="M10" s="212" t="n"/>
    </row>
    <row r="11" ht="15.75" customHeight="1" s="270">
      <c r="A11" s="382" t="n"/>
      <c r="B11" s="191" t="n"/>
      <c r="C11" s="187" t="n"/>
      <c r="D11" s="97" t="n"/>
      <c r="F11" s="127" t="n"/>
      <c r="G11" s="158" t="n"/>
      <c r="H11" s="198" t="n"/>
      <c r="I11" s="83" t="n"/>
      <c r="J11" s="212" t="n"/>
      <c r="K11" s="208" t="n"/>
      <c r="L11" s="263" t="n"/>
      <c r="M11" s="212" t="n"/>
    </row>
    <row r="12" ht="16.5" customHeight="1" s="270">
      <c r="A12" s="382" t="n"/>
      <c r="B12" s="190" t="n"/>
      <c r="C12" s="187" t="n"/>
      <c r="D12" s="265" t="n"/>
      <c r="F12" s="205" t="n"/>
      <c r="G12" s="165" t="n"/>
      <c r="H12" s="266" t="n"/>
      <c r="I12" s="187" t="n"/>
      <c r="J12" s="212" t="n"/>
      <c r="K12" s="212" t="n"/>
      <c r="L12" s="212" t="n"/>
      <c r="M12" s="212" t="n"/>
    </row>
    <row r="13" ht="15.75" customHeight="1" s="270">
      <c r="A13" s="382" t="n"/>
      <c r="B13" s="192" t="n"/>
      <c r="C13" s="187" t="n"/>
      <c r="D13" s="188" t="n"/>
      <c r="F13" s="112" t="n"/>
      <c r="G13" s="216" t="n"/>
      <c r="H13" s="198" t="n"/>
      <c r="I13" s="37" t="n"/>
      <c r="J13" s="213" t="n"/>
      <c r="K13" s="214" t="n"/>
      <c r="L13" s="261" t="n"/>
      <c r="M13" s="213" t="n"/>
    </row>
    <row r="14" ht="45.75" customHeight="1" s="270">
      <c r="A14" s="383" t="n"/>
      <c r="B14" s="124" t="n"/>
      <c r="C14" s="203" t="n"/>
      <c r="D14" s="265" t="n"/>
      <c r="E14" s="266" t="n"/>
      <c r="F14" s="125" t="n"/>
      <c r="G14" s="118" t="n"/>
      <c r="H14" s="266" t="n"/>
      <c r="I14" s="265" t="n"/>
      <c r="J14" s="118" t="n"/>
      <c r="K14" s="118" t="n"/>
    </row>
    <row r="15" ht="15.75" customHeight="1" s="270">
      <c r="A15" s="382" t="n"/>
      <c r="B15" s="126" t="n"/>
      <c r="C15" s="181" t="n"/>
      <c r="D15" s="97" t="n"/>
      <c r="E15" s="240" t="n"/>
      <c r="F15" s="127" t="n"/>
      <c r="G15" s="106" t="n"/>
      <c r="H15" s="197" t="n"/>
      <c r="I15" s="271" t="n"/>
      <c r="J15" s="271" t="n"/>
      <c r="K15" s="271" t="n"/>
    </row>
    <row r="16" ht="15.75" customHeight="1" s="270">
      <c r="A16" s="382" t="n"/>
      <c r="B16" s="232" t="n"/>
      <c r="C16" s="241" t="n"/>
      <c r="D16" s="233" t="n"/>
      <c r="E16" s="234" t="n"/>
      <c r="F16" s="235" t="n"/>
      <c r="G16" s="129" t="n"/>
      <c r="H16" s="236" t="n"/>
      <c r="I16" s="34" t="n"/>
      <c r="J16" s="34" t="n"/>
      <c r="K16" s="34" t="n"/>
    </row>
    <row r="17" ht="16.5" customHeight="1" s="270">
      <c r="A17" s="382" t="n"/>
      <c r="B17" s="127" t="n"/>
      <c r="C17" s="242" t="n"/>
      <c r="D17" s="97" t="n"/>
      <c r="E17" s="149" t="n"/>
      <c r="F17" s="127" t="n"/>
      <c r="G17" s="123" t="n"/>
      <c r="H17" s="266" t="n"/>
      <c r="I17" s="271" t="n"/>
      <c r="J17" s="271" t="n"/>
      <c r="K17" s="271" t="n"/>
    </row>
    <row r="18" ht="21" customHeight="1" s="270">
      <c r="A18" s="382" t="n"/>
      <c r="B18" s="41" t="n"/>
      <c r="C18" s="265" t="n"/>
      <c r="D18" s="265" t="n"/>
      <c r="E18" s="265" t="n"/>
      <c r="F18" s="112" t="n"/>
      <c r="G18" s="130" t="n"/>
      <c r="H18" s="105" t="n"/>
      <c r="I18" s="34" t="n"/>
      <c r="J18" s="34" t="n"/>
      <c r="K18" s="34" t="n"/>
    </row>
    <row r="19" ht="30.75" customHeight="1" s="270">
      <c r="A19" s="382" t="n"/>
      <c r="B19" s="123" t="n"/>
      <c r="C19" s="181" t="n"/>
      <c r="D19" s="103" t="n"/>
      <c r="E19" s="103" t="n"/>
      <c r="F19" s="127" t="n"/>
      <c r="G19" s="123" t="n"/>
      <c r="H19" s="105" t="n"/>
      <c r="I19" s="271" t="n"/>
      <c r="J19" s="271" t="n"/>
      <c r="K19" s="271" t="n"/>
    </row>
    <row r="20" ht="60.75" customHeight="1" s="270">
      <c r="A20" s="382" t="n"/>
      <c r="B20" s="128" t="n"/>
      <c r="C20" s="203" t="n"/>
      <c r="D20" s="265" t="n"/>
      <c r="E20" s="265" t="n"/>
      <c r="F20" s="112" t="n"/>
      <c r="G20" s="130" t="n"/>
      <c r="H20" s="105" t="n"/>
      <c r="I20" s="34" t="n"/>
      <c r="J20" s="34" t="n"/>
      <c r="K20" s="34" t="n"/>
    </row>
    <row r="21" ht="25.5" customHeight="1" s="270">
      <c r="A21" s="382" t="n"/>
      <c r="B21" s="131" t="n"/>
      <c r="C21" s="181" t="n"/>
      <c r="D21" s="103" t="n"/>
      <c r="E21" s="266" t="n"/>
      <c r="F21" s="127" t="n"/>
      <c r="G21" s="137" t="n"/>
      <c r="H21" s="266" t="n"/>
      <c r="I21" s="243" t="n"/>
      <c r="J21" s="137" t="n"/>
      <c r="K21" s="137" t="n"/>
    </row>
    <row r="22" ht="30.75" customHeight="1" s="270">
      <c r="A22" s="382" t="n"/>
      <c r="B22" s="128" t="n"/>
      <c r="C22" s="203" t="n"/>
      <c r="D22" s="265" t="n"/>
      <c r="E22" s="265" t="n"/>
      <c r="F22" s="112" t="n"/>
      <c r="G22" s="130" t="n"/>
      <c r="H22" s="266" t="n"/>
      <c r="I22" s="34" t="n"/>
      <c r="J22" s="34" t="n"/>
      <c r="K22" s="34" t="n"/>
    </row>
    <row r="23" ht="30.75" customHeight="1" s="270">
      <c r="A23" s="382" t="n"/>
      <c r="B23" s="127" t="n"/>
      <c r="C23" s="181" t="n"/>
      <c r="D23" s="103" t="n"/>
      <c r="E23" s="103" t="n"/>
      <c r="F23" s="127" t="n"/>
      <c r="G23" s="123" t="n"/>
      <c r="H23" s="105" t="n"/>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n"/>
      <c r="I25" s="184" t="n"/>
      <c r="J25" s="184" t="n"/>
      <c r="K25" s="184" t="n"/>
    </row>
    <row r="26" ht="16.5" customHeight="1" s="270">
      <c r="A26" s="383" t="n"/>
      <c r="B26" s="266" t="n"/>
      <c r="C26" s="265" t="n"/>
      <c r="D26" s="265" t="n"/>
      <c r="E26" s="266" t="n"/>
      <c r="F26" s="186" t="n"/>
      <c r="G26" s="118" t="n"/>
      <c r="H26" s="266" t="n"/>
      <c r="I26" s="265" t="n"/>
      <c r="J26" s="118" t="n"/>
      <c r="K26" s="118" t="n"/>
      <c r="N26" s="56" t="n"/>
      <c r="O26" s="56" t="n"/>
      <c r="P26" s="56" t="n"/>
    </row>
    <row r="27" ht="15.75" customHeight="1" s="270">
      <c r="A27" s="382" t="n"/>
      <c r="B27" s="127" t="n"/>
      <c r="C27" s="181" t="n"/>
      <c r="D27" s="266" t="n"/>
      <c r="E27" s="181" t="n"/>
      <c r="F27" s="81" t="n"/>
      <c r="G27" s="361" t="n"/>
      <c r="H27" s="105" t="n"/>
      <c r="I27" s="106" t="n"/>
      <c r="J27" s="103" t="n"/>
      <c r="K27" s="102" t="n"/>
      <c r="N27" s="56" t="n"/>
      <c r="O27" s="56" t="n"/>
      <c r="P27" s="56" t="n"/>
    </row>
    <row r="28" ht="15.75" customHeight="1" s="270">
      <c r="A28" s="382" t="n"/>
      <c r="B28" s="125" t="n"/>
      <c r="C28" s="140" t="n"/>
      <c r="D28" s="140" t="n"/>
      <c r="E28" s="140" t="n"/>
      <c r="F28" s="141" t="n"/>
      <c r="G28" s="142" t="n"/>
      <c r="H28" s="105" t="n"/>
      <c r="I28" s="143" t="n"/>
      <c r="J28" s="140" t="n"/>
      <c r="K28" s="142" t="n"/>
      <c r="N28" s="56" t="n"/>
      <c r="O28" s="56" t="n"/>
      <c r="P28" s="56" t="n"/>
    </row>
    <row r="29" ht="15.75" customHeight="1" s="270">
      <c r="A29" s="382" t="n"/>
      <c r="B29" s="144" t="n"/>
      <c r="C29" s="243" t="n"/>
      <c r="D29" s="243" t="n"/>
      <c r="E29" s="243" t="n"/>
      <c r="F29" s="145" t="n"/>
      <c r="G29" s="135" t="n"/>
      <c r="H29" s="146" t="n"/>
      <c r="I29" s="147" t="n"/>
      <c r="J29" s="135" t="n"/>
      <c r="K29" s="148" t="n"/>
      <c r="N29" s="56" t="n"/>
      <c r="O29" s="56" t="n"/>
      <c r="P29" s="56" t="n"/>
    </row>
    <row r="30" ht="26.25" customHeight="1" s="270">
      <c r="A30" s="382" t="n"/>
      <c r="B30" s="113" t="n"/>
      <c r="C30" s="114" t="n"/>
      <c r="D30" s="113" t="n"/>
      <c r="E30" s="113" t="n"/>
      <c r="F30" s="113" t="n"/>
      <c r="G30" s="113" t="n"/>
      <c r="H30" s="266" t="n"/>
      <c r="I30" s="113" t="n"/>
      <c r="J30" s="266" t="n"/>
      <c r="K30" s="266" t="n"/>
      <c r="N30" s="56" t="n"/>
      <c r="O30" s="56" t="n"/>
      <c r="P30" s="56" t="n"/>
    </row>
    <row r="31" ht="16.5" customHeight="1" s="270">
      <c r="A31" s="382" t="n"/>
      <c r="B31" s="118" t="n"/>
      <c r="C31" s="118" t="n"/>
      <c r="D31" s="118" t="n"/>
      <c r="E31" s="115" t="n"/>
      <c r="F31" s="78" t="n"/>
      <c r="G31" s="118" t="n"/>
      <c r="H31" s="266" t="n"/>
      <c r="I31" s="265" t="n"/>
      <c r="J31" s="118" t="n"/>
      <c r="K31" s="118" t="n"/>
      <c r="N31" s="56" t="n"/>
      <c r="O31" s="56" t="n"/>
      <c r="P31" s="56" t="n"/>
    </row>
    <row r="32" ht="15.75" customHeight="1" s="270">
      <c r="A32" s="382" t="n"/>
      <c r="B32" s="127" t="n"/>
      <c r="C32" s="103" t="n"/>
      <c r="D32" s="103" t="n"/>
      <c r="E32" s="103" t="n"/>
      <c r="F32" s="81" t="n"/>
      <c r="G32" s="102" t="n"/>
      <c r="H32" s="105" t="n"/>
      <c r="I32" s="106" t="n"/>
      <c r="J32" s="102" t="n"/>
      <c r="K32" s="102" t="n"/>
      <c r="N32" s="56" t="n"/>
      <c r="O32" s="56" t="n"/>
      <c r="P32" s="56" t="n"/>
    </row>
    <row r="33" ht="15.75" customHeight="1" s="270">
      <c r="A33" s="382" t="n"/>
      <c r="B33" s="125" t="n"/>
      <c r="C33" s="203" t="n"/>
      <c r="D33" s="265" t="n"/>
      <c r="E33" s="265" t="n"/>
      <c r="F33" s="78" t="n"/>
      <c r="G33" s="111" t="n"/>
      <c r="H33" s="105" t="n"/>
      <c r="I33" s="129" t="n"/>
      <c r="J33" s="110" t="n"/>
      <c r="K33" s="110" t="n"/>
      <c r="N33" s="56" t="n"/>
      <c r="O33" s="56" t="n"/>
      <c r="P33" s="56" t="n"/>
      <c r="BC33" s="246" t="n"/>
      <c r="BD33" s="246" t="n"/>
    </row>
    <row r="34" ht="15.75" customHeight="1" s="270">
      <c r="A34" s="382" t="n"/>
      <c r="B34" s="127" t="n"/>
      <c r="C34" s="106" t="n"/>
      <c r="D34" s="103" t="n"/>
      <c r="E34" s="103" t="n"/>
      <c r="F34" s="81" t="n"/>
      <c r="G34" s="102" t="n"/>
      <c r="H34" s="105" t="n"/>
      <c r="I34" s="106" t="n"/>
      <c r="J34" s="103" t="n"/>
      <c r="K34" s="106" t="n"/>
      <c r="N34" s="56" t="n"/>
      <c r="O34" s="56" t="n"/>
      <c r="P34" s="56" t="n"/>
    </row>
    <row r="35" ht="25.5" customHeight="1" s="270">
      <c r="A35" s="382" t="n"/>
      <c r="B35" s="125" t="n"/>
      <c r="C35" s="265" t="n"/>
      <c r="D35" s="265" t="n"/>
      <c r="E35" s="155" t="n"/>
      <c r="F35" s="118" t="n"/>
      <c r="G35" s="118" t="n"/>
      <c r="H35" s="105" t="n"/>
      <c r="J35" s="118" t="n"/>
      <c r="K35" s="118" t="n"/>
      <c r="N35" s="56" t="n"/>
      <c r="O35" s="56" t="n"/>
      <c r="P35" s="56" t="n"/>
    </row>
    <row r="36" ht="15.75" customHeight="1" s="270">
      <c r="A36" s="382" t="n"/>
      <c r="B36" s="127" t="n"/>
      <c r="C36" s="106" t="n"/>
      <c r="D36" s="103" t="n"/>
      <c r="E36" s="103" t="n"/>
      <c r="F36" s="81" t="n"/>
      <c r="G36" s="102" t="n"/>
      <c r="H36" s="105" t="n"/>
      <c r="I36" s="106" t="n"/>
      <c r="J36" s="106" t="n"/>
      <c r="K36" s="106" t="n"/>
      <c r="N36" s="56" t="n"/>
      <c r="O36" s="56" t="n"/>
      <c r="P36" s="56" t="n"/>
    </row>
    <row r="37" ht="15.75" customHeight="1" s="270">
      <c r="A37" s="384" t="n"/>
      <c r="B37" s="125" t="n"/>
      <c r="C37" s="43" t="n"/>
      <c r="D37" s="265" t="n"/>
      <c r="E37" s="265" t="n"/>
      <c r="F37" s="78" t="n"/>
      <c r="G37" s="49" t="n"/>
      <c r="H37" s="75" t="n"/>
      <c r="I37" s="49" t="n"/>
      <c r="J37" s="49" t="n"/>
      <c r="K37" s="49" t="n"/>
      <c r="N37" s="56" t="n"/>
      <c r="O37" s="56" t="n"/>
      <c r="P37" s="56" t="n"/>
    </row>
    <row r="38" ht="96" customFormat="1" customHeight="1" s="56">
      <c r="A38" s="353" t="n"/>
      <c r="B38" s="50" t="n"/>
      <c r="C38" s="99" t="n"/>
      <c r="D38" s="97" t="n"/>
      <c r="E38" s="97" t="n"/>
      <c r="F38" s="81" t="n"/>
      <c r="G38" s="96" t="n"/>
      <c r="H38" s="75" t="n"/>
      <c r="I38" s="94" t="n"/>
      <c r="J38" s="96" t="n"/>
      <c r="K38" s="96" t="n"/>
    </row>
    <row r="39" ht="141" customFormat="1" customHeight="1" s="56">
      <c r="A39" s="381" t="n"/>
      <c r="B39" s="55" t="n"/>
      <c r="C39" s="43" t="n"/>
      <c r="D39" s="266" t="n"/>
      <c r="E39" s="265" t="n"/>
      <c r="F39" s="78" t="n"/>
      <c r="G39" s="95" t="n"/>
      <c r="H39" s="93" t="n"/>
      <c r="I39" s="49" t="n"/>
      <c r="J39" s="95" t="n"/>
      <c r="K39" s="95" t="n"/>
    </row>
    <row r="40" ht="87.75" customFormat="1" customHeight="1" s="56">
      <c r="A40" s="381" t="n"/>
      <c r="B40" s="82" t="n"/>
      <c r="C40" s="267" t="n"/>
      <c r="D40" s="97" t="n"/>
      <c r="E40" s="97" t="n"/>
      <c r="F40" s="81" t="n"/>
      <c r="G40" s="96" t="n"/>
      <c r="H40" s="75" t="n"/>
      <c r="I40" s="94" t="n"/>
      <c r="J40" s="96" t="n"/>
      <c r="K40" s="96" t="n"/>
    </row>
    <row r="41" ht="81" customHeight="1" s="270">
      <c r="A41" s="381" t="n"/>
      <c r="B41" s="55" t="n"/>
      <c r="C41" s="40" t="n"/>
      <c r="D41" s="265" t="n"/>
      <c r="E41" s="265" t="n"/>
      <c r="F41" s="112" t="n"/>
      <c r="G41" s="95" t="n"/>
      <c r="H41" s="75" t="n"/>
      <c r="I41" s="169" t="n"/>
      <c r="J41" s="170" t="n"/>
      <c r="K41" s="170" t="n"/>
    </row>
    <row r="42" ht="73.5" customHeight="1" s="270">
      <c r="A42" s="381" t="n"/>
      <c r="B42" s="81" t="n"/>
      <c r="C42" s="267" t="n"/>
      <c r="D42" s="97" t="n"/>
      <c r="E42" s="97" t="n"/>
      <c r="F42" s="81" t="n"/>
      <c r="G42" s="96" t="n"/>
      <c r="H42" s="75" t="n"/>
      <c r="I42" s="94" t="n"/>
      <c r="J42" s="99" t="n"/>
      <c r="K42" s="99" t="n"/>
    </row>
    <row r="43" ht="84.75" customHeight="1" s="270">
      <c r="A43" s="381" t="n"/>
      <c r="B43" s="55" t="n"/>
      <c r="C43" s="40" t="n"/>
      <c r="D43" s="265" t="n"/>
      <c r="E43" s="265" t="n"/>
      <c r="F43" s="112" t="n"/>
      <c r="G43" s="95" t="n"/>
      <c r="H43" s="75" t="n"/>
      <c r="I43" s="169" t="n"/>
      <c r="J43" s="170" t="n"/>
      <c r="K43" s="170" t="n"/>
    </row>
    <row r="44" ht="78" customHeight="1" s="270">
      <c r="A44" s="381" t="n"/>
      <c r="B44" s="47" t="n"/>
      <c r="C44" s="267" t="n"/>
      <c r="D44" s="97" t="n"/>
      <c r="E44" s="97" t="n"/>
      <c r="F44" s="47" t="n"/>
      <c r="G44" s="96" t="n"/>
      <c r="H44" s="75" t="n"/>
      <c r="I44" s="94" t="n"/>
      <c r="J44" s="99" t="n"/>
      <c r="K44" s="99" t="n"/>
    </row>
    <row r="45" ht="77.25" customHeight="1" s="270">
      <c r="A45" s="381" t="n"/>
      <c r="B45" s="41" t="n"/>
      <c r="C45" s="40" t="n"/>
      <c r="D45" s="265" t="n"/>
      <c r="E45" s="265" t="n"/>
      <c r="F45" s="45" t="n"/>
      <c r="G45" s="52" t="n"/>
      <c r="H45" s="75" t="n"/>
      <c r="I45" s="171" t="n"/>
      <c r="J45" s="170" t="n"/>
      <c r="K45" s="171" t="n"/>
    </row>
    <row r="46" ht="89.25" customHeight="1" s="270">
      <c r="A46" s="381" t="n"/>
      <c r="B46" s="47" t="n"/>
      <c r="C46" s="267" t="n"/>
      <c r="D46" s="172" t="n"/>
      <c r="E46" s="172" t="n"/>
      <c r="F46" s="271" t="n"/>
      <c r="G46" s="271" t="n"/>
      <c r="H46" s="93" t="n"/>
      <c r="I46" s="122" t="n"/>
      <c r="J46" s="271" t="n"/>
      <c r="K46" s="271" t="n"/>
    </row>
    <row r="47" ht="96.75" customHeight="1" s="270">
      <c r="A47" s="381" t="n"/>
      <c r="B47" s="41" t="n"/>
      <c r="D47" s="266" t="n"/>
      <c r="F47" s="45" t="n"/>
      <c r="G47" s="34" t="n"/>
      <c r="H47" s="93" t="n"/>
      <c r="I47" s="171" t="n"/>
      <c r="J47" s="34" t="n"/>
      <c r="K47" s="34" t="n"/>
    </row>
    <row r="48" ht="68.25" customHeight="1" s="270">
      <c r="A48" s="381" t="n"/>
      <c r="B48" s="47" t="n"/>
      <c r="C48" s="267" t="n"/>
      <c r="D48" s="266" t="n"/>
      <c r="E48" s="266" t="n"/>
      <c r="F48" s="47" t="n"/>
      <c r="G48" s="271" t="n"/>
      <c r="H48" s="93" t="n"/>
      <c r="I48" s="122" t="n"/>
      <c r="J48" s="271" t="n"/>
      <c r="K48" s="271" t="n"/>
    </row>
    <row r="49" ht="93" customHeight="1" s="270">
      <c r="A49" s="381" t="n"/>
      <c r="B49" s="55" t="n"/>
      <c r="C49" s="43" t="n"/>
      <c r="D49" s="265" t="n"/>
      <c r="E49" s="265" t="n"/>
      <c r="F49" s="78" t="n"/>
      <c r="G49" s="118" t="n"/>
      <c r="H49" s="75" t="n"/>
      <c r="I49" s="117" t="n"/>
      <c r="J49" s="52" t="n"/>
      <c r="K49" s="52" t="n"/>
    </row>
    <row r="50" ht="168.75" customHeight="1" s="270">
      <c r="A50" s="357" t="n"/>
      <c r="B50" s="59" t="n"/>
      <c r="C50" s="46" t="n"/>
      <c r="D50" s="72" t="n"/>
      <c r="E50" s="84" t="n"/>
      <c r="F50" s="61" t="n"/>
      <c r="G50" s="119" t="n"/>
      <c r="H50" s="72" t="n"/>
      <c r="I50" s="247" t="n"/>
      <c r="J50" s="119" t="n"/>
      <c r="K50" s="119" t="n"/>
    </row>
    <row r="51" ht="66" customHeight="1" s="270">
      <c r="A51" s="381" t="n"/>
      <c r="B51" s="57" t="n"/>
      <c r="C51" s="51" t="n"/>
      <c r="D51" s="73" t="n"/>
      <c r="E51" s="85" t="n"/>
      <c r="F51" s="58" t="n"/>
      <c r="G51" s="118" t="n"/>
      <c r="H51" s="72" t="n"/>
      <c r="I51" s="49" t="n"/>
      <c r="J51" s="118" t="n"/>
      <c r="K51" s="118" t="n"/>
    </row>
    <row r="52" ht="25.5" customHeight="1" s="270">
      <c r="A52" s="381" t="n"/>
      <c r="B52" s="59" t="n"/>
      <c r="C52" s="362" t="n"/>
      <c r="D52" s="60" t="n"/>
      <c r="E52" s="84" t="n"/>
      <c r="F52" s="59" t="n"/>
      <c r="G52" s="119" t="n"/>
      <c r="H52" s="72" t="n"/>
      <c r="I52" s="120" t="n"/>
      <c r="J52" s="119" t="n"/>
      <c r="K52" s="119" t="n"/>
    </row>
    <row r="53" ht="73.5" customHeight="1" s="270">
      <c r="A53" s="381" t="n"/>
      <c r="B53" s="63" t="n"/>
      <c r="C53" s="53" t="n"/>
      <c r="D53" s="62" t="n"/>
      <c r="E53" s="86" t="n"/>
      <c r="F53" s="57" t="n"/>
      <c r="G53" s="118" t="n"/>
      <c r="H53" s="72" t="n"/>
      <c r="I53" s="43" t="n"/>
      <c r="J53" s="118" t="n"/>
      <c r="K53" s="118" t="n"/>
    </row>
    <row r="54" ht="18" customHeight="1" s="270">
      <c r="A54" s="381" t="n"/>
      <c r="B54" s="59" t="n"/>
      <c r="C54" s="54" t="n"/>
      <c r="D54" s="71" t="n"/>
      <c r="E54" s="84" t="n"/>
      <c r="F54" s="59" t="n"/>
      <c r="G54" s="48" t="n"/>
      <c r="H54" s="75" t="n"/>
      <c r="I54" s="121" t="n"/>
      <c r="J54" s="121" t="n"/>
      <c r="K54" s="121" t="n"/>
    </row>
    <row r="55" ht="57.75" customHeight="1" s="270">
      <c r="A55" s="381" t="n"/>
      <c r="B55" s="57" t="n"/>
      <c r="C55" s="363" t="n"/>
      <c r="D55" s="62" t="n"/>
      <c r="E55" s="86" t="n"/>
      <c r="F55" s="57" t="n"/>
      <c r="G55" s="34" t="n"/>
      <c r="H55" s="34" t="n"/>
      <c r="I55" s="34" t="n"/>
      <c r="J55" s="34" t="n"/>
      <c r="K55" s="34" t="n"/>
    </row>
    <row r="56" ht="69.75" customHeight="1" s="270">
      <c r="A56" s="381" t="n"/>
      <c r="B56" s="61" t="n"/>
      <c r="C56" s="46" t="n"/>
      <c r="D56" s="70" t="n"/>
      <c r="E56" s="87" t="n"/>
      <c r="F56" s="59" t="n"/>
      <c r="G56" s="48" t="n"/>
      <c r="H56" s="271" t="n"/>
      <c r="I56" s="271" t="n"/>
      <c r="J56" s="271" t="n"/>
      <c r="K56" s="271" t="n"/>
    </row>
    <row r="57" ht="59.25" customHeight="1" s="270">
      <c r="A57" s="381" t="n"/>
      <c r="B57" s="57" t="n"/>
      <c r="C57" s="364" t="n"/>
      <c r="D57" s="64" t="n"/>
      <c r="E57" s="88" t="n"/>
      <c r="F57" s="57" t="n"/>
      <c r="G57" s="34" t="n"/>
      <c r="H57" s="34" t="n"/>
      <c r="I57" s="34" t="n"/>
      <c r="J57" s="34" t="n"/>
      <c r="K57" s="34" t="n"/>
    </row>
    <row r="58" ht="45.75" customHeight="1" s="270">
      <c r="A58" s="381" t="n"/>
      <c r="B58" s="65" t="n"/>
      <c r="C58" s="66" t="n"/>
      <c r="D58" s="67" t="n"/>
      <c r="E58" s="87" t="n"/>
      <c r="F58" s="61" t="n"/>
      <c r="G58" s="271" t="n"/>
      <c r="H58" s="271" t="n"/>
      <c r="I58" s="271" t="n"/>
      <c r="J58" s="271" t="n"/>
      <c r="K58" s="271" t="n"/>
    </row>
    <row r="59" ht="66.75" customHeight="1" s="270">
      <c r="A59" s="381" t="n"/>
      <c r="B59" s="57" t="n"/>
      <c r="C59" s="364" t="n"/>
      <c r="D59" s="366" t="n"/>
      <c r="E59" s="89" t="n"/>
      <c r="F59" s="57" t="n"/>
      <c r="G59" s="118" t="n"/>
      <c r="H59" s="72" t="n"/>
      <c r="I59" s="49" t="n"/>
      <c r="J59" s="118" t="n"/>
      <c r="K59" s="118" t="n"/>
    </row>
    <row r="60" ht="84.75" customHeight="1" s="270">
      <c r="A60" s="381" t="n"/>
      <c r="B60" s="68" t="n"/>
      <c r="C60" s="69" t="n"/>
      <c r="D60" s="69" t="n"/>
      <c r="E60" s="90" t="n"/>
      <c r="F60" s="68" t="n"/>
      <c r="G60" s="271" t="n"/>
      <c r="H60" s="271" t="n"/>
      <c r="I60" s="271" t="n"/>
      <c r="J60" s="271" t="n"/>
      <c r="K60" s="271" t="n"/>
    </row>
    <row r="61" ht="124.5" customHeight="1" s="270">
      <c r="A61" s="381" t="n"/>
      <c r="B61" s="57" t="n"/>
      <c r="C61" s="364" t="n"/>
      <c r="D61" s="366" t="n"/>
      <c r="F61" s="57" t="n"/>
      <c r="G61" s="80" t="n"/>
      <c r="H61" s="75" t="n"/>
      <c r="I61" s="176" t="n"/>
      <c r="J61" s="74" t="n"/>
      <c r="K61" s="74" t="n"/>
    </row>
    <row r="62" ht="15.75" customHeight="1" s="270">
      <c r="A62" s="353" t="n"/>
      <c r="B62" s="271" t="n"/>
      <c r="C62" s="267" t="n"/>
      <c r="D62" s="266" t="n"/>
      <c r="E62" s="172" t="n"/>
      <c r="F62" s="47" t="n"/>
      <c r="G62" s="271" t="n"/>
      <c r="H62" s="72" t="n"/>
      <c r="I62" s="177" t="n"/>
      <c r="J62" s="271" t="n"/>
      <c r="K62" s="271" t="n"/>
    </row>
    <row r="63" ht="18" customHeight="1" s="270">
      <c r="A63" s="381" t="n"/>
      <c r="B63" s="57" t="n"/>
      <c r="C63" s="173" t="n"/>
      <c r="D63" s="366" t="n"/>
      <c r="F63" s="45" t="n"/>
      <c r="G63" s="80" t="n"/>
      <c r="H63" s="75" t="n"/>
      <c r="I63" s="176" t="n"/>
      <c r="J63" s="34" t="n"/>
      <c r="K63" s="34" t="n"/>
    </row>
    <row r="64" ht="18" customHeight="1" s="270">
      <c r="A64" s="381" t="n"/>
      <c r="B64" s="271" t="n"/>
      <c r="C64" s="175" t="n"/>
      <c r="D64" s="267" t="n"/>
      <c r="E64" s="172" t="n"/>
      <c r="F64" s="47" t="n"/>
      <c r="G64" s="179" t="n"/>
      <c r="H64" s="75" t="n"/>
      <c r="I64" s="177" t="n"/>
      <c r="J64" s="271" t="n"/>
      <c r="K64" s="271" t="n"/>
    </row>
    <row r="65" ht="15.75" customHeight="1" s="270">
      <c r="A65" s="381" t="n"/>
      <c r="C65" s="174" t="n"/>
      <c r="D65" s="79" t="n"/>
      <c r="F65" s="34" t="n"/>
      <c r="G65" s="34" t="n"/>
      <c r="H65" s="72" t="n"/>
      <c r="I65" s="176" t="n"/>
      <c r="J65" s="34" t="n"/>
      <c r="K65" s="34" t="n"/>
    </row>
    <row r="66" ht="15.75" customHeight="1" s="270">
      <c r="A66" s="381" t="n"/>
      <c r="B66" s="271" t="n"/>
      <c r="C66" s="267" t="n"/>
      <c r="D66" s="178" t="n"/>
      <c r="E66" s="83" t="n"/>
      <c r="F66" s="271" t="n"/>
      <c r="G66" s="271" t="n"/>
      <c r="H66" s="72" t="n"/>
      <c r="I66" s="177" t="n"/>
      <c r="J66" s="271" t="n"/>
      <c r="K66" s="271" t="n"/>
    </row>
    <row r="67" ht="15.75" customHeight="1" s="270">
      <c r="A67" s="381" t="n"/>
      <c r="B67" s="41" t="n"/>
      <c r="C67" s="174" t="n"/>
      <c r="D67" s="44" t="n"/>
      <c r="F67" s="45" t="n"/>
      <c r="G67" s="34" t="n"/>
      <c r="H67" s="72" t="n"/>
      <c r="I67" s="176" t="n"/>
      <c r="J67" s="34" t="n"/>
      <c r="K67" s="34" t="n"/>
    </row>
    <row r="68" ht="15.75" customHeight="1" s="270">
      <c r="A68" s="381" t="n"/>
      <c r="B68" s="271" t="n"/>
      <c r="C68" s="267" t="n"/>
      <c r="D68" s="108" t="n"/>
      <c r="E68" s="172" t="n"/>
      <c r="F68" s="271" t="n"/>
      <c r="G68" s="271" t="n"/>
      <c r="H68" s="72" t="n"/>
      <c r="I68" s="177" t="n"/>
      <c r="J68" s="271" t="n"/>
      <c r="K68" s="271" t="n"/>
    </row>
    <row r="69" ht="15.75" customHeight="1" s="270">
      <c r="A69" s="381" t="n"/>
      <c r="F69" s="34" t="n"/>
      <c r="G69" s="34" t="n"/>
      <c r="H69" s="72" t="n"/>
      <c r="I69" s="176" t="n"/>
      <c r="J69" s="34" t="n"/>
      <c r="K69" s="34" t="n"/>
    </row>
    <row r="70" ht="15.75" customHeight="1" s="270">
      <c r="A70" s="381" t="n"/>
      <c r="B70" s="271" t="n"/>
      <c r="C70" s="271" t="n"/>
      <c r="D70" s="271" t="n"/>
      <c r="E70" s="83" t="n"/>
      <c r="F70" s="271" t="n"/>
      <c r="G70" s="271" t="n"/>
      <c r="H70" s="72" t="n"/>
      <c r="I70" s="177" t="n"/>
      <c r="J70" s="271" t="n"/>
      <c r="K70" s="271" t="n"/>
    </row>
    <row r="71" ht="15.75" customHeight="1" s="270">
      <c r="A71" s="381" t="n"/>
      <c r="F71" s="34" t="n"/>
      <c r="G71" s="34" t="n"/>
      <c r="H71" s="72" t="n"/>
      <c r="I71" s="176" t="n"/>
      <c r="J71" s="34" t="n"/>
      <c r="K71" s="34" t="n"/>
    </row>
    <row r="72" ht="15.75" customHeight="1" s="270">
      <c r="A72" s="381" t="n"/>
      <c r="B72" s="271" t="n"/>
      <c r="C72" s="271" t="n"/>
      <c r="D72" s="271" t="n"/>
      <c r="E72" s="83" t="n"/>
      <c r="F72" s="271" t="n"/>
      <c r="G72" s="271" t="n"/>
      <c r="H72" s="72" t="n"/>
      <c r="I72" s="177" t="n"/>
      <c r="J72" s="271" t="n"/>
      <c r="K72" s="271" t="n"/>
    </row>
    <row r="73" ht="15.75" customHeight="1" s="270">
      <c r="A73" s="381" t="n"/>
      <c r="B73" s="55" t="n"/>
      <c r="C73" s="43" t="n"/>
      <c r="D73" s="265" t="n"/>
      <c r="E73" s="265" t="n"/>
      <c r="F73" s="78" t="n"/>
      <c r="G73" s="49" t="n"/>
      <c r="H73" s="75" t="n"/>
      <c r="I73" s="49" t="n"/>
      <c r="J73" s="42" t="n"/>
      <c r="K73" s="271" t="n"/>
    </row>
    <row r="74" ht="15.75" customHeight="1" s="270">
      <c r="A74" s="353" t="n"/>
      <c r="B74" s="131" t="n"/>
      <c r="C74" s="158" t="n"/>
      <c r="D74" s="97" t="n"/>
      <c r="E74" s="97" t="n"/>
      <c r="F74" s="127" t="n"/>
      <c r="G74" s="106" t="n"/>
      <c r="H74" s="105" t="n"/>
      <c r="I74" s="106" t="n"/>
      <c r="J74" s="130" t="n"/>
      <c r="K74" s="130" t="n"/>
    </row>
    <row r="75" ht="15.75" customHeight="1" s="270">
      <c r="A75" s="381" t="n"/>
      <c r="B75" s="128" t="n"/>
      <c r="C75" s="203" t="n"/>
      <c r="D75" s="265" t="n"/>
      <c r="E75" s="265" t="n"/>
      <c r="F75" s="112" t="n"/>
      <c r="G75" s="95" t="n"/>
      <c r="H75" s="105" t="n"/>
      <c r="I75" s="95" t="n"/>
      <c r="J75" s="123" t="n"/>
      <c r="K75" s="123" t="n"/>
    </row>
    <row r="76" ht="15.75" customHeight="1" s="270">
      <c r="A76" s="381" t="n"/>
      <c r="B76" s="131" t="n"/>
      <c r="C76" s="158" t="n"/>
      <c r="D76" s="97" t="n"/>
      <c r="E76" s="97" t="n"/>
      <c r="F76" s="127" t="n"/>
      <c r="G76" s="106" t="n"/>
      <c r="H76" s="105" t="n"/>
      <c r="I76" s="106" t="n"/>
      <c r="J76" s="130" t="n"/>
      <c r="K76" s="130" t="n"/>
    </row>
    <row r="77" ht="15.75" customHeight="1" s="270">
      <c r="A77" s="381" t="n"/>
      <c r="B77" s="128" t="n"/>
      <c r="C77" s="203" t="n"/>
      <c r="D77" s="265" t="n"/>
      <c r="E77" s="265" t="n"/>
      <c r="F77" s="112" t="n"/>
      <c r="G77" s="95" t="n"/>
      <c r="H77" s="105" t="n"/>
      <c r="I77" s="95" t="n"/>
      <c r="J77" s="123" t="n"/>
      <c r="K77" s="123" t="n"/>
      <c r="N77" s="272" t="n"/>
    </row>
    <row r="78" ht="15.75" customHeight="1" s="270">
      <c r="A78" s="381" t="n"/>
      <c r="B78" s="131" t="n"/>
      <c r="C78" s="158" t="n"/>
      <c r="D78" s="97" t="n"/>
      <c r="E78" s="97" t="n"/>
      <c r="F78" s="127" t="n"/>
      <c r="G78" s="106" t="n"/>
      <c r="H78" s="105" t="n"/>
      <c r="I78" s="106" t="n"/>
      <c r="J78" s="130" t="n"/>
      <c r="K78" s="130" t="n"/>
    </row>
    <row r="79" ht="60.75" customHeight="1" s="270">
      <c r="A79" s="381" t="n"/>
      <c r="B79" s="128" t="n"/>
      <c r="C79" s="203" t="n"/>
      <c r="D79" s="265" t="n"/>
      <c r="E79" s="265" t="n"/>
      <c r="F79" s="112" t="n"/>
      <c r="G79" s="95" t="n"/>
      <c r="H79" s="266" t="n"/>
      <c r="I79" s="95" t="n"/>
      <c r="J79" s="123" t="n"/>
      <c r="K79" s="123" t="n"/>
    </row>
    <row r="80" ht="60.75" customHeight="1" s="270">
      <c r="A80" s="381" t="n"/>
      <c r="B80" s="131" t="n"/>
      <c r="C80" s="158" t="n"/>
      <c r="D80" s="97" t="n"/>
      <c r="E80" s="97" t="n"/>
      <c r="F80" s="127" t="n"/>
      <c r="G80" s="106" t="n"/>
      <c r="H80" s="105" t="n"/>
      <c r="I80" s="106" t="n"/>
      <c r="J80" s="130" t="n"/>
      <c r="K80" s="130" t="n"/>
    </row>
    <row r="81" ht="15.75" customHeight="1" s="270">
      <c r="A81" s="381" t="n"/>
      <c r="B81" s="128" t="n"/>
      <c r="C81" s="203" t="n"/>
      <c r="D81" s="265" t="n"/>
      <c r="E81" s="265" t="n"/>
      <c r="F81" s="112" t="n"/>
      <c r="G81" s="95" t="n"/>
      <c r="H81" s="105" t="n"/>
      <c r="I81" s="95" t="n"/>
      <c r="J81" s="123" t="n"/>
      <c r="K81" s="123" t="n"/>
    </row>
    <row r="82" ht="15.75" customHeight="1" s="270">
      <c r="A82" s="381" t="n"/>
      <c r="B82" s="203" t="n"/>
      <c r="C82" s="265" t="n"/>
      <c r="D82" s="265" t="n"/>
      <c r="E82" s="265" t="n"/>
      <c r="F82" s="112" t="n"/>
      <c r="G82" s="159" t="n"/>
      <c r="H82" s="266" t="n"/>
      <c r="I82" s="248" t="n"/>
      <c r="J82" s="130" t="n"/>
      <c r="K82" s="130" t="n"/>
    </row>
    <row r="83" ht="15.75" customHeight="1" s="270">
      <c r="A83" s="381" t="n"/>
      <c r="B83" s="123" t="n"/>
      <c r="C83" s="131" t="n"/>
      <c r="D83" s="123" t="n"/>
      <c r="E83" s="123" t="n"/>
      <c r="F83" s="127" t="n"/>
      <c r="G83" s="123" t="n"/>
      <c r="H83" s="105" t="n"/>
      <c r="I83" s="131" t="n"/>
      <c r="J83" s="123" t="n"/>
      <c r="K83" s="123" t="n"/>
    </row>
    <row r="84" ht="15" customHeight="1" s="270">
      <c r="A84" s="381" t="n"/>
      <c r="B84" s="249" t="n"/>
      <c r="C84" s="249" t="n"/>
      <c r="D84" s="249" t="n"/>
      <c r="E84" s="249" t="n"/>
      <c r="F84" s="124" t="n"/>
      <c r="G84" s="124" t="n"/>
      <c r="H84" s="105" t="n"/>
      <c r="I84" s="124" t="n"/>
      <c r="J84" s="124" t="n"/>
      <c r="K84" s="124" t="n"/>
    </row>
    <row r="85" ht="33.75" customHeight="1" s="270">
      <c r="A85" s="250" t="n"/>
      <c r="B85" s="162" t="n"/>
      <c r="C85" s="203" t="n"/>
      <c r="D85" s="155" t="n"/>
      <c r="E85" s="265" t="n"/>
      <c r="F85" s="163" t="n"/>
      <c r="G85" s="265" t="n"/>
      <c r="H85" s="105" t="n"/>
      <c r="I85" s="106" t="n"/>
      <c r="J85" s="167" t="n"/>
      <c r="K85" s="168" t="n"/>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5.75" customHeight="1" s="270">
      <c r="A98" s="359" t="n"/>
      <c r="B98" s="151" t="n"/>
      <c r="C98" s="152" t="n"/>
      <c r="D98" s="136" t="n"/>
      <c r="E98" s="136" t="n"/>
      <c r="F98" s="127" t="n"/>
      <c r="G98" s="135" t="n"/>
      <c r="H98" s="153" t="n"/>
      <c r="I98" s="251" t="n"/>
      <c r="J98" s="152" t="n"/>
      <c r="K98" s="106" t="n"/>
    </row>
    <row r="99" ht="15.75" customHeight="1" s="270">
      <c r="A99" s="381" t="n"/>
      <c r="B99" s="128" t="n"/>
      <c r="C99" s="203" t="n"/>
      <c r="D99" s="265" t="n"/>
      <c r="E99" s="265" t="n"/>
      <c r="F99" s="112" t="n"/>
      <c r="G99" s="252" t="n"/>
      <c r="H99" s="105" t="n"/>
      <c r="I99" s="110" t="n"/>
      <c r="J99" s="110" t="n"/>
      <c r="K99" s="110" t="n"/>
    </row>
    <row r="100" ht="15.75" customHeight="1" s="270">
      <c r="A100" s="381" t="n"/>
      <c r="B100" s="151" t="n"/>
      <c r="C100" s="152" t="n"/>
      <c r="D100" s="266" t="n"/>
      <c r="E100" s="136" t="n"/>
      <c r="F100" s="127" t="n"/>
      <c r="G100" s="121" t="n"/>
      <c r="H100" s="105" t="n"/>
      <c r="I100" s="251" t="n"/>
      <c r="J100" s="152" t="n"/>
      <c r="K100" s="106" t="n"/>
    </row>
    <row r="101" ht="15.75" customHeight="1" s="270">
      <c r="A101" s="381" t="n"/>
      <c r="B101" s="128" t="n"/>
      <c r="C101" s="265" t="n"/>
      <c r="D101" s="265" t="n"/>
      <c r="E101" s="265" t="n"/>
      <c r="F101" s="112" t="n"/>
      <c r="G101" s="156" t="n"/>
      <c r="H101" s="105" t="n"/>
      <c r="I101" s="110" t="n"/>
      <c r="J101" s="34" t="n"/>
      <c r="K101" s="34" t="n"/>
    </row>
    <row r="102" ht="15.75" customHeight="1" s="270">
      <c r="A102" s="381" t="n"/>
      <c r="B102" s="271" t="n"/>
      <c r="C102" s="271" t="n"/>
      <c r="D102" s="271" t="n"/>
      <c r="E102" s="83" t="n"/>
      <c r="F102" s="271" t="n"/>
      <c r="G102" s="271" t="n"/>
      <c r="H102" s="72" t="n"/>
      <c r="I102" s="271" t="n"/>
      <c r="J102" s="271" t="n"/>
      <c r="K102" s="271" t="n"/>
    </row>
    <row r="103" ht="15.75" customHeight="1" s="270">
      <c r="A103" s="381" t="n"/>
      <c r="F103" s="34" t="n"/>
      <c r="G103" s="34" t="n"/>
      <c r="H103" s="72" t="n"/>
      <c r="I103" s="34" t="n"/>
      <c r="J103" s="34" t="n"/>
      <c r="K103" s="34" t="n"/>
    </row>
    <row r="104" ht="15.75" customHeight="1" s="270">
      <c r="A104" s="381" t="n"/>
      <c r="B104" s="271" t="n"/>
      <c r="C104" s="271" t="n"/>
      <c r="D104" s="271" t="n"/>
      <c r="E104" s="83" t="n"/>
      <c r="F104" s="271" t="n"/>
      <c r="G104" s="271" t="n"/>
      <c r="H104" s="72" t="n"/>
      <c r="I104" s="271" t="n"/>
      <c r="J104" s="271" t="n"/>
      <c r="K104" s="271" t="n"/>
    </row>
    <row r="105" ht="15.75" customHeight="1" s="270">
      <c r="A105" s="381" t="n"/>
      <c r="F105" s="34" t="n"/>
      <c r="G105" s="34" t="n"/>
      <c r="H105" s="72" t="n"/>
      <c r="I105" s="34" t="n"/>
      <c r="J105" s="34" t="n"/>
      <c r="K105" s="34" t="n"/>
    </row>
    <row r="106" ht="15.75" customHeight="1" s="270">
      <c r="A106" s="381" t="n"/>
      <c r="B106" s="271" t="n"/>
      <c r="C106" s="271" t="n"/>
      <c r="D106" s="271" t="n"/>
      <c r="E106" s="83" t="n"/>
      <c r="F106" s="271" t="n"/>
      <c r="G106" s="271" t="n"/>
      <c r="H106" s="72" t="n"/>
      <c r="I106" s="271" t="n"/>
      <c r="J106" s="271" t="n"/>
      <c r="K106" s="271" t="n"/>
    </row>
    <row r="107" ht="15.75" customHeight="1" s="270">
      <c r="A107" s="381" t="n"/>
      <c r="F107" s="34" t="n"/>
      <c r="G107" s="34" t="n"/>
      <c r="H107" s="72" t="n"/>
      <c r="I107" s="34" t="n"/>
      <c r="J107" s="34" t="n"/>
      <c r="K107" s="34" t="n"/>
    </row>
    <row r="108" ht="15.75" customHeight="1" s="270">
      <c r="A108" s="381" t="n"/>
      <c r="B108" s="271" t="n"/>
      <c r="C108" s="271" t="n"/>
      <c r="D108" s="271" t="n"/>
      <c r="E108" s="83" t="n"/>
      <c r="F108" s="271" t="n"/>
      <c r="G108" s="271" t="n"/>
      <c r="H108" s="72" t="n"/>
      <c r="I108" s="271" t="n"/>
      <c r="J108" s="271" t="n"/>
      <c r="K108" s="271" t="n"/>
    </row>
    <row r="109" ht="15.75" customHeight="1" s="270">
      <c r="A109" s="381" t="n"/>
      <c r="B109" s="41" t="n"/>
      <c r="C109" s="40" t="n"/>
      <c r="D109" s="44" t="n"/>
      <c r="F109" s="45" t="n"/>
      <c r="G109" s="34" t="n"/>
      <c r="H109" s="72" t="n"/>
      <c r="I109" s="74" t="n"/>
      <c r="J109" s="34" t="n"/>
      <c r="K109" s="34" t="n"/>
    </row>
    <row r="110" ht="15.75" customHeight="1" s="270">
      <c r="A110" s="353" t="n"/>
      <c r="B110" s="47" t="n"/>
      <c r="C110" s="227" t="n"/>
      <c r="D110" s="76" t="n"/>
      <c r="E110" s="83" t="n"/>
      <c r="F110" s="230" t="n"/>
      <c r="G110" s="267" t="n"/>
      <c r="H110" s="72" t="n"/>
      <c r="I110" s="227" t="n"/>
      <c r="J110" s="268" t="n"/>
      <c r="K110" s="217" t="n"/>
    </row>
    <row r="111" ht="15.75" customHeight="1" s="270">
      <c r="A111" s="381" t="n"/>
      <c r="B111" s="41" t="n"/>
      <c r="D111" s="44" t="n"/>
      <c r="F111" s="223" t="n"/>
      <c r="G111" s="228" t="n"/>
      <c r="H111" s="72" t="n"/>
      <c r="I111" s="228" t="n"/>
      <c r="J111" s="218" t="n"/>
      <c r="K111" s="218" t="n"/>
    </row>
    <row r="112" ht="15.75" customHeight="1" s="270">
      <c r="A112" s="381" t="n"/>
      <c r="B112" s="47" t="n"/>
      <c r="C112" s="271" t="n"/>
      <c r="D112" s="271" t="n"/>
      <c r="E112" s="83" t="n"/>
      <c r="F112" s="222" t="n"/>
      <c r="G112" s="227" t="n"/>
      <c r="H112" s="72" t="n"/>
      <c r="I112" s="217" t="n"/>
      <c r="J112" s="267" t="n"/>
      <c r="K112" s="219" t="n"/>
    </row>
    <row r="113" ht="15.75" customHeight="1" s="270">
      <c r="A113" s="381" t="n"/>
      <c r="B113" s="41" t="n"/>
      <c r="F113" s="223" t="n"/>
      <c r="G113" s="226" t="n"/>
      <c r="H113" s="72" t="n"/>
      <c r="I113" s="226" t="n"/>
      <c r="J113" s="228" t="n"/>
      <c r="K113" s="220" t="n"/>
    </row>
    <row r="114" ht="15.75" customHeight="1" s="270">
      <c r="A114" s="381" t="n"/>
      <c r="B114" s="41" t="n"/>
      <c r="C114" s="271" t="n"/>
      <c r="D114" s="76" t="n"/>
      <c r="E114" s="83" t="n"/>
      <c r="F114" s="222" t="n"/>
      <c r="H114" s="72" t="n"/>
      <c r="I114" s="227" t="n"/>
      <c r="K114" s="225" t="n"/>
    </row>
    <row r="115" ht="15.75" customHeight="1" s="270">
      <c r="A115" s="381" t="n"/>
      <c r="B115" s="253" t="n"/>
      <c r="D115" s="44" t="n"/>
      <c r="F115" s="45" t="n"/>
      <c r="G115" s="156" t="n"/>
      <c r="H115" s="72" t="n"/>
      <c r="I115" s="224" t="n"/>
      <c r="J115" s="224" t="n"/>
      <c r="K115" s="156" t="n"/>
    </row>
    <row r="116" ht="15.75" customHeight="1" s="270">
      <c r="A116" s="381" t="n"/>
      <c r="B116" s="47" t="n"/>
      <c r="C116" s="271" t="n"/>
      <c r="D116" s="271" t="n"/>
      <c r="E116" s="83" t="n"/>
      <c r="F116" s="271" t="n"/>
      <c r="G116" s="271" t="n"/>
      <c r="H116" s="72" t="n"/>
      <c r="I116" s="271" t="n"/>
      <c r="J116" s="271" t="n"/>
      <c r="K116" s="271" t="n"/>
    </row>
    <row r="117" ht="16.5" customHeight="1" s="270">
      <c r="A117" s="381" t="n"/>
      <c r="B117" s="41" t="n"/>
      <c r="F117" s="45" t="n"/>
      <c r="G117" s="254" t="n"/>
      <c r="H117" s="72" t="n"/>
      <c r="I117" s="224" t="n"/>
      <c r="K117" s="224" t="n"/>
    </row>
    <row r="118" ht="15.75" customHeight="1" s="270">
      <c r="A118" s="381" t="n"/>
      <c r="B118" s="47" t="n"/>
      <c r="C118" s="225" t="n"/>
      <c r="D118" s="271" t="n"/>
      <c r="E118" s="83" t="n"/>
      <c r="F118" s="41" t="n"/>
      <c r="G118" s="271" t="n"/>
      <c r="H118" s="72" t="n"/>
      <c r="I118" s="271" t="n"/>
      <c r="J118" s="271" t="n"/>
      <c r="K118" s="271" t="n"/>
    </row>
    <row r="119" ht="15.75" customHeight="1" s="270">
      <c r="A119" s="381" t="n"/>
      <c r="F119" s="271" t="n"/>
      <c r="G119" s="34" t="n"/>
      <c r="H119" s="72" t="n"/>
      <c r="I119" s="34" t="n"/>
      <c r="J119" s="34" t="n"/>
      <c r="K119" s="34" t="n"/>
    </row>
    <row r="120" ht="15.75" customHeight="1" s="270">
      <c r="A120" s="381" t="n"/>
      <c r="B120" s="47" t="n"/>
      <c r="C120" s="42" t="n"/>
      <c r="D120" s="76" t="n"/>
      <c r="E120" s="83" t="n"/>
      <c r="F120" s="47" t="n"/>
      <c r="G120" s="271" t="n"/>
      <c r="H120" s="75" t="n"/>
      <c r="I120" s="271" t="n"/>
      <c r="J120" s="271" t="n"/>
      <c r="K120" s="271" t="n"/>
    </row>
    <row r="121" ht="15.75" customHeight="1" s="270">
      <c r="A121" s="381" t="n"/>
      <c r="C121" s="40" t="n"/>
      <c r="F121" s="34" t="n"/>
      <c r="G121" s="34" t="n"/>
      <c r="H121" s="75" t="n"/>
      <c r="I121" s="34" t="n"/>
      <c r="J121" s="34" t="n"/>
      <c r="K121" s="34" t="n"/>
    </row>
    <row r="122" ht="15.75" customHeight="1" s="270">
      <c r="A122" s="353" t="n"/>
      <c r="B122" s="271" t="n"/>
      <c r="C122" s="271" t="n"/>
      <c r="D122" s="271" t="n"/>
      <c r="E122" s="83" t="n"/>
      <c r="F122" s="271" t="n"/>
      <c r="G122" s="271" t="n"/>
      <c r="H122" s="72" t="n"/>
      <c r="I122" s="271" t="n"/>
      <c r="J122" s="271" t="n"/>
      <c r="K122" s="271" t="n"/>
    </row>
    <row r="123" ht="15.75" customHeight="1" s="270">
      <c r="A123" s="381" t="n"/>
      <c r="F123" s="34" t="n"/>
      <c r="G123" s="34" t="n"/>
      <c r="H123" s="72" t="n"/>
      <c r="I123" s="34" t="n"/>
      <c r="J123" s="34" t="n"/>
      <c r="K123" s="34" t="n"/>
    </row>
    <row r="124" ht="15.75" customHeight="1" s="270">
      <c r="A124" s="381" t="n"/>
      <c r="B124" s="271" t="n"/>
      <c r="C124" s="271" t="n"/>
      <c r="D124" s="271" t="n"/>
      <c r="E124" s="83" t="n"/>
      <c r="F124" s="271" t="n"/>
      <c r="G124" s="271" t="n"/>
      <c r="H124" s="72" t="n"/>
      <c r="I124" s="271" t="n"/>
      <c r="J124" s="271" t="n"/>
      <c r="K124" s="271" t="n"/>
    </row>
    <row r="125" ht="15.75" customHeight="1" s="270">
      <c r="A125" s="381" t="n"/>
      <c r="F125" s="34" t="n"/>
      <c r="G125" s="34" t="n"/>
      <c r="H125" s="72" t="n"/>
      <c r="I125" s="34" t="n"/>
      <c r="J125" s="34" t="n"/>
      <c r="K125" s="34" t="n"/>
    </row>
    <row r="126" ht="15.75" customHeight="1" s="270">
      <c r="A126" s="381" t="n"/>
      <c r="B126" s="271" t="n"/>
      <c r="C126" s="271" t="n"/>
      <c r="D126" s="271" t="n"/>
      <c r="E126" s="83" t="n"/>
      <c r="F126" s="271" t="n"/>
      <c r="G126" s="271" t="n"/>
      <c r="H126" s="72" t="n"/>
      <c r="I126" s="271" t="n"/>
      <c r="J126" s="271" t="n"/>
      <c r="K126" s="271" t="n"/>
    </row>
    <row r="127" ht="15.75" customHeight="1" s="270">
      <c r="A127" s="381" t="n"/>
      <c r="F127" s="34" t="n"/>
      <c r="G127" s="34" t="n"/>
      <c r="H127" s="72" t="n"/>
      <c r="I127" s="34" t="n"/>
      <c r="J127" s="34" t="n"/>
      <c r="K127" s="34" t="n"/>
    </row>
    <row r="128" ht="15.75" customHeight="1" s="270">
      <c r="A128" s="381" t="n"/>
      <c r="B128" s="271" t="n"/>
      <c r="C128" s="42" t="n"/>
      <c r="D128" s="271" t="n"/>
      <c r="E128" s="83" t="n"/>
      <c r="F128" s="271" t="n"/>
      <c r="G128" s="271" t="n"/>
      <c r="H128" s="75" t="n"/>
      <c r="I128" s="271" t="n"/>
      <c r="J128" s="271" t="n"/>
      <c r="K128" s="271" t="n"/>
    </row>
    <row r="129" ht="15.75" customHeight="1" s="270">
      <c r="A129" s="381" t="n"/>
      <c r="C129" s="40" t="n"/>
      <c r="D129" s="107" t="n"/>
      <c r="F129" s="34" t="n"/>
      <c r="G129" s="34" t="n"/>
      <c r="H129" s="72" t="n"/>
      <c r="I129" s="34" t="n"/>
      <c r="J129" s="34" t="n"/>
      <c r="K129" s="34" t="n"/>
    </row>
    <row r="130" ht="15.75" customHeight="1" s="270">
      <c r="A130" s="381" t="n"/>
      <c r="B130" s="271" t="n"/>
      <c r="C130" s="42" t="n"/>
      <c r="D130" s="271" t="n"/>
      <c r="E130" s="83" t="n"/>
      <c r="F130" s="271" t="n"/>
      <c r="G130" s="271" t="n"/>
      <c r="H130" s="72" t="n"/>
      <c r="I130" s="271" t="n"/>
      <c r="J130" s="271" t="n"/>
      <c r="K130" s="271" t="n"/>
    </row>
    <row r="131" ht="15.75" customHeight="1" s="270">
      <c r="A131" s="381" t="n"/>
      <c r="B131" s="41" t="n"/>
      <c r="C131" s="40" t="n"/>
      <c r="D131" s="44" t="n"/>
      <c r="F131" s="45" t="n"/>
      <c r="G131" s="34" t="n"/>
      <c r="H131" s="75" t="n"/>
      <c r="I131" s="34" t="n"/>
      <c r="J131" s="34" t="n"/>
      <c r="K131" s="34" t="n"/>
    </row>
    <row r="132" ht="15.75" customHeight="1" s="270">
      <c r="A132" s="381" t="n"/>
      <c r="B132" s="271" t="n"/>
      <c r="C132" s="72" t="n"/>
      <c r="D132" s="271" t="n"/>
      <c r="E132" s="83" t="n"/>
      <c r="F132" s="271" t="n"/>
      <c r="G132" s="271" t="n"/>
      <c r="H132" s="72" t="n"/>
      <c r="I132" s="271" t="n"/>
      <c r="J132" s="271" t="n"/>
      <c r="K132" s="271" t="n"/>
    </row>
    <row r="133" ht="15.75" customHeight="1" s="270">
      <c r="A133" s="381" t="n"/>
      <c r="C133" s="40" t="n"/>
      <c r="D133" s="40" t="n"/>
      <c r="F133" s="45" t="n"/>
      <c r="G133" s="34" t="n"/>
      <c r="H133" s="75" t="n"/>
      <c r="I133" s="34" t="n"/>
      <c r="J133" s="34" t="n"/>
      <c r="K133" s="34" t="n"/>
    </row>
    <row r="134" ht="15.75" customHeight="1" s="270">
      <c r="A134" s="353" t="n"/>
      <c r="B134" s="271" t="n"/>
      <c r="C134" s="42" t="n"/>
      <c r="D134" s="92" t="n"/>
      <c r="E134" s="83" t="n"/>
      <c r="F134" s="47" t="n"/>
      <c r="G134" s="271" t="n"/>
      <c r="H134" s="75" t="n"/>
      <c r="I134" s="271" t="n"/>
      <c r="J134" s="271" t="n"/>
      <c r="K134" s="271" t="n"/>
    </row>
    <row r="135" ht="15.75" customHeight="1" s="270">
      <c r="A135" s="381" t="n"/>
      <c r="B135" s="41" t="n"/>
      <c r="C135" s="40" t="n"/>
      <c r="D135" s="44" t="n"/>
      <c r="F135" s="45" t="n"/>
      <c r="G135" s="34" t="n"/>
      <c r="H135" s="75" t="n"/>
      <c r="I135" s="34" t="n"/>
      <c r="J135" s="34" t="n"/>
      <c r="K135" s="34" t="n"/>
    </row>
    <row r="136" ht="15.75" customHeight="1" s="270">
      <c r="A136" s="381" t="n"/>
      <c r="B136" s="271" t="n"/>
      <c r="C136" s="271" t="n"/>
      <c r="D136" s="107" t="n"/>
      <c r="E136" s="83" t="n"/>
      <c r="F136" s="47" t="n"/>
      <c r="G136" s="271" t="n"/>
      <c r="H136" s="72" t="n"/>
      <c r="I136" s="271" t="n"/>
      <c r="J136" s="271" t="n"/>
      <c r="K136" s="271" t="n"/>
    </row>
    <row r="137" ht="15.75" customHeight="1" s="270">
      <c r="A137" s="381" t="n"/>
      <c r="F137" s="34" t="n"/>
      <c r="G137" s="34" t="n"/>
      <c r="H137" s="72" t="n"/>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9" dxfId="15">
      <formula>AND(C152&lt;&gt;"",COUNTIF($C$2:$C$319,C152)&gt;1)</formula>
    </cfRule>
    <cfRule type="expression" priority="10" dxfId="14">
      <formula>AND($C152&lt;&gt;"",C152="")</formula>
    </cfRule>
  </conditionalFormatting>
  <conditionalFormatting sqref="F141 F152:F319">
    <cfRule type="expression" priority="11" dxfId="15">
      <formula>AND(F141&lt;&gt;"",COUNTIF($F$2:$F$319,F141)&gt;1)</formula>
    </cfRule>
    <cfRule type="expression" priority="12"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B86" r:id="rId1"/>
    <hyperlink xmlns:r="http://schemas.openxmlformats.org/officeDocument/2006/relationships" ref="F86" r:id="rId2"/>
    <hyperlink xmlns:r="http://schemas.openxmlformats.org/officeDocument/2006/relationships" ref="F87" r:id="rId3"/>
    <hyperlink xmlns:r="http://schemas.openxmlformats.org/officeDocument/2006/relationships" ref="F88" r:id="rId4"/>
    <hyperlink xmlns:r="http://schemas.openxmlformats.org/officeDocument/2006/relationships" ref="F89" r:id="rId5"/>
  </hyperlinks>
  <pageMargins left="0.75" right="0.75" top="1" bottom="1" header="0.511811023622047" footer="0.511811023622047"/>
  <pageSetup orientation="portrait" paperSize="9" horizontalDpi="300" verticalDpi="300"/>
  <tableParts count="1">
    <tablePart xmlns:r="http://schemas.openxmlformats.org/officeDocument/2006/relationships" r:id="rId6"/>
  </tableParts>
</worksheet>
</file>

<file path=xl/worksheets/sheet6.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33" activePane="topRight" state="frozen"/>
      <selection pane="topRight" activeCell="B72" sqref="B72"/>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9" dxfId="15">
      <formula>AND(C152&lt;&gt;"",COUNTIF($C$2:$C$319,C152)&gt;1)</formula>
    </cfRule>
    <cfRule type="expression" priority="10" dxfId="14">
      <formula>AND($C152&lt;&gt;"",C152="")</formula>
    </cfRule>
  </conditionalFormatting>
  <conditionalFormatting sqref="F141 F152:F319">
    <cfRule type="expression" priority="11" dxfId="15">
      <formula>AND(F141&lt;&gt;"",COUNTIF($F$2:$F$319,F141)&gt;1)</formula>
    </cfRule>
    <cfRule type="expression" priority="12"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F115" location="Abs1" r:id="rId129"/>
    <hyperlink xmlns:r="http://schemas.openxmlformats.org/officeDocument/2006/relationships" ref="B116" r:id="rId130"/>
    <hyperlink xmlns:r="http://schemas.openxmlformats.org/officeDocument/2006/relationships" ref="B117" r:id="rId131"/>
    <hyperlink xmlns:r="http://schemas.openxmlformats.org/officeDocument/2006/relationships" ref="F117" location="Abs1" r:id="rId132"/>
    <hyperlink xmlns:r="http://schemas.openxmlformats.org/officeDocument/2006/relationships" ref="B118" r:id="rId133"/>
    <hyperlink xmlns:r="http://schemas.openxmlformats.org/officeDocument/2006/relationships" ref="F118" location="Abs1" r:id="rId134"/>
    <hyperlink xmlns:r="http://schemas.openxmlformats.org/officeDocument/2006/relationships" ref="B120" r:id="rId135"/>
    <hyperlink xmlns:r="http://schemas.openxmlformats.org/officeDocument/2006/relationships" ref="F120" r:id="rId136"/>
    <hyperlink xmlns:r="http://schemas.openxmlformats.org/officeDocument/2006/relationships" ref="B131" r:id="rId137"/>
    <hyperlink xmlns:r="http://schemas.openxmlformats.org/officeDocument/2006/relationships" ref="F131" r:id="rId138"/>
    <hyperlink xmlns:r="http://schemas.openxmlformats.org/officeDocument/2006/relationships" ref="F133" r:id="rId139"/>
    <hyperlink xmlns:r="http://schemas.openxmlformats.org/officeDocument/2006/relationships" ref="F134" r:id="rId140"/>
    <hyperlink xmlns:r="http://schemas.openxmlformats.org/officeDocument/2006/relationships" ref="B135" r:id="rId141"/>
    <hyperlink xmlns:r="http://schemas.openxmlformats.org/officeDocument/2006/relationships" ref="F135" r:id="rId142"/>
    <hyperlink xmlns:r="http://schemas.openxmlformats.org/officeDocument/2006/relationships" ref="F136" r:id="rId143"/>
  </hyperlinks>
  <pageMargins left="0.75" right="0.75" top="1" bottom="1" header="0.511811023622047" footer="0.511811023622047"/>
  <pageSetup orientation="portrait" paperSize="9" horizontalDpi="300" verticalDpi="300"/>
  <tableParts count="1">
    <tablePart xmlns:r="http://schemas.openxmlformats.org/officeDocument/2006/relationships" r:id="rId144"/>
  </tableParts>
</worksheet>
</file>

<file path=xl/worksheets/sheet7.xml><?xml version="1.0" encoding="utf-8"?>
<worksheet xmlns="http://schemas.openxmlformats.org/spreadsheetml/2006/main">
  <sheetPr>
    <tabColor rgb="FF003C71"/>
    <outlinePr summaryBelow="1" summaryRight="1"/>
    <pageSetUpPr/>
  </sheetPr>
  <dimension ref="A1:M187"/>
  <sheetViews>
    <sheetView zoomScaleNormal="100" workbookViewId="0">
      <pane xSplit="1" topLeftCell="K1" activePane="topRight" state="frozen"/>
      <selection pane="topRight" activeCell="K5" sqref="K5"/>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28.5" customHeight="1" s="270">
      <c r="A2" s="353" t="inlineStr">
        <is>
          <t>Hend</t>
        </is>
      </c>
      <c r="B2" s="271" t="inlineStr">
        <is>
          <t>10.1016/j.neubiorev.2007.05.010</t>
        </is>
      </c>
      <c r="C2" s="267" t="inlineStr">
        <is>
          <t xml:space="preserve">What neuroimaging tells us about sensory substitution
</t>
        </is>
      </c>
      <c r="D2" s="266" t="n">
        <v>2007</v>
      </c>
      <c r="E2" s="172" t="inlineStr">
        <is>
          <t>Elsevier</t>
        </is>
      </c>
      <c r="F2" s="47" t="inlineStr">
        <is>
          <t>https://www.sciencedirect.com/science/article/abs/pii/S0149763407000668?via%3Dihub</t>
        </is>
      </c>
      <c r="G2" s="271" t="n"/>
      <c r="H2" s="72" t="inlineStr">
        <is>
          <t>Excluded</t>
        </is>
      </c>
      <c r="I2" s="177" t="n"/>
      <c r="J2" s="271" t="n"/>
      <c r="K2" s="271" t="n"/>
    </row>
    <row r="3" ht="45.75" customHeight="1" s="270">
      <c r="A3" s="381" t="n"/>
      <c r="B3" s="57" t="inlineStr">
        <is>
          <t>10.1109/TCE.2024.3366763</t>
        </is>
      </c>
      <c r="C3" s="173" t="inlineStr">
        <is>
          <t>ODD-M3D: Object-Wise Dense Depth Estimation
for Monocular 3-D Object Detection</t>
        </is>
      </c>
      <c r="D3" s="366" t="n">
        <v>2024</v>
      </c>
      <c r="E3" s="187" t="inlineStr">
        <is>
          <t>IEEE</t>
        </is>
      </c>
      <c r="F3" s="45" t="inlineStr">
        <is>
          <t>https://ieeexplore.ieee.org/document/10438849</t>
        </is>
      </c>
      <c r="G3" s="80" t="inlineStr">
        <is>
          <t>we create a sampling space and obtain the ground truth by moving them from the sampling space to the object space</t>
        </is>
      </c>
      <c r="H3" s="75" t="inlineStr">
        <is>
          <t xml:space="preserve">included </t>
        </is>
      </c>
      <c r="I3" s="176" t="inlineStr">
        <is>
          <t>Depth Estimation for Monocular 3-D Object Detection</t>
        </is>
      </c>
      <c r="J3" s="34" t="inlineStr">
        <is>
          <t>estimating depth from a single 2D image remains challenging due to the typical ill-posed nature of the problem</t>
        </is>
      </c>
      <c r="K3" s="34" t="inlineStr">
        <is>
          <t xml:space="preserve">we propose a new method that improves depth estimation accuracy by randomly sampling object-wise points instead of relying on a single center point, </t>
        </is>
      </c>
    </row>
    <row r="4" ht="57.75" customHeight="1" s="270">
      <c r="A4" s="381" t="n"/>
      <c r="B4" s="271" t="inlineStr">
        <is>
          <t>10.1177/20556683251316305</t>
        </is>
      </c>
      <c r="C4" s="175" t="inlineStr">
        <is>
          <t>The development of a wearable goggle
echolocation device to support people who
are visually impaired with unhindered and
unaided movement</t>
        </is>
      </c>
      <c r="D4" s="267" t="n">
        <v>2025</v>
      </c>
      <c r="E4" s="172" t="inlineStr">
        <is>
          <t>Sage</t>
        </is>
      </c>
      <c r="F4" s="47" t="inlineStr">
        <is>
          <t>https://journals.sagepub.com/doi/10.1177/20556683251316305</t>
        </is>
      </c>
      <c r="G4" s="179" t="inlineStr">
        <is>
          <t>The wearable echolocation device was developed using three ultrasonic sensors, one placed in the right, left, and middle of the goggle with each connected to a buzzer</t>
        </is>
      </c>
      <c r="H4" s="75" t="inlineStr">
        <is>
          <t>included (IMPORTANT)</t>
        </is>
      </c>
      <c r="I4" s="177" t="n"/>
      <c r="J4" s="271" t="n"/>
      <c r="K4" s="271" t="n"/>
    </row>
    <row r="5" ht="30.75" customHeight="1" s="270">
      <c r="A5" s="381" t="n"/>
      <c r="C5" s="174" t="inlineStr">
        <is>
          <t>EMPOWERING VISUALLY IMPAIRED INDIVIDUALS WITH HOLISTIC
ASSISTANCE USING REAL-TIME SPATIAL AWARENESS SYSTEM</t>
        </is>
      </c>
      <c r="D5" s="267" t="n">
        <v>2024</v>
      </c>
      <c r="E5" s="44" t="n">
        <v>2024</v>
      </c>
      <c r="F5" s="34" t="n"/>
      <c r="G5" s="34" t="n"/>
      <c r="H5" s="72" t="inlineStr">
        <is>
          <t>Excluded</t>
        </is>
      </c>
      <c r="I5" s="176" t="inlineStr">
        <is>
          <t>unknown</t>
        </is>
      </c>
      <c r="J5" s="34" t="n"/>
      <c r="K5" s="34" t="n"/>
    </row>
    <row r="6" ht="28.5" customHeight="1" s="270">
      <c r="A6" s="381" t="n"/>
      <c r="B6" s="271" t="n"/>
      <c r="C6" s="267" t="inlineStr">
        <is>
          <t>Computer Vision for Assistive Technologies: Enhancing
Environmental Perception for the Visually Impaired</t>
        </is>
      </c>
      <c r="D6" s="268" t="n">
        <v>45778</v>
      </c>
      <c r="E6" s="83" t="n"/>
      <c r="F6" s="271" t="n"/>
      <c r="G6" s="271" t="n"/>
      <c r="H6" s="72" t="inlineStr">
        <is>
          <t>Excluded</t>
        </is>
      </c>
      <c r="I6" s="177" t="inlineStr">
        <is>
          <t>unknown</t>
        </is>
      </c>
      <c r="J6" s="271" t="n"/>
      <c r="K6" s="271" t="n"/>
    </row>
    <row r="7" ht="30.75" customHeight="1" s="270">
      <c r="A7" s="381" t="n"/>
      <c r="B7" s="41" t="inlineStr">
        <is>
          <t>https://doi.org/10.1016/j.heliyon.2024.e31825</t>
        </is>
      </c>
      <c r="C7" s="174" t="inlineStr">
        <is>
          <t>A comprehensive review of navigation systems for visually
impaired individuals</t>
        </is>
      </c>
      <c r="D7" s="267" t="n">
        <v>2024</v>
      </c>
      <c r="E7" s="187" t="inlineStr">
        <is>
          <t>heliyon</t>
        </is>
      </c>
      <c r="F7" s="45" t="inlineStr">
        <is>
          <t>https://www.cell.com/heliyon/fulltext/S2405-8440(24)07856-3?_returnURL=https%3A%2F%2Flinkinghub.elsevier.com%2Fretrieve%2Fpii%2FS2405844024078563%3Fshowall%3Dtrue</t>
        </is>
      </c>
      <c r="G7" s="34" t="n"/>
      <c r="H7" s="72" t="inlineStr">
        <is>
          <t>Excluded</t>
        </is>
      </c>
      <c r="I7" s="176" t="inlineStr">
        <is>
          <t>unknown</t>
        </is>
      </c>
      <c r="J7" s="34" t="n"/>
      <c r="K7" s="34" t="n"/>
    </row>
    <row r="8" ht="43.5" customHeight="1" s="270">
      <c r="A8" s="381" t="n"/>
      <c r="B8" s="76" t="n">
        <v>2025</v>
      </c>
      <c r="C8" s="267" t="inlineStr">
        <is>
          <t>Recruitment of Occipital Cortex during Sensory
Substitution Training Linked to Subjective Experience of
Seeing in People with Blindness</t>
        </is>
      </c>
      <c r="D8" s="269" t="n">
        <v>40765</v>
      </c>
      <c r="E8" s="172" t="inlineStr">
        <is>
          <t>plos one</t>
        </is>
      </c>
      <c r="F8" s="271" t="n"/>
      <c r="G8" s="271" t="n"/>
      <c r="H8" s="72" t="inlineStr">
        <is>
          <t>Excluded</t>
        </is>
      </c>
      <c r="I8" s="177" t="inlineStr">
        <is>
          <t>unknown</t>
        </is>
      </c>
      <c r="J8" s="271" t="n"/>
      <c r="K8" s="271" t="n"/>
    </row>
    <row r="9" ht="16.5" customHeight="1" s="270">
      <c r="A9" s="381" t="n"/>
      <c r="E9" s="187" t="inlineStr">
        <is>
          <t>mdpi</t>
        </is>
      </c>
      <c r="F9" s="34" t="n"/>
      <c r="G9" s="34" t="n"/>
      <c r="H9" s="72" t="inlineStr">
        <is>
          <t>Excluded</t>
        </is>
      </c>
      <c r="I9" s="176" t="inlineStr">
        <is>
          <t>unknown</t>
        </is>
      </c>
      <c r="J9" s="34" t="n"/>
      <c r="K9" s="34" t="n"/>
    </row>
    <row r="10" ht="16.5" customHeight="1" s="270">
      <c r="A10" s="381" t="n"/>
      <c r="B10" s="271" t="n"/>
      <c r="C10" s="271" t="n"/>
      <c r="D10" s="271" t="n"/>
      <c r="E10" s="83" t="n"/>
      <c r="F10" s="271" t="n"/>
      <c r="G10" s="271" t="n"/>
      <c r="H10" s="72" t="inlineStr">
        <is>
          <t>Excluded</t>
        </is>
      </c>
      <c r="I10" s="177" t="inlineStr">
        <is>
          <t>unknown</t>
        </is>
      </c>
      <c r="J10" s="271" t="n"/>
      <c r="K10" s="271" t="n"/>
    </row>
    <row r="11" ht="16.5" customHeight="1" s="270">
      <c r="A11" s="381" t="n"/>
      <c r="F11" s="34" t="n"/>
      <c r="G11" s="34" t="n"/>
      <c r="H11" s="72" t="inlineStr">
        <is>
          <t>Excluded</t>
        </is>
      </c>
      <c r="I11" s="176" t="inlineStr">
        <is>
          <t>unknown</t>
        </is>
      </c>
      <c r="J11" s="34" t="n"/>
      <c r="K11" s="34" t="n"/>
    </row>
    <row r="12" ht="16.5" customHeight="1" s="270">
      <c r="A12" s="381" t="n"/>
      <c r="B12" s="271" t="n"/>
      <c r="C12" s="271" t="n"/>
      <c r="D12" s="271" t="n"/>
      <c r="E12" s="83" t="n"/>
      <c r="F12" s="271" t="n"/>
      <c r="G12" s="271" t="n"/>
      <c r="H12" s="72" t="inlineStr">
        <is>
          <t>Excluded</t>
        </is>
      </c>
      <c r="I12" s="177" t="inlineStr">
        <is>
          <t>unknown</t>
        </is>
      </c>
      <c r="J12" s="271" t="n"/>
      <c r="K12" s="271" t="n"/>
    </row>
    <row r="13" ht="43.5" customHeight="1" s="270">
      <c r="A13" s="381" t="n"/>
      <c r="B13" s="55" t="inlineStr">
        <is>
          <t xml:space="preserve">10.1007/s12559-026-10547-0 </t>
        </is>
      </c>
      <c r="C13" s="43" t="inlineStr">
        <is>
          <t>Multi-modal Zebra Crossing Detection Framework for Visually
Impaired Navigation</t>
        </is>
      </c>
      <c r="D13" s="265" t="n">
        <v>2026</v>
      </c>
      <c r="E13" s="265" t="inlineStr">
        <is>
          <t xml:space="preserve">Springer </t>
        </is>
      </c>
      <c r="F13" s="78" t="inlineStr">
        <is>
          <t>https://link.springer.com/article/10.1007/s12559-026-10547-0</t>
        </is>
      </c>
      <c r="G13" s="49" t="inlineStr">
        <is>
          <t>YOLOv11 - Hough Line Transform (HLT) - Haze U-Net + LeNet-MFCN - CNN + Cross-Attention - Text-to-Speech (TTS)</t>
        </is>
      </c>
      <c r="H13" s="75" t="inlineStr">
        <is>
          <t>Included</t>
        </is>
      </c>
      <c r="I13" s="49" t="inlineStr">
        <is>
          <t>The AI-powered navigation system detects pedestrian crossings, traffic signals, and obstacles, assisting the blind and visually impaired.
 This is linked to the "Super Brain" initiative, which focuses on technologies that ensure highly safe navigation.</t>
        </is>
      </c>
      <c r="J13" s="42" t="inlineStr">
        <is>
          <t>Blind individuals face challenges such as the high cost of assistive technologies, 
limited datasets, overfitting, and poor detection in low-light conditions, fog, and complex traffic situations.</t>
        </is>
      </c>
      <c r="K13" s="271" t="inlineStr">
        <is>
          <t>MZCDFVIN + YOLOv11 + HLT + CNN + Haze U-Net + LeNet + SROA for real-time detection and navigation assistance.</t>
        </is>
      </c>
    </row>
    <row r="20">
      <c r="B20" s="272" t="n"/>
      <c r="D20" s="272" t="n"/>
      <c r="F20" s="272" t="n"/>
      <c r="G20" s="272" t="n"/>
    </row>
    <row r="21">
      <c r="B21" s="272">
        <f>IF(C21="","","PID-"&amp;TEXT(ROW()-2,"0000"))</f>
        <v/>
      </c>
      <c r="D21" s="272" t="n"/>
      <c r="F21" s="272" t="n"/>
      <c r="G21" s="272" t="n"/>
    </row>
    <row r="22">
      <c r="B22" s="272">
        <f>IF(C22="","","PID-"&amp;TEXT(ROW()-2,"0000"))</f>
        <v/>
      </c>
      <c r="D22" s="272" t="n"/>
      <c r="F22" s="272" t="n"/>
      <c r="G22" s="272" t="n"/>
    </row>
    <row r="23">
      <c r="B23" s="272">
        <f>IF(C23="","","PID-"&amp;TEXT(ROW()-2,"0000"))</f>
        <v/>
      </c>
      <c r="D23" s="272" t="n"/>
      <c r="F23" s="272" t="n"/>
      <c r="G23" s="272" t="n"/>
    </row>
    <row r="24">
      <c r="B24" s="272">
        <f>IF(C24="","","PID-"&amp;TEXT(ROW()-2,"0000"))</f>
        <v/>
      </c>
      <c r="D24" s="272" t="n"/>
      <c r="F24" s="272" t="n"/>
      <c r="G24" s="272" t="n"/>
    </row>
    <row r="25">
      <c r="B25" s="272">
        <f>IF(C25="","","PID-"&amp;TEXT(ROW()-2,"0000"))</f>
        <v/>
      </c>
      <c r="D25" s="272" t="n"/>
      <c r="F25" s="272" t="n"/>
      <c r="G25" s="272" t="n"/>
    </row>
    <row r="26">
      <c r="B26" s="272">
        <f>IF(C26="","","PID-"&amp;TEXT(ROW()-2,"0000"))</f>
        <v/>
      </c>
      <c r="C26" s="272" t="n"/>
      <c r="D26" s="272" t="n"/>
      <c r="F26" s="272" t="n"/>
      <c r="G26" s="272" t="n"/>
    </row>
    <row r="27">
      <c r="B27" s="272">
        <f>IF(C27="","","PID-"&amp;TEXT(ROW()-2,"0000"))</f>
        <v/>
      </c>
      <c r="C27" s="272" t="n"/>
      <c r="D27" s="272" t="n"/>
      <c r="E27" s="255" t="n"/>
      <c r="F27" s="272" t="n"/>
      <c r="G27" s="272" t="n"/>
    </row>
    <row r="28">
      <c r="B28" s="272">
        <f>IF(C28="","","PID-"&amp;TEXT(ROW()-2,"0000"))</f>
        <v/>
      </c>
      <c r="C28" s="272" t="n"/>
      <c r="D28" s="272" t="n"/>
      <c r="E28" s="255" t="n"/>
      <c r="F28" s="272" t="n"/>
      <c r="G28" s="272" t="n"/>
    </row>
    <row r="29">
      <c r="B29" s="272">
        <f>IF(C29="","","PID-"&amp;TEXT(ROW()-2,"0000"))</f>
        <v/>
      </c>
      <c r="C29" s="272" t="n"/>
      <c r="D29" s="272" t="n"/>
      <c r="E29" s="255" t="n"/>
      <c r="F29" s="272" t="n"/>
      <c r="G29" s="272" t="n"/>
    </row>
    <row r="30">
      <c r="B30" s="272">
        <f>IF(C30="","","PID-"&amp;TEXT(ROW()-2,"0000"))</f>
        <v/>
      </c>
      <c r="C30" s="272" t="n"/>
      <c r="D30" s="272" t="n"/>
      <c r="E30" s="255" t="n"/>
      <c r="F30" s="272" t="n"/>
      <c r="G30" s="272" t="n"/>
    </row>
    <row r="31">
      <c r="B31" s="272">
        <f>IF(C31="","","PID-"&amp;TEXT(ROW()-2,"0000"))</f>
        <v/>
      </c>
      <c r="C31" s="272" t="n"/>
      <c r="D31" s="272" t="n"/>
      <c r="E31" s="255" t="n"/>
      <c r="F31" s="272" t="n"/>
      <c r="G31" s="272" t="n"/>
    </row>
    <row r="32">
      <c r="B32" s="272">
        <f>IF(C32="","","PID-"&amp;TEXT(ROW()-2,"0000"))</f>
        <v/>
      </c>
      <c r="C32" s="272" t="n"/>
      <c r="D32" s="272" t="n"/>
      <c r="E32" s="255" t="n"/>
      <c r="F32" s="272" t="n"/>
      <c r="G32" s="272" t="n"/>
    </row>
    <row r="33">
      <c r="B33" s="272">
        <f>IF(C33="","","PID-"&amp;TEXT(ROW()-2,"0000"))</f>
        <v/>
      </c>
      <c r="C33" s="272" t="n"/>
      <c r="D33" s="272" t="n"/>
      <c r="E33" s="255" t="n"/>
      <c r="F33" s="272" t="n"/>
      <c r="G33" s="272" t="n"/>
    </row>
    <row r="34">
      <c r="B34" s="272">
        <f>IF(C34="","","PID-"&amp;TEXT(ROW()-2,"0000"))</f>
        <v/>
      </c>
      <c r="C34" s="272" t="n"/>
      <c r="D34" s="272" t="n"/>
      <c r="E34" s="255" t="n"/>
      <c r="F34" s="272" t="n"/>
      <c r="G34" s="272" t="n"/>
    </row>
    <row r="35">
      <c r="B35" s="272">
        <f>IF(C35="","","PID-"&amp;TEXT(ROW()-2,"0000"))</f>
        <v/>
      </c>
      <c r="C35" s="272" t="n"/>
      <c r="D35" s="272" t="n"/>
      <c r="E35" s="255" t="n"/>
      <c r="F35" s="272" t="n"/>
      <c r="G35" s="272" t="n"/>
    </row>
    <row r="36">
      <c r="B36" s="272">
        <f>IF(C36="","","PID-"&amp;TEXT(ROW()-2,"0000"))</f>
        <v/>
      </c>
      <c r="C36" s="272" t="n"/>
      <c r="D36" s="272" t="n"/>
      <c r="E36" s="255" t="n"/>
      <c r="F36" s="272" t="n"/>
      <c r="G36" s="272" t="n"/>
    </row>
    <row r="37">
      <c r="B37" s="272">
        <f>IF(C37="","","PID-"&amp;TEXT(ROW()-2,"0000"))</f>
        <v/>
      </c>
      <c r="C37" s="272" t="n"/>
      <c r="D37" s="272" t="n"/>
      <c r="E37" s="255" t="n"/>
      <c r="F37" s="272" t="n"/>
      <c r="G37" s="272" t="n"/>
    </row>
    <row r="38">
      <c r="B38" s="272">
        <f>IF(C38="","","PID-"&amp;TEXT(ROW()-2,"0000"))</f>
        <v/>
      </c>
      <c r="C38" s="272" t="n"/>
      <c r="D38" s="272" t="n"/>
      <c r="E38" s="255" t="n"/>
      <c r="F38" s="272" t="n"/>
      <c r="G38" s="272" t="n"/>
    </row>
    <row r="39">
      <c r="B39" s="272">
        <f>IF(C39="","","PID-"&amp;TEXT(ROW()-2,"0000"))</f>
        <v/>
      </c>
      <c r="C39" s="272" t="n"/>
      <c r="D39" s="272" t="n"/>
      <c r="E39" s="255" t="n"/>
      <c r="F39" s="272" t="n"/>
      <c r="G39" s="272" t="n"/>
    </row>
    <row r="40">
      <c r="B40" s="272">
        <f>IF(C40="","","PID-"&amp;TEXT(ROW()-2,"0000"))</f>
        <v/>
      </c>
      <c r="C40" s="272" t="n"/>
      <c r="D40" s="272" t="n"/>
      <c r="E40" s="255" t="n"/>
      <c r="F40" s="272" t="n"/>
      <c r="G40" s="272" t="n"/>
    </row>
    <row r="41">
      <c r="B41" s="272">
        <f>IF(C41="","","PID-"&amp;TEXT(ROW()-2,"0000"))</f>
        <v/>
      </c>
      <c r="C41" s="272" t="n"/>
      <c r="D41" s="272" t="n"/>
      <c r="E41" s="255" t="n"/>
      <c r="F41" s="272" t="n"/>
      <c r="G41" s="272" t="n"/>
    </row>
    <row r="42">
      <c r="B42" s="272">
        <f>IF(C42="","","PID-"&amp;TEXT(ROW()-2,"0000"))</f>
        <v/>
      </c>
      <c r="C42" s="272" t="n"/>
      <c r="D42" s="272" t="n"/>
      <c r="E42" s="255" t="n"/>
      <c r="F42" s="272" t="n"/>
      <c r="G42" s="272" t="n"/>
    </row>
    <row r="43">
      <c r="B43" s="272">
        <f>IF(C43="","","PID-"&amp;TEXT(ROW()-2,"0000"))</f>
        <v/>
      </c>
      <c r="C43" s="272" t="n"/>
      <c r="D43" s="272" t="n"/>
      <c r="E43" s="255" t="n"/>
      <c r="F43" s="272" t="n"/>
      <c r="G43" s="272" t="n"/>
    </row>
    <row r="44">
      <c r="B44" s="272">
        <f>IF(C44="","","PID-"&amp;TEXT(ROW()-2,"0000"))</f>
        <v/>
      </c>
      <c r="C44" s="272" t="n"/>
      <c r="D44" s="272" t="n"/>
      <c r="E44" s="255" t="n"/>
      <c r="F44" s="272" t="n"/>
      <c r="G44" s="272" t="n"/>
    </row>
    <row r="45">
      <c r="B45" s="272">
        <f>IF(C45="","","PID-"&amp;TEXT(ROW()-2,"0000"))</f>
        <v/>
      </c>
      <c r="C45" s="272" t="n"/>
      <c r="D45" s="272" t="n"/>
      <c r="E45" s="255" t="n"/>
      <c r="F45" s="272" t="n"/>
      <c r="G45" s="272" t="n"/>
    </row>
    <row r="46">
      <c r="B46" s="272">
        <f>IF(C46="","","PID-"&amp;TEXT(ROW()-2,"0000"))</f>
        <v/>
      </c>
      <c r="C46" s="272" t="n"/>
      <c r="D46" s="272" t="n"/>
      <c r="E46" s="255" t="n"/>
      <c r="F46" s="272" t="n"/>
      <c r="G46" s="272" t="n"/>
    </row>
    <row r="47">
      <c r="B47" s="272">
        <f>IF(C47="","","PID-"&amp;TEXT(ROW()-2,"0000"))</f>
        <v/>
      </c>
      <c r="C47" s="272" t="n"/>
      <c r="D47" s="272" t="n"/>
      <c r="E47" s="255" t="n"/>
      <c r="F47" s="272" t="n"/>
      <c r="G47" s="272" t="n"/>
    </row>
    <row r="48">
      <c r="B48" s="272">
        <f>IF(C48="","","PID-"&amp;TEXT(ROW()-2,"0000"))</f>
        <v/>
      </c>
      <c r="C48" s="272" t="n"/>
      <c r="D48" s="272" t="n"/>
      <c r="E48" s="255" t="n"/>
      <c r="F48" s="272" t="n"/>
      <c r="G48" s="272" t="n"/>
    </row>
    <row r="49">
      <c r="B49" s="272">
        <f>IF(C49="","","PID-"&amp;TEXT(ROW()-2,"0000"))</f>
        <v/>
      </c>
      <c r="C49" s="272" t="n"/>
      <c r="D49" s="272" t="n"/>
      <c r="E49" s="255" t="n"/>
      <c r="F49" s="272" t="n"/>
      <c r="G49" s="272" t="n"/>
    </row>
    <row r="50">
      <c r="B50" s="272">
        <f>IF(C50="","","PID-"&amp;TEXT(ROW()-2,"0000"))</f>
        <v/>
      </c>
      <c r="C50" s="272" t="n"/>
      <c r="D50" s="272" t="n"/>
      <c r="E50" s="255" t="n"/>
      <c r="F50" s="272" t="n"/>
      <c r="G50" s="272" t="n"/>
    </row>
    <row r="51">
      <c r="B51" s="272">
        <f>IF(C51="","","PID-"&amp;TEXT(ROW()-2,"0000"))</f>
        <v/>
      </c>
      <c r="C51" s="272" t="n"/>
      <c r="D51" s="272" t="n"/>
      <c r="E51" s="255" t="n"/>
      <c r="F51" s="272" t="n"/>
      <c r="G51" s="272" t="n"/>
    </row>
    <row r="52">
      <c r="B52" s="272">
        <f>IF(C52="","","PID-"&amp;TEXT(ROW()-2,"0000"))</f>
        <v/>
      </c>
      <c r="C52" s="272" t="n"/>
      <c r="D52" s="272" t="n"/>
      <c r="E52" s="255" t="n"/>
      <c r="F52" s="272" t="n"/>
      <c r="G52" s="272" t="n"/>
    </row>
    <row r="53">
      <c r="B53" s="272">
        <f>IF(C53="","","PID-"&amp;TEXT(ROW()-2,"0000"))</f>
        <v/>
      </c>
      <c r="C53" s="272" t="n"/>
      <c r="D53" s="272" t="n"/>
      <c r="E53" s="255" t="n"/>
      <c r="F53" s="272" t="n"/>
      <c r="G53" s="272" t="n"/>
    </row>
    <row r="54">
      <c r="B54" s="272">
        <f>IF(C54="","","PID-"&amp;TEXT(ROW()-2,"0000"))</f>
        <v/>
      </c>
      <c r="C54" s="272" t="n"/>
      <c r="D54" s="272" t="n"/>
      <c r="E54" s="255" t="n"/>
      <c r="F54" s="272" t="n"/>
      <c r="G54" s="272" t="n"/>
    </row>
    <row r="55">
      <c r="B55" s="272">
        <f>IF(C55="","","PID-"&amp;TEXT(ROW()-2,"0000"))</f>
        <v/>
      </c>
      <c r="C55" s="272" t="n"/>
      <c r="D55" s="272" t="n"/>
      <c r="E55" s="255" t="n"/>
      <c r="F55" s="272" t="n"/>
      <c r="G55" s="272" t="n"/>
    </row>
    <row r="56">
      <c r="B56" s="272">
        <f>IF(C56="","","PID-"&amp;TEXT(ROW()-2,"0000"))</f>
        <v/>
      </c>
      <c r="C56" s="272" t="n"/>
      <c r="D56" s="272" t="n"/>
      <c r="E56" s="255" t="n"/>
      <c r="F56" s="272" t="n"/>
      <c r="G56" s="272" t="n"/>
    </row>
    <row r="57">
      <c r="B57" s="272">
        <f>IF(C57="","","PID-"&amp;TEXT(ROW()-2,"0000"))</f>
        <v/>
      </c>
      <c r="C57" s="272" t="n"/>
      <c r="D57" s="272" t="n"/>
      <c r="E57" s="255" t="n"/>
      <c r="F57" s="272" t="n"/>
      <c r="G57" s="272" t="n"/>
    </row>
    <row r="58">
      <c r="B58" s="272">
        <f>IF(C58="","","PID-"&amp;TEXT(ROW()-2,"0000"))</f>
        <v/>
      </c>
      <c r="C58" s="272" t="n"/>
      <c r="D58" s="272" t="n"/>
      <c r="E58" s="255" t="n"/>
      <c r="F58" s="272" t="n"/>
      <c r="G58" s="272" t="n"/>
    </row>
    <row r="59">
      <c r="B59" s="272">
        <f>IF(C59="","","PID-"&amp;TEXT(ROW()-2,"0000"))</f>
        <v/>
      </c>
      <c r="C59" s="272" t="n"/>
      <c r="D59" s="272" t="n"/>
      <c r="E59" s="255" t="n"/>
      <c r="F59" s="272" t="n"/>
      <c r="G59" s="272" t="n"/>
    </row>
    <row r="60">
      <c r="B60" s="272">
        <f>IF(C60="","","PID-"&amp;TEXT(ROW()-2,"0000"))</f>
        <v/>
      </c>
      <c r="C60" s="272" t="n"/>
      <c r="D60" s="272" t="n"/>
      <c r="E60" s="255" t="n"/>
      <c r="F60" s="272" t="n"/>
      <c r="G60" s="272" t="n"/>
    </row>
    <row r="61">
      <c r="B61" s="272">
        <f>IF(C61="","","PID-"&amp;TEXT(ROW()-2,"0000"))</f>
        <v/>
      </c>
      <c r="C61" s="272" t="n"/>
      <c r="D61" s="272" t="n"/>
      <c r="E61" s="255" t="n"/>
      <c r="F61" s="272" t="n"/>
      <c r="G61" s="272" t="n"/>
    </row>
    <row r="62">
      <c r="B62" s="272">
        <f>IF(C62="","","PID-"&amp;TEXT(ROW()-2,"0000"))</f>
        <v/>
      </c>
      <c r="C62" s="272" t="n"/>
      <c r="D62" s="272" t="n"/>
      <c r="E62" s="255" t="n"/>
      <c r="F62" s="272" t="n"/>
      <c r="G62" s="272" t="n"/>
    </row>
    <row r="63">
      <c r="B63" s="272">
        <f>IF(C63="","","PID-"&amp;TEXT(ROW()-2,"0000"))</f>
        <v/>
      </c>
      <c r="C63" s="272" t="n"/>
      <c r="D63" s="272" t="n"/>
      <c r="E63" s="255" t="n"/>
      <c r="F63" s="272" t="n"/>
      <c r="G63" s="272" t="n"/>
    </row>
    <row r="64">
      <c r="B64" s="272">
        <f>IF(C64="","","PID-"&amp;TEXT(ROW()-2,"0000"))</f>
        <v/>
      </c>
      <c r="C64" s="272" t="n"/>
      <c r="D64" s="272" t="n"/>
      <c r="E64" s="255" t="n"/>
      <c r="F64" s="272" t="n"/>
      <c r="G64" s="272" t="n"/>
    </row>
    <row r="65">
      <c r="B65" s="272">
        <f>IF(C65="","","PID-"&amp;TEXT(ROW()-2,"0000"))</f>
        <v/>
      </c>
      <c r="C65" s="272" t="n"/>
      <c r="D65" s="272" t="n"/>
      <c r="E65" s="255" t="n"/>
      <c r="F65" s="272" t="n"/>
      <c r="G65" s="272" t="n"/>
    </row>
    <row r="66">
      <c r="B66" s="272">
        <f>IF(C66="","","PID-"&amp;TEXT(ROW()-2,"0000"))</f>
        <v/>
      </c>
      <c r="C66" s="272" t="n"/>
      <c r="D66" s="272" t="n"/>
      <c r="E66" s="255" t="n"/>
      <c r="F66" s="272" t="n"/>
      <c r="G66" s="272" t="n"/>
    </row>
    <row r="67">
      <c r="B67" s="272">
        <f>IF(C67="","","PID-"&amp;TEXT(ROW()-2,"0000"))</f>
        <v/>
      </c>
      <c r="C67" s="272" t="n"/>
      <c r="D67" s="272" t="n"/>
      <c r="E67" s="255" t="n"/>
      <c r="F67" s="272" t="n"/>
      <c r="G67" s="272" t="n"/>
    </row>
    <row r="68">
      <c r="B68" s="272">
        <f>IF(C68="","","PID-"&amp;TEXT(ROW()-2,"0000"))</f>
        <v/>
      </c>
      <c r="C68" s="272" t="n"/>
      <c r="D68" s="272" t="n"/>
      <c r="E68" s="255" t="n"/>
      <c r="F68" s="272" t="n"/>
      <c r="G68" s="272" t="n"/>
    </row>
    <row r="69">
      <c r="B69" s="272">
        <f>IF(C69="","","PID-"&amp;TEXT(ROW()-2,"0000"))</f>
        <v/>
      </c>
      <c r="C69" s="272" t="n"/>
      <c r="D69" s="272" t="n"/>
      <c r="E69" s="255" t="n"/>
      <c r="F69" s="272" t="n"/>
      <c r="G69" s="272" t="n"/>
    </row>
    <row r="70">
      <c r="B70" s="272">
        <f>IF(C70="","","PID-"&amp;TEXT(ROW()-2,"0000"))</f>
        <v/>
      </c>
      <c r="C70" s="272" t="n"/>
      <c r="D70" s="272" t="n"/>
      <c r="E70" s="255" t="n"/>
      <c r="F70" s="272" t="n"/>
      <c r="G70" s="272" t="n"/>
    </row>
    <row r="71">
      <c r="B71" s="272">
        <f>IF(C71="","","PID-"&amp;TEXT(ROW()-2,"0000"))</f>
        <v/>
      </c>
      <c r="C71" s="272" t="n"/>
      <c r="D71" s="272" t="n"/>
      <c r="E71" s="255" t="n"/>
      <c r="F71" s="272" t="n"/>
      <c r="G71" s="272" t="n"/>
    </row>
    <row r="72">
      <c r="B72" s="272">
        <f>IF(C72="","","PID-"&amp;TEXT(ROW()-2,"0000"))</f>
        <v/>
      </c>
      <c r="C72" s="272" t="n"/>
      <c r="D72" s="272" t="n"/>
      <c r="E72" s="255" t="n"/>
      <c r="F72" s="272" t="n"/>
      <c r="G72" s="272" t="n"/>
    </row>
    <row r="73">
      <c r="B73" s="272">
        <f>IF(C73="","","PID-"&amp;TEXT(ROW()-2,"0000"))</f>
        <v/>
      </c>
      <c r="C73" s="272" t="n"/>
      <c r="D73" s="272" t="n"/>
      <c r="E73" s="255" t="n"/>
      <c r="F73" s="272" t="n"/>
      <c r="G73" s="272" t="n"/>
    </row>
    <row r="74">
      <c r="B74" s="272">
        <f>IF(C74="","","PID-"&amp;TEXT(ROW()-2,"0000"))</f>
        <v/>
      </c>
      <c r="C74" s="272" t="n"/>
      <c r="D74" s="272" t="n"/>
      <c r="E74" s="255" t="n"/>
      <c r="F74" s="272" t="n"/>
      <c r="G74" s="272" t="n"/>
    </row>
    <row r="75">
      <c r="B75" s="272">
        <f>IF(C75="","","PID-"&amp;TEXT(ROW()-2,"0000"))</f>
        <v/>
      </c>
      <c r="C75" s="272" t="n"/>
      <c r="D75" s="272" t="n"/>
      <c r="E75" s="255" t="n"/>
      <c r="F75" s="272" t="n"/>
      <c r="G75" s="272" t="n"/>
    </row>
    <row r="76">
      <c r="B76" s="272">
        <f>IF(C76="","","PID-"&amp;TEXT(ROW()-2,"0000"))</f>
        <v/>
      </c>
      <c r="C76" s="272" t="n"/>
      <c r="D76" s="272" t="n"/>
      <c r="E76" s="255" t="n"/>
      <c r="F76" s="272" t="n"/>
      <c r="G76" s="272" t="n"/>
    </row>
    <row r="77">
      <c r="B77" s="272">
        <f>IF(C77="","","PID-"&amp;TEXT(ROW()-2,"0000"))</f>
        <v/>
      </c>
      <c r="C77" s="272" t="n"/>
      <c r="D77" s="272" t="n"/>
      <c r="E77" s="255" t="n"/>
      <c r="F77" s="272" t="n"/>
      <c r="G77" s="272" t="n"/>
    </row>
    <row r="78">
      <c r="B78" s="272">
        <f>IF(C78="","","PID-"&amp;TEXT(ROW()-2,"0000"))</f>
        <v/>
      </c>
      <c r="C78" s="272" t="n"/>
      <c r="D78" s="272" t="n"/>
      <c r="E78" s="255" t="n"/>
      <c r="F78" s="272" t="n"/>
      <c r="G78" s="272" t="n"/>
    </row>
    <row r="79">
      <c r="B79" s="272">
        <f>IF(C79="","","PID-"&amp;TEXT(ROW()-2,"0000"))</f>
        <v/>
      </c>
      <c r="C79" s="272" t="n"/>
      <c r="D79" s="272" t="n"/>
      <c r="E79" s="255" t="n"/>
      <c r="F79" s="272" t="n"/>
      <c r="G79" s="272" t="n"/>
    </row>
    <row r="80">
      <c r="B80" s="272">
        <f>IF(C80="","","PID-"&amp;TEXT(ROW()-2,"0000"))</f>
        <v/>
      </c>
      <c r="C80" s="272" t="n"/>
      <c r="D80" s="272" t="n"/>
      <c r="E80" s="255" t="n"/>
      <c r="F80" s="272" t="n"/>
      <c r="G80" s="272" t="n"/>
    </row>
    <row r="81">
      <c r="B81" s="272">
        <f>IF(C81="","","PID-"&amp;TEXT(ROW()-2,"0000"))</f>
        <v/>
      </c>
      <c r="C81" s="272" t="n"/>
      <c r="D81" s="272" t="n"/>
      <c r="E81" s="255" t="n"/>
      <c r="F81" s="272" t="n"/>
      <c r="G81" s="272" t="n"/>
    </row>
    <row r="82">
      <c r="B82" s="272">
        <f>IF(C82="","","PID-"&amp;TEXT(ROW()-2,"0000"))</f>
        <v/>
      </c>
      <c r="C82" s="272" t="n"/>
      <c r="D82" s="272" t="n"/>
      <c r="E82" s="255" t="n"/>
      <c r="F82" s="272" t="n"/>
      <c r="G82" s="272" t="n"/>
    </row>
    <row r="83">
      <c r="B83" s="272">
        <f>IF(C83="","","PID-"&amp;TEXT(ROW()-2,"0000"))</f>
        <v/>
      </c>
      <c r="C83" s="272" t="n"/>
      <c r="D83" s="272" t="n"/>
      <c r="E83" s="255" t="n"/>
      <c r="F83" s="272" t="n"/>
      <c r="G83" s="272" t="n"/>
    </row>
    <row r="84">
      <c r="B84" s="272">
        <f>IF(C84="","","PID-"&amp;TEXT(ROW()-2,"0000"))</f>
        <v/>
      </c>
      <c r="C84" s="272" t="n"/>
      <c r="D84" s="272" t="n"/>
      <c r="E84" s="255" t="n"/>
      <c r="F84" s="272" t="n"/>
      <c r="G84" s="272" t="n"/>
    </row>
    <row r="85">
      <c r="B85" s="272">
        <f>IF(C85="","","PID-"&amp;TEXT(ROW()-2,"0000"))</f>
        <v/>
      </c>
      <c r="C85" s="272" t="n"/>
      <c r="D85" s="272" t="n"/>
      <c r="E85" s="255" t="n"/>
      <c r="F85" s="272" t="n"/>
      <c r="G85" s="272" t="n"/>
    </row>
    <row r="86">
      <c r="B86" s="272">
        <f>IF(C86="","","PID-"&amp;TEXT(ROW()-2,"0000"))</f>
        <v/>
      </c>
      <c r="C86" s="272" t="n"/>
      <c r="D86" s="272" t="n"/>
      <c r="E86" s="255" t="n"/>
      <c r="F86" s="272" t="n"/>
      <c r="G86" s="272" t="n"/>
    </row>
    <row r="87">
      <c r="B87" s="272">
        <f>IF(C87="","","PID-"&amp;TEXT(ROW()-2,"0000"))</f>
        <v/>
      </c>
      <c r="C87" s="272" t="n"/>
      <c r="D87" s="272" t="n"/>
      <c r="E87" s="255" t="n"/>
      <c r="F87" s="272" t="n"/>
      <c r="G87" s="272" t="n"/>
    </row>
    <row r="88">
      <c r="B88" s="272">
        <f>IF(C88="","","PID-"&amp;TEXT(ROW()-2,"0000"))</f>
        <v/>
      </c>
      <c r="C88" s="272" t="n"/>
      <c r="D88" s="272" t="n"/>
      <c r="E88" s="255" t="n"/>
      <c r="F88" s="272" t="n"/>
      <c r="G88" s="272" t="n"/>
    </row>
    <row r="89">
      <c r="B89" s="272">
        <f>IF(C89="","","PID-"&amp;TEXT(ROW()-2,"0000"))</f>
        <v/>
      </c>
      <c r="C89" s="272" t="n"/>
      <c r="D89" s="272" t="n"/>
      <c r="E89" s="255" t="n"/>
      <c r="F89" s="272" t="n"/>
      <c r="G89" s="272" t="n"/>
    </row>
    <row r="90">
      <c r="B90" s="272">
        <f>IF(C90="","","PID-"&amp;TEXT(ROW()-2,"0000"))</f>
        <v/>
      </c>
      <c r="C90" s="272" t="n"/>
      <c r="D90" s="272" t="n"/>
      <c r="E90" s="255" t="n"/>
      <c r="F90" s="272" t="n"/>
      <c r="G90" s="272" t="n"/>
    </row>
    <row r="91">
      <c r="B91" s="272">
        <f>IF(C91="","","PID-"&amp;TEXT(ROW()-2,"0000"))</f>
        <v/>
      </c>
      <c r="C91" s="272" t="n"/>
      <c r="D91" s="272" t="n"/>
      <c r="E91" s="255" t="n"/>
      <c r="F91" s="272" t="n"/>
      <c r="G91" s="272" t="n"/>
    </row>
    <row r="92">
      <c r="B92" s="272">
        <f>IF(C92="","","PID-"&amp;TEXT(ROW()-2,"0000"))</f>
        <v/>
      </c>
      <c r="C92" s="272" t="n"/>
      <c r="D92" s="272" t="n"/>
      <c r="E92" s="255" t="n"/>
      <c r="F92" s="272" t="n"/>
      <c r="G92" s="272" t="n"/>
    </row>
    <row r="93">
      <c r="B93" s="272">
        <f>IF(C93="","","PID-"&amp;TEXT(ROW()-2,"0000"))</f>
        <v/>
      </c>
      <c r="C93" s="272" t="n"/>
      <c r="D93" s="272" t="n"/>
      <c r="E93" s="255" t="n"/>
      <c r="F93" s="272" t="n"/>
      <c r="G93" s="272" t="n"/>
    </row>
    <row r="94">
      <c r="B94" s="272">
        <f>IF(C94="","","PID-"&amp;TEXT(ROW()-2,"0000"))</f>
        <v/>
      </c>
      <c r="C94" s="272" t="n"/>
      <c r="D94" s="272" t="n"/>
      <c r="E94" s="255" t="n"/>
      <c r="F94" s="272" t="n"/>
      <c r="G94" s="272" t="n"/>
    </row>
    <row r="95">
      <c r="B95" s="272">
        <f>IF(C95="","","PID-"&amp;TEXT(ROW()-2,"0000"))</f>
        <v/>
      </c>
      <c r="C95" s="272" t="n"/>
      <c r="D95" s="272" t="n"/>
      <c r="E95" s="255" t="n"/>
      <c r="F95" s="272" t="n"/>
      <c r="G95" s="272" t="n"/>
    </row>
    <row r="96">
      <c r="B96" s="272">
        <f>IF(C96="","","PID-"&amp;TEXT(ROW()-2,"0000"))</f>
        <v/>
      </c>
      <c r="C96" s="272" t="n"/>
      <c r="D96" s="272" t="n"/>
      <c r="E96" s="255" t="n"/>
      <c r="F96" s="272" t="n"/>
      <c r="G96" s="272" t="n"/>
    </row>
    <row r="97">
      <c r="B97" s="272">
        <f>IF(C97="","","PID-"&amp;TEXT(ROW()-2,"0000"))</f>
        <v/>
      </c>
      <c r="C97" s="272" t="n"/>
      <c r="D97" s="272" t="n"/>
      <c r="E97" s="255" t="n"/>
      <c r="F97" s="272" t="n"/>
      <c r="G97" s="272" t="n"/>
    </row>
    <row r="98">
      <c r="B98" s="272">
        <f>IF(C98="","","PID-"&amp;TEXT(ROW()-2,"0000"))</f>
        <v/>
      </c>
      <c r="C98" s="272" t="n"/>
      <c r="D98" s="272" t="n"/>
      <c r="E98" s="255" t="n"/>
      <c r="F98" s="272" t="n"/>
      <c r="G98" s="272" t="n"/>
    </row>
    <row r="99">
      <c r="B99" s="272">
        <f>IF(C99="","","PID-"&amp;TEXT(ROW()-2,"0000"))</f>
        <v/>
      </c>
      <c r="C99" s="272" t="n"/>
      <c r="D99" s="272" t="n"/>
      <c r="E99" s="255" t="n"/>
      <c r="F99" s="272" t="n"/>
      <c r="G99" s="272" t="n"/>
    </row>
    <row r="100">
      <c r="B100" s="272">
        <f>IF(C100="","","PID-"&amp;TEXT(ROW()-2,"0000"))</f>
        <v/>
      </c>
      <c r="C100" s="272" t="n"/>
      <c r="D100" s="272" t="n"/>
      <c r="E100" s="255" t="n"/>
      <c r="F100" s="272" t="n"/>
      <c r="G100" s="272" t="n"/>
    </row>
    <row r="101">
      <c r="B101" s="272">
        <f>IF(C101="","","PID-"&amp;TEXT(ROW()-2,"0000"))</f>
        <v/>
      </c>
      <c r="C101" s="272" t="n"/>
      <c r="D101" s="272" t="n"/>
      <c r="E101" s="255" t="n"/>
      <c r="F101" s="272" t="n"/>
      <c r="G101" s="272" t="n"/>
    </row>
    <row r="102">
      <c r="B102" s="272">
        <f>IF(C102="","","PID-"&amp;TEXT(ROW()-2,"0000"))</f>
        <v/>
      </c>
      <c r="C102" s="272" t="n"/>
      <c r="D102" s="272" t="n"/>
      <c r="E102" s="255" t="n"/>
      <c r="F102" s="272" t="n"/>
      <c r="G102" s="272" t="n"/>
    </row>
    <row r="103">
      <c r="B103" s="272">
        <f>IF(C103="","","PID-"&amp;TEXT(ROW()-2,"0000"))</f>
        <v/>
      </c>
      <c r="C103" s="272" t="n"/>
      <c r="D103" s="272" t="n"/>
      <c r="E103" s="255" t="n"/>
      <c r="F103" s="272" t="n"/>
      <c r="G103" s="272" t="n"/>
    </row>
    <row r="104">
      <c r="B104" s="272">
        <f>IF(C104="","","PID-"&amp;TEXT(ROW()-2,"0000"))</f>
        <v/>
      </c>
      <c r="C104" s="272" t="n"/>
      <c r="D104" s="272" t="n"/>
      <c r="E104" s="255" t="n"/>
      <c r="F104" s="272" t="n"/>
      <c r="G104" s="272" t="n"/>
    </row>
    <row r="105">
      <c r="B105" s="272">
        <f>IF(C105="","","PID-"&amp;TEXT(ROW()-2,"0000"))</f>
        <v/>
      </c>
      <c r="C105" s="272" t="n"/>
      <c r="D105" s="272" t="n"/>
      <c r="E105" s="255" t="n"/>
      <c r="F105" s="272" t="n"/>
      <c r="G105" s="272" t="n"/>
    </row>
    <row r="106">
      <c r="B106" s="272">
        <f>IF(C106="","","PID-"&amp;TEXT(ROW()-2,"0000"))</f>
        <v/>
      </c>
      <c r="C106" s="272" t="n"/>
      <c r="D106" s="272" t="n"/>
      <c r="E106" s="255" t="n"/>
      <c r="F106" s="272" t="n"/>
      <c r="G106" s="272" t="n"/>
    </row>
    <row r="107">
      <c r="B107" s="272">
        <f>IF(C107="","","PID-"&amp;TEXT(ROW()-2,"0000"))</f>
        <v/>
      </c>
      <c r="C107" s="272" t="n"/>
      <c r="D107" s="272" t="n"/>
      <c r="E107" s="255" t="n"/>
      <c r="F107" s="272" t="n"/>
      <c r="G107" s="272" t="n"/>
    </row>
    <row r="108">
      <c r="B108" s="272">
        <f>IF(C108="","","PID-"&amp;TEXT(ROW()-2,"0000"))</f>
        <v/>
      </c>
      <c r="C108" s="272" t="n"/>
      <c r="D108" s="272" t="n"/>
      <c r="E108" s="255" t="n"/>
      <c r="F108" s="272" t="n"/>
      <c r="G108" s="272" t="n"/>
    </row>
    <row r="109">
      <c r="B109" s="272">
        <f>IF(C109="","","PID-"&amp;TEXT(ROW()-2,"0000"))</f>
        <v/>
      </c>
      <c r="C109" s="272" t="n"/>
      <c r="D109" s="272" t="n"/>
      <c r="E109" s="255" t="n"/>
      <c r="F109" s="272" t="n"/>
      <c r="G109" s="272" t="n"/>
    </row>
    <row r="110">
      <c r="B110" s="272">
        <f>IF(C110="","","PID-"&amp;TEXT(ROW()-2,"0000"))</f>
        <v/>
      </c>
      <c r="C110" s="272" t="n"/>
      <c r="D110" s="272" t="n"/>
      <c r="E110" s="255" t="n"/>
      <c r="F110" s="272" t="n"/>
      <c r="G110" s="272" t="n"/>
    </row>
    <row r="111">
      <c r="B111" s="272">
        <f>IF(C111="","","PID-"&amp;TEXT(ROW()-2,"0000"))</f>
        <v/>
      </c>
      <c r="C111" s="272" t="n"/>
      <c r="D111" s="272" t="n"/>
      <c r="E111" s="255" t="n"/>
      <c r="F111" s="272" t="n"/>
      <c r="G111" s="272" t="n"/>
    </row>
    <row r="112">
      <c r="B112" s="272">
        <f>IF(C112="","","PID-"&amp;TEXT(ROW()-2,"0000"))</f>
        <v/>
      </c>
      <c r="C112" s="272" t="n"/>
      <c r="D112" s="272" t="n"/>
      <c r="E112" s="255" t="n"/>
      <c r="F112" s="272" t="n"/>
      <c r="G112" s="272" t="n"/>
    </row>
    <row r="113">
      <c r="B113" s="272">
        <f>IF(C113="","","PID-"&amp;TEXT(ROW()-2,"0000"))</f>
        <v/>
      </c>
      <c r="C113" s="272" t="n"/>
      <c r="D113" s="272" t="n"/>
      <c r="E113" s="255" t="n"/>
      <c r="F113" s="272" t="n"/>
      <c r="G113" s="272" t="n"/>
    </row>
    <row r="114">
      <c r="B114" s="272">
        <f>IF(C114="","","PID-"&amp;TEXT(ROW()-2,"0000"))</f>
        <v/>
      </c>
      <c r="C114" s="272" t="n"/>
      <c r="D114" s="272" t="n"/>
      <c r="E114" s="255" t="n"/>
      <c r="F114" s="272" t="n"/>
      <c r="G114" s="272" t="n"/>
    </row>
    <row r="115">
      <c r="B115" s="272">
        <f>IF(C115="","","PID-"&amp;TEXT(ROW()-2,"0000"))</f>
        <v/>
      </c>
      <c r="C115" s="272" t="n"/>
      <c r="D115" s="272" t="n"/>
      <c r="E115" s="255" t="n"/>
      <c r="F115" s="272" t="n"/>
      <c r="G115" s="272" t="n"/>
    </row>
    <row r="116">
      <c r="B116" s="272">
        <f>IF(C116="","","PID-"&amp;TEXT(ROW()-2,"0000"))</f>
        <v/>
      </c>
      <c r="C116" s="272" t="n"/>
      <c r="D116" s="272" t="n"/>
      <c r="E116" s="255" t="n"/>
      <c r="F116" s="272" t="n"/>
      <c r="G116" s="272" t="n"/>
    </row>
    <row r="117">
      <c r="B117" s="272">
        <f>IF(C117="","","PID-"&amp;TEXT(ROW()-2,"0000"))</f>
        <v/>
      </c>
      <c r="C117" s="272" t="n"/>
      <c r="D117" s="272" t="n"/>
      <c r="E117" s="255" t="n"/>
      <c r="F117" s="272" t="n"/>
      <c r="G117" s="272" t="n"/>
    </row>
    <row r="118">
      <c r="B118" s="272">
        <f>IF(C118="","","PID-"&amp;TEXT(ROW()-2,"0000"))</f>
        <v/>
      </c>
      <c r="C118" s="272" t="n"/>
      <c r="D118" s="272" t="n"/>
      <c r="E118" s="255" t="n"/>
      <c r="F118" s="272" t="n"/>
      <c r="G118" s="272" t="n"/>
    </row>
    <row r="119">
      <c r="B119" s="272">
        <f>IF(C119="","","PID-"&amp;TEXT(ROW()-2,"0000"))</f>
        <v/>
      </c>
      <c r="C119" s="272" t="n"/>
      <c r="D119" s="272" t="n"/>
      <c r="E119" s="255" t="n"/>
      <c r="F119" s="272" t="n"/>
      <c r="G119" s="272" t="n"/>
    </row>
    <row r="120">
      <c r="B120" s="272">
        <f>IF(C120="","","PID-"&amp;TEXT(ROW()-2,"0000"))</f>
        <v/>
      </c>
      <c r="C120" s="272" t="n"/>
      <c r="D120" s="272" t="n"/>
      <c r="E120" s="255" t="n"/>
      <c r="F120" s="272" t="n"/>
      <c r="G120" s="272" t="n"/>
    </row>
    <row r="121">
      <c r="B121" s="272">
        <f>IF(C121="","","PID-"&amp;TEXT(ROW()-2,"0000"))</f>
        <v/>
      </c>
      <c r="C121" s="272" t="n"/>
      <c r="D121" s="272" t="n"/>
      <c r="E121" s="255" t="n"/>
      <c r="F121" s="272" t="n"/>
      <c r="G121" s="272" t="n"/>
    </row>
    <row r="122">
      <c r="B122" s="272">
        <f>IF(C122="","","PID-"&amp;TEXT(ROW()-2,"0000"))</f>
        <v/>
      </c>
      <c r="C122" s="272" t="n"/>
      <c r="D122" s="272" t="n"/>
      <c r="E122" s="255" t="n"/>
      <c r="F122" s="272" t="n"/>
      <c r="G122" s="272" t="n"/>
    </row>
    <row r="123">
      <c r="B123" s="272">
        <f>IF(C123="","","PID-"&amp;TEXT(ROW()-2,"0000"))</f>
        <v/>
      </c>
      <c r="C123" s="272" t="n"/>
      <c r="D123" s="272" t="n"/>
      <c r="E123" s="255" t="n"/>
      <c r="F123" s="272" t="n"/>
      <c r="G123" s="272" t="n"/>
    </row>
    <row r="124">
      <c r="B124" s="272">
        <f>IF(C124="","","PID-"&amp;TEXT(ROW()-2,"0000"))</f>
        <v/>
      </c>
      <c r="C124" s="272" t="n"/>
      <c r="D124" s="272" t="n"/>
      <c r="E124" s="255" t="n"/>
      <c r="F124" s="272" t="n"/>
      <c r="G124" s="272" t="n"/>
    </row>
    <row r="125">
      <c r="B125" s="272">
        <f>IF(C125="","","PID-"&amp;TEXT(ROW()-2,"0000"))</f>
        <v/>
      </c>
      <c r="C125" s="272" t="n"/>
      <c r="D125" s="272" t="n"/>
      <c r="E125" s="255" t="n"/>
      <c r="F125" s="272" t="n"/>
      <c r="G125" s="272" t="n"/>
    </row>
    <row r="126">
      <c r="B126" s="272">
        <f>IF(C126="","","PID-"&amp;TEXT(ROW()-2,"0000"))</f>
        <v/>
      </c>
      <c r="C126" s="272" t="n"/>
      <c r="D126" s="272" t="n"/>
      <c r="E126" s="255" t="n"/>
      <c r="F126" s="272" t="n"/>
      <c r="G126" s="272" t="n"/>
    </row>
    <row r="127">
      <c r="B127" s="272">
        <f>IF(C127="","","PID-"&amp;TEXT(ROW()-2,"0000"))</f>
        <v/>
      </c>
      <c r="C127" s="272" t="n"/>
      <c r="D127" s="272" t="n"/>
      <c r="E127" s="255" t="n"/>
      <c r="F127" s="272" t="n"/>
      <c r="G127" s="272" t="n"/>
    </row>
    <row r="128">
      <c r="B128" s="272">
        <f>IF(C128="","","PID-"&amp;TEXT(ROW()-2,"0000"))</f>
        <v/>
      </c>
      <c r="C128" s="272" t="n"/>
      <c r="D128" s="272" t="n"/>
      <c r="E128" s="255" t="n"/>
      <c r="F128" s="272" t="n"/>
      <c r="G128" s="272" t="n"/>
    </row>
    <row r="129">
      <c r="B129" s="272">
        <f>IF(C129="","","PID-"&amp;TEXT(ROW()-2,"0000"))</f>
        <v/>
      </c>
      <c r="C129" s="272" t="n"/>
      <c r="D129" s="272" t="n"/>
      <c r="E129" s="255" t="n"/>
      <c r="F129" s="272" t="n"/>
      <c r="G129" s="272" t="n"/>
    </row>
    <row r="130">
      <c r="B130" s="272">
        <f>IF(C130="","","PID-"&amp;TEXT(ROW()-2,"0000"))</f>
        <v/>
      </c>
      <c r="C130" s="272" t="n"/>
      <c r="D130" s="272" t="n"/>
      <c r="E130" s="255" t="n"/>
      <c r="F130" s="272" t="n"/>
      <c r="G130" s="272" t="n"/>
    </row>
    <row r="131">
      <c r="B131" s="272">
        <f>IF(C131="","","PID-"&amp;TEXT(ROW()-2,"0000"))</f>
        <v/>
      </c>
      <c r="C131" s="272" t="n"/>
      <c r="D131" s="272" t="n"/>
      <c r="E131" s="255" t="n"/>
      <c r="F131" s="272" t="n"/>
      <c r="G131" s="272" t="n"/>
    </row>
    <row r="132">
      <c r="B132" s="272">
        <f>IF(C132="","","PID-"&amp;TEXT(ROW()-2,"0000"))</f>
        <v/>
      </c>
      <c r="C132" s="272" t="n"/>
      <c r="D132" s="272" t="n"/>
      <c r="E132" s="255" t="n"/>
      <c r="F132" s="272" t="n"/>
      <c r="G132" s="272" t="n"/>
    </row>
    <row r="133">
      <c r="B133" s="272">
        <f>IF(C133="","","PID-"&amp;TEXT(ROW()-2,"0000"))</f>
        <v/>
      </c>
      <c r="C133" s="272" t="n"/>
      <c r="D133" s="272" t="n"/>
      <c r="E133" s="255" t="n"/>
      <c r="F133" s="272" t="n"/>
      <c r="G133" s="272" t="n"/>
    </row>
    <row r="134">
      <c r="B134" s="272">
        <f>IF(C134="","","PID-"&amp;TEXT(ROW()-2,"0000"))</f>
        <v/>
      </c>
      <c r="C134" s="272" t="n"/>
      <c r="D134" s="272" t="n"/>
      <c r="E134" s="255" t="n"/>
      <c r="F134" s="272" t="n"/>
      <c r="G134" s="272" t="n"/>
    </row>
    <row r="135">
      <c r="B135" s="272">
        <f>IF(C135="","","PID-"&amp;TEXT(ROW()-2,"0000"))</f>
        <v/>
      </c>
      <c r="C135" s="272" t="n"/>
      <c r="D135" s="272" t="n"/>
      <c r="E135" s="255" t="n"/>
      <c r="F135" s="272" t="n"/>
      <c r="G135" s="272" t="n"/>
    </row>
    <row r="136">
      <c r="B136" s="272">
        <f>IF(C136="","","PID-"&amp;TEXT(ROW()-2,"0000"))</f>
        <v/>
      </c>
      <c r="C136" s="272" t="n"/>
      <c r="D136" s="272" t="n"/>
      <c r="E136" s="255" t="n"/>
      <c r="F136" s="272" t="n"/>
      <c r="G136" s="272" t="n"/>
    </row>
    <row r="137">
      <c r="B137" s="272">
        <f>IF(C137="","","PID-"&amp;TEXT(ROW()-2,"0000"))</f>
        <v/>
      </c>
      <c r="C137" s="272" t="n"/>
      <c r="D137" s="272" t="n"/>
      <c r="E137" s="255" t="n"/>
      <c r="F137" s="272" t="n"/>
      <c r="G137" s="272" t="n"/>
    </row>
    <row r="138">
      <c r="B138" s="272">
        <f>IF(C138="","","PID-"&amp;TEXT(ROW()-2,"0000"))</f>
        <v/>
      </c>
      <c r="C138" s="272" t="n"/>
      <c r="D138" s="272" t="n"/>
      <c r="E138" s="255" t="n"/>
      <c r="F138" s="272" t="n"/>
      <c r="G138" s="272" t="n"/>
    </row>
    <row r="139">
      <c r="B139" s="272">
        <f>IF(C139="","","PID-"&amp;TEXT(ROW()-2,"0000"))</f>
        <v/>
      </c>
      <c r="C139" s="272" t="n"/>
      <c r="D139" s="272" t="n"/>
      <c r="E139" s="255" t="n"/>
      <c r="F139" s="272" t="n"/>
      <c r="G139" s="272" t="n"/>
    </row>
    <row r="140">
      <c r="B140" s="272">
        <f>IF(C140="","","PID-"&amp;TEXT(ROW()-2,"0000"))</f>
        <v/>
      </c>
      <c r="C140" s="272" t="n"/>
      <c r="D140" s="272" t="n"/>
      <c r="E140" s="255" t="n"/>
      <c r="F140" s="272" t="n"/>
      <c r="G140" s="272" t="n"/>
    </row>
    <row r="141">
      <c r="B141" s="272">
        <f>IF(C141="","","PID-"&amp;TEXT(ROW()-2,"0000"))</f>
        <v/>
      </c>
      <c r="C141" s="272" t="n"/>
      <c r="D141" s="272" t="n"/>
      <c r="E141" s="255" t="n"/>
      <c r="F141" s="272" t="n"/>
      <c r="G141" s="272" t="n"/>
    </row>
    <row r="142">
      <c r="B142" s="272">
        <f>IF(C142="","","PID-"&amp;TEXT(ROW()-2,"0000"))</f>
        <v/>
      </c>
      <c r="C142" s="272" t="n"/>
      <c r="D142" s="272" t="n"/>
      <c r="E142" s="255" t="n"/>
      <c r="F142" s="272" t="n"/>
      <c r="G142" s="272" t="n"/>
    </row>
    <row r="143">
      <c r="B143" s="272">
        <f>IF(C143="","","PID-"&amp;TEXT(ROW()-2,"0000"))</f>
        <v/>
      </c>
      <c r="C143" s="272" t="n"/>
      <c r="D143" s="272" t="n"/>
      <c r="E143" s="255" t="n"/>
      <c r="F143" s="272" t="n"/>
      <c r="G143" s="272" t="n"/>
    </row>
    <row r="144">
      <c r="B144" s="272">
        <f>IF(C144="","","PID-"&amp;TEXT(ROW()-2,"0000"))</f>
        <v/>
      </c>
      <c r="C144" s="272" t="n"/>
      <c r="D144" s="272" t="n"/>
      <c r="E144" s="255" t="n"/>
      <c r="F144" s="272" t="n"/>
      <c r="G144" s="272" t="n"/>
    </row>
    <row r="145">
      <c r="B145" s="272">
        <f>IF(C145="","","PID-"&amp;TEXT(ROW()-2,"0000"))</f>
        <v/>
      </c>
      <c r="C145" s="272" t="n"/>
      <c r="D145" s="272" t="n"/>
      <c r="E145" s="255" t="n"/>
      <c r="F145" s="272" t="n"/>
      <c r="G145" s="272" t="n"/>
    </row>
    <row r="146">
      <c r="B146" s="272">
        <f>IF(C146="","","PID-"&amp;TEXT(ROW()-2,"0000"))</f>
        <v/>
      </c>
      <c r="C146" s="272" t="n"/>
      <c r="D146" s="272" t="n"/>
      <c r="E146" s="255" t="n"/>
      <c r="F146" s="272" t="n"/>
      <c r="G146" s="272" t="n"/>
    </row>
    <row r="147">
      <c r="B147" s="272">
        <f>IF(C147="","","PID-"&amp;TEXT(ROW()-2,"0000"))</f>
        <v/>
      </c>
      <c r="C147" s="272" t="n"/>
      <c r="D147" s="272" t="n"/>
      <c r="E147" s="255" t="n"/>
      <c r="F147" s="272" t="n"/>
      <c r="G147" s="272" t="n"/>
    </row>
    <row r="148">
      <c r="B148" s="272">
        <f>IF(C148="","","PID-"&amp;TEXT(ROW()-2,"0000"))</f>
        <v/>
      </c>
      <c r="C148" s="272" t="n"/>
      <c r="D148" s="272" t="n"/>
      <c r="E148" s="255" t="n"/>
      <c r="F148" s="272" t="n"/>
      <c r="G148" s="272" t="n"/>
    </row>
    <row r="149">
      <c r="B149" s="272">
        <f>IF(C149="","","PID-"&amp;TEXT(ROW()-2,"0000"))</f>
        <v/>
      </c>
      <c r="C149" s="272" t="n"/>
      <c r="D149" s="272" t="n"/>
      <c r="E149" s="255" t="n"/>
      <c r="F149" s="272" t="n"/>
      <c r="G149" s="272" t="n"/>
    </row>
    <row r="150">
      <c r="B150" s="272">
        <f>IF(C150="","","PID-"&amp;TEXT(ROW()-2,"0000"))</f>
        <v/>
      </c>
      <c r="C150" s="272" t="n"/>
      <c r="D150" s="272" t="n"/>
      <c r="E150" s="255" t="n"/>
      <c r="F150" s="272" t="n"/>
      <c r="G150" s="272" t="n"/>
    </row>
    <row r="151">
      <c r="B151" s="272">
        <f>IF(C151="","","PID-"&amp;TEXT(ROW()-2,"0000"))</f>
        <v/>
      </c>
      <c r="C151" s="272" t="n"/>
      <c r="D151" s="272" t="n"/>
      <c r="E151" s="255" t="n"/>
      <c r="F151" s="272" t="n"/>
      <c r="G151" s="272" t="n"/>
    </row>
    <row r="152">
      <c r="B152" s="272">
        <f>IF(C152="","","PID-"&amp;TEXT(ROW()-2,"0000"))</f>
        <v/>
      </c>
      <c r="C152" s="272" t="n"/>
      <c r="D152" s="272" t="n"/>
      <c r="E152" s="255" t="n"/>
      <c r="F152" s="272" t="n"/>
      <c r="G152" s="272" t="n"/>
    </row>
    <row r="153">
      <c r="B153" s="272">
        <f>IF(C153="","","PID-"&amp;TEXT(ROW()-2,"0000"))</f>
        <v/>
      </c>
      <c r="C153" s="272" t="n"/>
      <c r="D153" s="272" t="n"/>
      <c r="E153" s="255" t="n"/>
      <c r="F153" s="272" t="n"/>
      <c r="G153" s="272" t="n"/>
    </row>
    <row r="154">
      <c r="B154" s="272">
        <f>IF(C154="","","PID-"&amp;TEXT(ROW()-2,"0000"))</f>
        <v/>
      </c>
      <c r="C154" s="272" t="n"/>
      <c r="D154" s="272" t="n"/>
      <c r="E154" s="255" t="n"/>
      <c r="F154" s="272" t="n"/>
      <c r="G154" s="272" t="n"/>
    </row>
    <row r="155">
      <c r="B155" s="272">
        <f>IF(C155="","","PID-"&amp;TEXT(ROW()-2,"0000"))</f>
        <v/>
      </c>
      <c r="C155" s="272" t="n"/>
      <c r="D155" s="272" t="n"/>
      <c r="E155" s="255" t="n"/>
      <c r="F155" s="272" t="n"/>
      <c r="G155" s="272" t="n"/>
    </row>
    <row r="156">
      <c r="B156" s="272">
        <f>IF(C156="","","PID-"&amp;TEXT(ROW()-2,"0000"))</f>
        <v/>
      </c>
      <c r="C156" s="272" t="n"/>
      <c r="D156" s="272" t="n"/>
      <c r="E156" s="255" t="n"/>
      <c r="F156" s="272" t="n"/>
      <c r="G156" s="272" t="n"/>
    </row>
    <row r="157">
      <c r="B157" s="272">
        <f>IF(C157="","","PID-"&amp;TEXT(ROW()-2,"0000"))</f>
        <v/>
      </c>
      <c r="C157" s="272" t="n"/>
      <c r="D157" s="272" t="n"/>
      <c r="E157" s="255" t="n"/>
      <c r="F157" s="272" t="n"/>
      <c r="G157" s="272" t="n"/>
    </row>
    <row r="158">
      <c r="B158" s="272">
        <f>IF(C158="","","PID-"&amp;TEXT(ROW()-2,"0000"))</f>
        <v/>
      </c>
      <c r="C158" s="272" t="n"/>
      <c r="D158" s="272" t="n"/>
      <c r="E158" s="255"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sheetData>
  <mergeCells count="1">
    <mergeCell ref="A2:A13"/>
  </mergeCells>
  <conditionalFormatting sqref="D20:E187 E3 E7 E9 E11 E13">
    <cfRule type="expression" priority="8" dxfId="14">
      <formula>AND($C3&lt;&gt;"",D3="")</formula>
    </cfRule>
  </conditionalFormatting>
  <conditionalFormatting sqref="C20:C187">
    <cfRule type="expression" priority="601" dxfId="15">
      <formula>AND(C20&lt;&gt;"",COUNTIF($C$2:$C$187,C20)&gt;1)</formula>
    </cfRule>
    <cfRule type="expression" priority="602" dxfId="14">
      <formula>AND($C20&lt;&gt;"",C20="")</formula>
    </cfRule>
  </conditionalFormatting>
  <conditionalFormatting sqref="F20:F187">
    <cfRule type="expression" priority="603" dxfId="15">
      <formula>AND(F20&lt;&gt;"",COUNTIF($F$2:$F$187,F20)&gt;1)</formula>
    </cfRule>
    <cfRule type="expression" priority="604" dxfId="14">
      <formula>AND(C20&lt;&gt;"",F20="")</formula>
    </cfRule>
  </conditionalFormatting>
  <dataValidations count="1">
    <dataValidation sqref="D20:D187"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D2" display="10.1016/j.neubiorev.2007.05.010" r:id="rId1"/>
    <hyperlink xmlns:r="http://schemas.openxmlformats.org/officeDocument/2006/relationships" ref="F2" r:id="rId2"/>
    <hyperlink xmlns:r="http://schemas.openxmlformats.org/officeDocument/2006/relationships" ref="F3" r:id="rId3"/>
    <hyperlink xmlns:r="http://schemas.openxmlformats.org/officeDocument/2006/relationships" ref="F4" r:id="rId4"/>
    <hyperlink xmlns:r="http://schemas.openxmlformats.org/officeDocument/2006/relationships" ref="B7" r:id="rId5"/>
    <hyperlink xmlns:r="http://schemas.openxmlformats.org/officeDocument/2006/relationships" ref="F7" r:id="rId6"/>
    <hyperlink xmlns:r="http://schemas.openxmlformats.org/officeDocument/2006/relationships" ref="F13" r:id="rId7"/>
  </hyperlinks>
  <pageMargins left="0.75" right="0.75" top="1" bottom="1" header="0.511811023622047" footer="0.511811023622047"/>
  <pageSetup orientation="portrait" paperSize="9" horizontalDpi="300" verticalDpi="300"/>
  <tableParts count="1">
    <tablePart xmlns:r="http://schemas.openxmlformats.org/officeDocument/2006/relationships" r:id="rId8"/>
  </tableParts>
</worksheet>
</file>

<file path=xl/worksheets/sheet8.xml><?xml version="1.0" encoding="utf-8"?>
<worksheet xmlns="http://schemas.openxmlformats.org/spreadsheetml/2006/main">
  <sheetPr>
    <tabColor rgb="FF003C71"/>
    <outlinePr summaryBelow="1" summaryRight="1"/>
    <pageSetUpPr/>
  </sheetPr>
  <dimension ref="A1:BD186"/>
  <sheetViews>
    <sheetView zoomScaleNormal="100" workbookViewId="0">
      <pane xSplit="1" topLeftCell="I1" activePane="topRight" state="frozen"/>
      <selection pane="topRight" activeCell="B2" sqref="B2:K13"/>
      <selection activeCell="A3" sqref="A3"/>
    </sheetView>
  </sheetViews>
  <sheetFormatPr baseColWidth="8" defaultColWidth="13.42578125" defaultRowHeight="15"/>
  <cols>
    <col hidden="1"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71" customWidth="1" style="270" min="13" max="13"/>
    <col width="18" customWidth="1" style="270" min="14" max="14"/>
  </cols>
  <sheetData>
    <row r="1" ht="42.75" customHeight="1" s="270">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90.75" customHeight="1" s="270">
      <c r="A2" s="354" t="inlineStr">
        <is>
          <t>David</t>
        </is>
      </c>
      <c r="B2" s="345" t="inlineStr">
        <is>
          <t>https://doi.org/10.3233/FAIA231495</t>
        </is>
      </c>
      <c r="C2" s="43" t="inlineStr">
        <is>
          <t>Research on Multimodal Interaction Design
Patterns for Visually Impaired People Under
Sensory Compensation Theory</t>
        </is>
      </c>
      <c r="D2" s="265" t="n">
        <v>2024</v>
      </c>
      <c r="E2" s="311" t="inlineStr">
        <is>
          <t>IOS Press</t>
        </is>
      </c>
      <c r="F2" s="78" t="inlineStr">
        <is>
          <t>https://ebooks.iospress.nl/doi/10.3233/FAIA231495</t>
        </is>
      </c>
      <c r="G2" s="119" t="inlineStr">
        <is>
          <t>X</t>
        </is>
      </c>
      <c r="H2" s="72" t="inlineStr">
        <is>
          <t>Excluded</t>
        </is>
      </c>
      <c r="I2" s="117" t="n"/>
      <c r="J2" s="52" t="n"/>
      <c r="K2" s="52" t="n"/>
    </row>
    <row r="3" ht="89.25" customHeight="1" s="270">
      <c r="A3" s="382" t="n"/>
      <c r="B3" s="59" t="inlineStr">
        <is>
          <t>https://doi.org/10.1016/j.actpsy.2019.102950</t>
        </is>
      </c>
      <c r="C3" s="46" t="inlineStr">
        <is>
          <t>Tactile aesthetics: Textures that we like or hate to touch</t>
        </is>
      </c>
      <c r="D3" s="72" t="n">
        <v>2019</v>
      </c>
      <c r="E3" s="84" t="inlineStr">
        <is>
          <t>Elsevier</t>
        </is>
      </c>
      <c r="F3" s="61" t="inlineStr">
        <is>
          <t>https://www.sciencedirect.com/science/article/abs/pii/S0001691819302008?via%3Dihub</t>
        </is>
      </c>
      <c r="G3" s="119" t="inlineStr">
        <is>
          <t>X</t>
        </is>
      </c>
      <c r="H3" s="72" t="inlineStr">
        <is>
          <t>Excluded</t>
        </is>
      </c>
      <c r="I3"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3" s="119" t="inlineStr">
        <is>
          <t>X</t>
        </is>
      </c>
      <c r="K3" s="119" t="inlineStr">
        <is>
          <t>X</t>
        </is>
      </c>
    </row>
    <row r="4" ht="78" customHeight="1" s="270">
      <c r="A4" s="382" t="n"/>
      <c r="B4" s="346" t="inlineStr">
        <is>
          <t xml:space="preserve">
https://doi.org/10.3389/fnhum.2014.00291 
</t>
        </is>
      </c>
      <c r="C4" s="51" t="inlineStr">
        <is>
          <t>Successful tactile based visual sensory substitution use functions independently of visual pathway integrity</t>
        </is>
      </c>
      <c r="D4" s="73" t="n">
        <v>2014</v>
      </c>
      <c r="E4" s="85" t="inlineStr">
        <is>
          <t>Frontiers in Human Neuroscience</t>
        </is>
      </c>
      <c r="F4" s="58" t="inlineStr">
        <is>
          <t>https://www.frontiersin.org/journals/human-neuroscience/articles/10.3389/fnhum.2014.00291/full</t>
        </is>
      </c>
      <c r="G4" s="118" t="inlineStr">
        <is>
          <t>X</t>
        </is>
      </c>
      <c r="H4" s="72" t="inlineStr">
        <is>
          <t>Excluded</t>
        </is>
      </c>
      <c r="I4" s="49" t="inlineStr">
        <is>
          <t>This paper is excluded because it does not meet the required publisher criteria.</t>
        </is>
      </c>
      <c r="J4" s="118" t="inlineStr">
        <is>
          <t>X</t>
        </is>
      </c>
      <c r="K4" s="118" t="inlineStr">
        <is>
          <t>X</t>
        </is>
      </c>
    </row>
    <row r="5" ht="85.5" customHeight="1" s="270">
      <c r="A5" s="382" t="n"/>
      <c r="B5" s="59" t="inlineStr">
        <is>
          <t>https://doi.org/10.1007/s10846-023-01824-3</t>
        </is>
      </c>
      <c r="C5" s="362" t="inlineStr">
        <is>
          <t>Haptic Feedback Remote Control System for Electric Mechanical Assembly Vehicle Developed to Avoid Obstacles</t>
        </is>
      </c>
      <c r="D5" s="60" t="n">
        <v>2023</v>
      </c>
      <c r="E5" s="84" t="inlineStr">
        <is>
          <t>Springer Nature</t>
        </is>
      </c>
      <c r="F5" s="59" t="inlineStr">
        <is>
          <t>https://link.springer.com/article/10.1007/s10846-023-01824-3</t>
        </is>
      </c>
      <c r="G5" s="119" t="inlineStr">
        <is>
          <t>X</t>
        </is>
      </c>
      <c r="H5" s="75" t="inlineStr">
        <is>
          <t>Included</t>
        </is>
      </c>
      <c r="I5" s="120" t="n"/>
      <c r="J5" s="119" t="n"/>
      <c r="K5" s="119" t="n"/>
      <c r="L5" s="43" t="inlineStr">
        <is>
          <t>Haptic Feedback</t>
        </is>
      </c>
      <c r="M5" s="43" t="inlineStr">
        <is>
          <t>#LiDAR, #obstacle-detection, #distance-sensing, #force-feedback, #robotics, #embedded-systems</t>
        </is>
      </c>
    </row>
    <row r="6" ht="91.5" customHeight="1" s="270">
      <c r="A6" s="382" t="n"/>
      <c r="B6" s="347" t="inlineStr">
        <is>
          <t xml:space="preserve">10.1109/TVCG.2021.3136214 </t>
        </is>
      </c>
      <c r="C6" s="53" t="inlineStr">
        <is>
          <t>HaptoMapping: Visuo-Haptic Augmented Reality by Embedding User-Imperceptible Tactile Display Control Signals in a Projected Image</t>
        </is>
      </c>
      <c r="D6" s="62" t="n">
        <v>2022</v>
      </c>
      <c r="E6" s="86" t="inlineStr">
        <is>
          <t>IEEE</t>
        </is>
      </c>
      <c r="F6" s="57" t="inlineStr">
        <is>
          <t>https://www.researchgate.net/publication/357424856_HaptoMapping_Visuo-Haptic_Augmented_Reality_by_Embedding_User-Imperceptible_Tactile_Display_Control_Signals_in_a_Projected_Image</t>
        </is>
      </c>
      <c r="G6" s="118" t="inlineStr">
        <is>
          <t>X</t>
        </is>
      </c>
      <c r="H6" s="72" t="inlineStr">
        <is>
          <t>Excluded</t>
        </is>
      </c>
      <c r="I6" s="43" t="inlineStr">
        <is>
          <t>Reason for Exclusion  Out of Scope:
The study focuses on enhancing visual experiences through haptic feedback in augmented reality rather than providing sensory substitution for visually impaired individuals. The proposed system supplements visual information with tactile sensations instead of converting visual information into an alternative sensory form that can be interpreted without vision. Therefore, it does not directly address the objectives of visual sensory substitution for blind users.</t>
        </is>
      </c>
      <c r="J6" s="118" t="inlineStr">
        <is>
          <t>X</t>
        </is>
      </c>
      <c r="K6" s="118" t="inlineStr">
        <is>
          <t>X</t>
        </is>
      </c>
    </row>
    <row r="7" ht="60.75" customHeight="1" s="270">
      <c r="A7" s="382" t="n"/>
      <c r="B7" s="59" t="inlineStr">
        <is>
          <t>10.1109/EMBC.2013.6610223</t>
        </is>
      </c>
      <c r="C7" s="54" t="inlineStr">
        <is>
          <t>A tactile vision substitution system for the study of active sensing</t>
        </is>
      </c>
      <c r="D7" s="71" t="inlineStr">
        <is>
          <t xml:space="preserve">2013 </t>
        </is>
      </c>
      <c r="E7" s="84" t="inlineStr">
        <is>
          <t>IEEE</t>
        </is>
      </c>
      <c r="F7" s="59" t="inlineStr">
        <is>
          <t>https://ieeexplore.ieee.org/document/6610223</t>
        </is>
      </c>
      <c r="G7" s="48" t="n"/>
      <c r="H7" s="75" t="inlineStr">
        <is>
          <t>Included</t>
        </is>
      </c>
      <c r="I7" s="120" t="inlineStr">
        <is>
          <t>The paper presents a Tactile Vision Substitution System that converts visual information from a camera into tactile feedback to help visually impaired people perceive objects.
Although it is highly relevant to our project, it was published in 2013, which is outside our preferred publication period (2020–2026). However, we could keep it as a background reference because its image processing and visual-to-tactile conversion techniques may be useful for our system.</t>
        </is>
      </c>
      <c r="J7"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7"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c r="L7" s="56" t="inlineStr">
        <is>
          <t>Sensory Substitution</t>
        </is>
      </c>
      <c r="M7" s="43" t="inlineStr">
        <is>
          <t>#visual-to-tactile, #tactile-display, #image-processing, #active-sensing, #camera-based-system, #assistive-technology</t>
        </is>
      </c>
    </row>
    <row r="8" ht="73.5" customHeight="1" s="270">
      <c r="A8" s="382" t="n"/>
      <c r="B8" s="57" t="inlineStr">
        <is>
          <t xml:space="preserve">https://doi.org/10.1177/10711813251360704
</t>
        </is>
      </c>
      <c r="C8" s="363" t="inlineStr">
        <is>
          <t>The Multimodal Exhibition: Tangible Interactions for People With Visual Impairments</t>
        </is>
      </c>
      <c r="D8" s="62" t="n">
        <v>2025</v>
      </c>
      <c r="E8" s="86" t="inlineStr">
        <is>
          <t xml:space="preserve">Sage </t>
        </is>
      </c>
      <c r="F8" s="57" t="inlineStr">
        <is>
          <t>https://journals.sagepub.com/doi/10.1177/10711813251360704</t>
        </is>
      </c>
      <c r="G8" s="34" t="n"/>
      <c r="H8" s="72" t="inlineStr">
        <is>
          <t>Excluded</t>
        </is>
      </c>
      <c r="I8" s="74" t="inlineStr">
        <is>
          <t>**Exclude — Limited Technical Relevance**
Although the study presents and evaluates six multimodal interaction prototypes for people with visual impairments, its primary contribution focuses on inclusive interaction design and usability rather than advanced assistive technologies. The proposed prototypes do not incorporate real-time object detection, environmental sensing, depth estimation, or dynamic sensory substitution mechanisms. Therefore, their technical contribution is limited in relation to the core technological objectives of our proposed system.</t>
        </is>
      </c>
      <c r="J8" s="34" t="n"/>
      <c r="K8" s="34" t="n"/>
    </row>
    <row r="9" ht="30.75" customHeight="1" s="270">
      <c r="A9" s="382" t="n"/>
      <c r="B9" s="61" t="inlineStr">
        <is>
          <t xml:space="preserve">
10.1016/j.ijhcs.2007.08.001</t>
        </is>
      </c>
      <c r="C9" s="46" t="inlineStr">
        <is>
          <t>Haptic-feedback support for cognitive mapping of unknown spaces by people who are blind</t>
        </is>
      </c>
      <c r="D9" s="70" t="n">
        <v>2008</v>
      </c>
      <c r="E9" s="87" t="inlineStr">
        <is>
          <t>Elsevier</t>
        </is>
      </c>
      <c r="F9" s="59" t="inlineStr">
        <is>
          <t>linkinghub.elsevier.com/retrieve/pii/S1071581907001012</t>
        </is>
      </c>
      <c r="G9" s="48" t="n"/>
      <c r="H9" s="72" t="inlineStr">
        <is>
          <t>Excluded</t>
        </is>
      </c>
      <c r="I9" s="225" t="inlineStr">
        <is>
          <t>outdated</t>
        </is>
      </c>
      <c r="J9" s="271" t="n"/>
      <c r="K9" s="271" t="n"/>
    </row>
    <row r="10" ht="135.75" customHeight="1" s="270">
      <c r="A10" s="382" t="n"/>
      <c r="B10" s="346" t="inlineStr">
        <is>
          <t>https://doi.org/10.1186/s41235-020-00240-7</t>
        </is>
      </c>
      <c r="C10" s="364" t="inlineStr">
        <is>
          <t>Multisensory inclusive design with sensory
substitution</t>
        </is>
      </c>
      <c r="D10" s="64" t="n">
        <v>2020</v>
      </c>
      <c r="E10" s="88" t="inlineStr">
        <is>
          <t>Springer Nature</t>
        </is>
      </c>
      <c r="F10" s="57" t="inlineStr">
        <is>
          <t>https://link.springer.com/article/10.1186/s41235-020-00240-7</t>
        </is>
      </c>
      <c r="G10" s="34" t="n"/>
      <c r="H10" s="72" t="inlineStr">
        <is>
          <t>Excluded</t>
        </is>
      </c>
      <c r="I10" s="310" t="inlineStr">
        <is>
          <t>Review not a reasearch paper</t>
        </is>
      </c>
      <c r="J10" s="34" t="n"/>
      <c r="K10" s="34" t="n"/>
    </row>
    <row r="11" ht="60.75" customHeight="1" s="270">
      <c r="A11" s="382" t="n"/>
      <c r="B11" s="65" t="inlineStr">
        <is>
          <t>https://doi.org/10.1177/1460458222111260</t>
        </is>
      </c>
      <c r="C11" s="66" t="inlineStr">
        <is>
          <t>Multi-obstacle aware smart
navigation system for visually
impaired people in fog connected
IoT-cloud environment</t>
        </is>
      </c>
      <c r="D11" s="67" t="n">
        <v>2022</v>
      </c>
      <c r="E11" s="87" t="inlineStr">
        <is>
          <t>Sage</t>
        </is>
      </c>
      <c r="F11" s="61" t="inlineStr">
        <is>
          <t>https://journals.sagepub.com/doi/10.1177/14604582221112609</t>
        </is>
      </c>
      <c r="G11" s="271" t="n"/>
      <c r="H11" s="271" t="n"/>
      <c r="I11" s="271" t="n"/>
      <c r="J11" s="271" t="n"/>
      <c r="K11" s="271" t="n"/>
      <c r="L11" t="inlineStr">
        <is>
          <t>#AI-Based-Smart-Navigation</t>
        </is>
      </c>
      <c r="M11" s="40" t="inlineStr">
        <is>
          <t>#Object-Detection #YOLOv3-Tiny #Obstacle-Avoidance #Sensor-Fusion #Deep-Reinforcement-Learning #Fog-Computing #IoT #Safe-Route-Planning #Extended-Kalman-Filter</t>
        </is>
      </c>
    </row>
    <row r="12" ht="63" customHeight="1" s="270">
      <c r="A12" s="382" t="n"/>
      <c r="B12" s="346" t="inlineStr">
        <is>
          <t>https://doi.org/10.1080/17483107.2025.2463541</t>
        </is>
      </c>
      <c r="C12" s="364" t="inlineStr">
        <is>
          <t>Multi-faceted sensory substitution using wearable
technology for curb alerting: a pilot investigation
with persons with blindness and low vision</t>
        </is>
      </c>
      <c r="D12" s="366" t="n">
        <v>2025</v>
      </c>
      <c r="E12" s="89" t="inlineStr">
        <is>
          <t>Taylor &amp; Francis</t>
        </is>
      </c>
      <c r="F12" s="57" t="inlineStr">
        <is>
          <t>https://www.tandfonline.com/doi/full/10.1080/17483107.2025.2463541</t>
        </is>
      </c>
      <c r="G12" s="118" t="inlineStr">
        <is>
          <t>X</t>
        </is>
      </c>
      <c r="H12" s="72" t="inlineStr">
        <is>
          <t>Excluded</t>
        </is>
      </c>
      <c r="I12" s="49" t="inlineStr">
        <is>
          <t>This paper is excluded because it does not meet the required publisher criteria.</t>
        </is>
      </c>
      <c r="J12" s="118" t="inlineStr">
        <is>
          <t>X</t>
        </is>
      </c>
      <c r="K12" s="118" t="inlineStr">
        <is>
          <t>X</t>
        </is>
      </c>
    </row>
    <row r="13" ht="116.25" customHeight="1" s="270">
      <c r="A13" s="382" t="n"/>
      <c r="B13" s="61" t="inlineStr">
        <is>
          <t>https://dx.doi.org/10.1109/ACCESS.2024.3419102</t>
        </is>
      </c>
      <c r="C13" s="69" t="inlineStr">
        <is>
          <t>Impact of Device and Environment on
Visual-Auditory Sensory Substitution:
A Comprehensive Behavioral
Analysis Using the vOICe
Algorithm</t>
        </is>
      </c>
      <c r="D13" s="69" t="n">
        <v>2024</v>
      </c>
      <c r="E13" s="90" t="inlineStr">
        <is>
          <t>IEEE</t>
        </is>
      </c>
      <c r="F13" s="68" t="inlineStr">
        <is>
          <t>https://ieeexplore.ieee.org/document/10571914/</t>
        </is>
      </c>
      <c r="G13" s="271" t="n"/>
      <c r="H13" s="75" t="inlineStr">
        <is>
          <t xml:space="preserve">included </t>
        </is>
      </c>
      <c r="I13" s="271" t="n"/>
      <c r="J13" s="271" t="n"/>
      <c r="K13" s="271" t="n"/>
      <c r="L13" s="56" t="inlineStr">
        <is>
          <t>Sensory Substitution</t>
        </is>
      </c>
      <c r="M13" s="43" t="inlineStr">
        <is>
          <t>#LiDAR, #obstacle-detection, #distance-sensing, #force-feedback, #robotics, #embedded-systems</t>
        </is>
      </c>
    </row>
    <row r="14" ht="81" customHeight="1" s="270">
      <c r="A14" s="383" t="inlineStr">
        <is>
          <t xml:space="preserve">salma </t>
        </is>
      </c>
    </row>
    <row r="15" ht="102.75" customHeight="1" s="270">
      <c r="A15" s="382" t="n"/>
    </row>
    <row r="16" ht="98.25" customHeight="1" s="270">
      <c r="A16" s="382" t="n"/>
    </row>
    <row r="17" ht="111.75" customHeight="1" s="270">
      <c r="A17" s="382" t="n"/>
    </row>
    <row r="18" ht="102" customHeight="1" s="270">
      <c r="A18" s="382" t="n"/>
    </row>
    <row r="19" ht="30.75" customHeight="1" s="270">
      <c r="A19" s="382" t="n"/>
      <c r="B19" s="272">
        <f>IF(C19="","","PID-"&amp;TEXT(ROW()-2,"0000"))</f>
        <v/>
      </c>
      <c r="D19" s="272" t="n"/>
      <c r="F19" s="272" t="n"/>
      <c r="G19" s="272" t="n"/>
    </row>
    <row r="20" ht="60.75" customHeight="1" s="270">
      <c r="A20" s="382" t="n"/>
      <c r="B20" s="272">
        <f>IF(C20="","","PID-"&amp;TEXT(ROW()-2,"0000"))</f>
        <v/>
      </c>
      <c r="D20" s="272" t="n"/>
      <c r="F20" s="272" t="n"/>
      <c r="G20" s="272" t="n"/>
    </row>
    <row r="21">
      <c r="A21" s="382" t="n"/>
      <c r="B21" s="272">
        <f>IF(C21="","","PID-"&amp;TEXT(ROW()-2,"0000"))</f>
        <v/>
      </c>
      <c r="D21" s="272" t="n"/>
      <c r="F21" s="272" t="n"/>
      <c r="G21" s="272" t="n"/>
    </row>
    <row r="22" ht="30.75" customHeight="1" s="270">
      <c r="A22" s="382" t="n"/>
      <c r="B22" s="272">
        <f>IF(C22="","","PID-"&amp;TEXT(ROW()-2,"0000"))</f>
        <v/>
      </c>
      <c r="D22" s="272" t="n"/>
      <c r="F22" s="272" t="n"/>
      <c r="G22" s="272" t="n"/>
    </row>
    <row r="23" ht="30.75" customHeight="1" s="270">
      <c r="A23" s="382" t="n"/>
      <c r="B23" s="272">
        <f>IF(C23="","","PID-"&amp;TEXT(ROW()-2,"0000"))</f>
        <v/>
      </c>
      <c r="D23" s="272" t="n"/>
      <c r="F23" s="272" t="n"/>
      <c r="G23" s="272" t="n"/>
    </row>
    <row r="24" ht="16.5" customHeight="1" s="270">
      <c r="A24" s="382" t="n"/>
      <c r="B24" s="272">
        <f>IF(C24="","","PID-"&amp;TEXT(ROW()-2,"0000"))</f>
        <v/>
      </c>
      <c r="D24" s="272" t="n"/>
      <c r="F24" s="272" t="n"/>
      <c r="G24" s="272" t="n"/>
    </row>
    <row r="25" ht="16.5" customFormat="1" customHeight="1" s="185">
      <c r="A25" s="384" t="n"/>
      <c r="B25" s="272">
        <f>IF(C25="","","PID-"&amp;TEXT(ROW()-2,"0000"))</f>
        <v/>
      </c>
      <c r="C25" s="272" t="n"/>
      <c r="D25" s="272" t="n"/>
      <c r="E25" s="187" t="n"/>
      <c r="F25" s="272" t="n"/>
      <c r="G25" s="272" t="n"/>
    </row>
    <row r="26" ht="16.5" customHeight="1" s="270">
      <c r="A26" s="383" t="inlineStr">
        <is>
          <t xml:space="preserve">Taha </t>
        </is>
      </c>
      <c r="B26" s="272">
        <f>IF(C26="","","PID-"&amp;TEXT(ROW()-2,"0000"))</f>
        <v/>
      </c>
      <c r="C26" s="272" t="n"/>
      <c r="D26" s="272" t="n"/>
      <c r="E26" s="255" t="n"/>
      <c r="F26" s="272" t="n"/>
      <c r="G26" s="272" t="n"/>
      <c r="N26" s="56" t="n"/>
      <c r="O26" s="56" t="n"/>
      <c r="P26" s="56" t="n"/>
    </row>
    <row r="27">
      <c r="A27" s="382" t="n"/>
      <c r="B27" s="272">
        <f>IF(C27="","","PID-"&amp;TEXT(ROW()-2,"0000"))</f>
        <v/>
      </c>
      <c r="C27" s="272" t="n"/>
      <c r="D27" s="272" t="n"/>
      <c r="E27" s="255" t="n"/>
      <c r="F27" s="272" t="n"/>
      <c r="G27" s="272" t="n"/>
      <c r="N27" s="56" t="n"/>
      <c r="O27" s="56" t="n"/>
      <c r="P27" s="56" t="n"/>
    </row>
    <row r="28">
      <c r="A28" s="382" t="n"/>
      <c r="B28" s="272">
        <f>IF(C28="","","PID-"&amp;TEXT(ROW()-2,"0000"))</f>
        <v/>
      </c>
      <c r="C28" s="272" t="n"/>
      <c r="D28" s="272" t="n"/>
      <c r="E28" s="255" t="n"/>
      <c r="F28" s="272" t="n"/>
      <c r="G28" s="272" t="n"/>
      <c r="N28" s="56" t="n"/>
      <c r="O28" s="56" t="n"/>
      <c r="P28" s="56" t="n"/>
    </row>
    <row r="29">
      <c r="A29" s="382" t="n"/>
      <c r="B29" s="272">
        <f>IF(C29="","","PID-"&amp;TEXT(ROW()-2,"0000"))</f>
        <v/>
      </c>
      <c r="C29" s="272" t="n"/>
      <c r="D29" s="272" t="n"/>
      <c r="E29" s="255" t="n"/>
      <c r="F29" s="272" t="n"/>
      <c r="G29" s="272" t="n"/>
      <c r="N29" s="56" t="n"/>
      <c r="O29" s="56" t="n"/>
      <c r="P29" s="56" t="n"/>
    </row>
    <row r="30" ht="26.25" customHeight="1" s="270">
      <c r="A30" s="382" t="n"/>
      <c r="B30" s="272">
        <f>IF(C30="","","PID-"&amp;TEXT(ROW()-2,"0000"))</f>
        <v/>
      </c>
      <c r="C30" s="272" t="n"/>
      <c r="D30" s="272" t="n"/>
      <c r="E30" s="255" t="n"/>
      <c r="F30" s="272" t="n"/>
      <c r="G30" s="272" t="n"/>
      <c r="N30" s="56" t="n"/>
      <c r="O30" s="56" t="n"/>
      <c r="P30" s="56" t="n"/>
    </row>
    <row r="31" ht="16.5" customHeight="1" s="270">
      <c r="A31" s="382" t="n"/>
      <c r="B31" s="272">
        <f>IF(C31="","","PID-"&amp;TEXT(ROW()-2,"0000"))</f>
        <v/>
      </c>
      <c r="C31" s="272" t="n"/>
      <c r="D31" s="272" t="n"/>
      <c r="E31" s="255" t="n"/>
      <c r="F31" s="272" t="n"/>
      <c r="G31" s="272" t="n"/>
      <c r="N31" s="56" t="n"/>
      <c r="O31" s="56" t="n"/>
      <c r="P31" s="56" t="n"/>
    </row>
    <row r="32">
      <c r="A32" s="382" t="n"/>
      <c r="B32" s="272">
        <f>IF(C32="","","PID-"&amp;TEXT(ROW()-2,"0000"))</f>
        <v/>
      </c>
      <c r="C32" s="272" t="n"/>
      <c r="D32" s="272" t="n"/>
      <c r="E32" s="255" t="n"/>
      <c r="F32" s="272" t="n"/>
      <c r="G32" s="272" t="n"/>
      <c r="N32" s="56" t="n"/>
      <c r="O32" s="56" t="n"/>
      <c r="P32" s="56" t="n"/>
    </row>
    <row r="33">
      <c r="A33" s="382" t="n"/>
      <c r="B33" s="272">
        <f>IF(C33="","","PID-"&amp;TEXT(ROW()-2,"0000"))</f>
        <v/>
      </c>
      <c r="C33" s="272" t="n"/>
      <c r="D33" s="272" t="n"/>
      <c r="E33" s="255" t="n"/>
      <c r="F33" s="272" t="n"/>
      <c r="G33" s="272" t="n"/>
      <c r="N33" s="56" t="n"/>
      <c r="O33" s="56" t="n"/>
      <c r="P33" s="56" t="n"/>
      <c r="BC33" s="246" t="n"/>
      <c r="BD33" s="246" t="n"/>
    </row>
    <row r="34">
      <c r="A34" s="382" t="n"/>
      <c r="B34" s="272">
        <f>IF(C34="","","PID-"&amp;TEXT(ROW()-2,"0000"))</f>
        <v/>
      </c>
      <c r="C34" s="272" t="n"/>
      <c r="D34" s="272" t="n"/>
      <c r="E34" s="255" t="n"/>
      <c r="F34" s="272" t="n"/>
      <c r="G34" s="272" t="n"/>
      <c r="N34" s="56" t="n"/>
      <c r="O34" s="56" t="n"/>
      <c r="P34" s="56" t="n"/>
    </row>
    <row r="35" ht="25.5" customHeight="1" s="270">
      <c r="A35" s="382" t="n"/>
      <c r="B35" s="272">
        <f>IF(C35="","","PID-"&amp;TEXT(ROW()-2,"0000"))</f>
        <v/>
      </c>
      <c r="C35" s="272" t="n"/>
      <c r="D35" s="272" t="n"/>
      <c r="E35" s="255" t="n"/>
      <c r="F35" s="272" t="n"/>
      <c r="G35" s="272" t="n"/>
      <c r="N35" s="56" t="n"/>
      <c r="O35" s="56" t="n"/>
      <c r="P35" s="56" t="n"/>
    </row>
    <row r="36">
      <c r="A36" s="382" t="n"/>
      <c r="B36" s="272">
        <f>IF(C36="","","PID-"&amp;TEXT(ROW()-2,"0000"))</f>
        <v/>
      </c>
      <c r="C36" s="272" t="n"/>
      <c r="D36" s="272" t="n"/>
      <c r="E36" s="255" t="n"/>
      <c r="F36" s="272" t="n"/>
      <c r="G36" s="272" t="n"/>
      <c r="N36" s="56" t="n"/>
      <c r="O36" s="56" t="n"/>
      <c r="P36" s="56" t="n"/>
    </row>
    <row r="37">
      <c r="A37" s="384" t="n"/>
      <c r="B37" s="272">
        <f>IF(C37="","","PID-"&amp;TEXT(ROW()-2,"0000"))</f>
        <v/>
      </c>
      <c r="C37" s="272" t="n"/>
      <c r="D37" s="272" t="n"/>
      <c r="E37" s="255" t="n"/>
      <c r="F37" s="272" t="n"/>
      <c r="G37" s="272" t="n"/>
      <c r="N37" s="56" t="n"/>
      <c r="O37" s="56" t="n"/>
      <c r="P37" s="56" t="n"/>
    </row>
    <row r="38" ht="96" customFormat="1" customHeight="1" s="56">
      <c r="A38" s="353" t="inlineStr">
        <is>
          <t>Abdalah</t>
        </is>
      </c>
      <c r="B38" s="272">
        <f>IF(C38="","","PID-"&amp;TEXT(ROW()-2,"0000"))</f>
        <v/>
      </c>
      <c r="C38" s="272" t="n"/>
      <c r="D38" s="272" t="n"/>
      <c r="E38" s="255" t="n"/>
      <c r="F38" s="272" t="n"/>
      <c r="G38" s="272" t="n"/>
    </row>
    <row r="39" ht="141" customFormat="1" customHeight="1" s="56">
      <c r="A39" s="381" t="n"/>
      <c r="B39" s="272">
        <f>IF(C39="","","PID-"&amp;TEXT(ROW()-2,"0000"))</f>
        <v/>
      </c>
      <c r="C39" s="272" t="n"/>
      <c r="D39" s="272" t="n"/>
      <c r="E39" s="255" t="n"/>
      <c r="F39" s="272" t="n"/>
      <c r="G39" s="272" t="n"/>
    </row>
    <row r="40" ht="87.75" customFormat="1" customHeight="1" s="56">
      <c r="A40" s="381" t="n"/>
      <c r="B40" s="272">
        <f>IF(C40="","","PID-"&amp;TEXT(ROW()-2,"0000"))</f>
        <v/>
      </c>
      <c r="C40" s="272" t="n"/>
      <c r="D40" s="272" t="n"/>
      <c r="E40" s="255" t="n"/>
      <c r="F40" s="272" t="n"/>
      <c r="G40" s="272" t="n"/>
    </row>
    <row r="41" ht="81" customHeight="1" s="270">
      <c r="A41" s="381" t="n"/>
      <c r="B41" s="272">
        <f>IF(C41="","","PID-"&amp;TEXT(ROW()-2,"0000"))</f>
        <v/>
      </c>
      <c r="C41" s="272" t="n"/>
      <c r="D41" s="272" t="n"/>
      <c r="E41" s="255" t="n"/>
      <c r="F41" s="272" t="n"/>
      <c r="G41" s="272" t="n"/>
    </row>
    <row r="42" ht="73.5" customHeight="1" s="270">
      <c r="A42" s="381" t="n"/>
      <c r="B42" s="272">
        <f>IF(C42="","","PID-"&amp;TEXT(ROW()-2,"0000"))</f>
        <v/>
      </c>
      <c r="C42" s="272" t="n"/>
      <c r="D42" s="272" t="n"/>
      <c r="E42" s="255" t="n"/>
      <c r="F42" s="272" t="n"/>
      <c r="G42" s="272" t="n"/>
    </row>
    <row r="43" ht="84.75" customHeight="1" s="270">
      <c r="A43" s="381" t="n"/>
      <c r="B43" s="272">
        <f>IF(C43="","","PID-"&amp;TEXT(ROW()-2,"0000"))</f>
        <v/>
      </c>
      <c r="C43" s="272" t="n"/>
      <c r="D43" s="272" t="n"/>
      <c r="E43" s="255" t="n"/>
      <c r="F43" s="272" t="n"/>
      <c r="G43" s="272" t="n"/>
    </row>
    <row r="44" ht="78" customHeight="1" s="270">
      <c r="A44" s="381" t="n"/>
      <c r="B44" s="272">
        <f>IF(C44="","","PID-"&amp;TEXT(ROW()-2,"0000"))</f>
        <v/>
      </c>
      <c r="C44" s="272" t="n"/>
      <c r="D44" s="272" t="n"/>
      <c r="E44" s="255" t="n"/>
      <c r="F44" s="272" t="n"/>
      <c r="G44" s="272" t="n"/>
    </row>
    <row r="45" ht="77.25" customHeight="1" s="270">
      <c r="A45" s="381" t="n"/>
      <c r="B45" s="272">
        <f>IF(C45="","","PID-"&amp;TEXT(ROW()-2,"0000"))</f>
        <v/>
      </c>
      <c r="C45" s="272" t="n"/>
      <c r="D45" s="272" t="n"/>
      <c r="E45" s="255" t="n"/>
      <c r="F45" s="272" t="n"/>
      <c r="G45" s="272" t="n"/>
    </row>
    <row r="46" ht="89.25" customHeight="1" s="270">
      <c r="A46" s="381" t="n"/>
      <c r="B46" s="272">
        <f>IF(C46="","","PID-"&amp;TEXT(ROW()-2,"0000"))</f>
        <v/>
      </c>
      <c r="C46" s="272" t="n"/>
      <c r="D46" s="272" t="n"/>
      <c r="E46" s="255" t="n"/>
      <c r="F46" s="272" t="n"/>
      <c r="G46" s="272" t="n"/>
    </row>
    <row r="47" ht="96.75" customHeight="1" s="270">
      <c r="A47" s="381" t="n"/>
      <c r="B47" s="272">
        <f>IF(C47="","","PID-"&amp;TEXT(ROW()-2,"0000"))</f>
        <v/>
      </c>
      <c r="C47" s="272" t="n"/>
      <c r="D47" s="272" t="n"/>
      <c r="E47" s="255" t="n"/>
      <c r="F47" s="272" t="n"/>
      <c r="G47" s="272" t="n"/>
    </row>
    <row r="48" ht="68.25" customHeight="1" s="270">
      <c r="A48" s="381" t="n"/>
      <c r="B48" s="272">
        <f>IF(C48="","","PID-"&amp;TEXT(ROW()-2,"0000"))</f>
        <v/>
      </c>
      <c r="C48" s="272" t="n"/>
      <c r="D48" s="272" t="n"/>
      <c r="E48" s="255" t="n"/>
      <c r="F48" s="272" t="n"/>
      <c r="G48" s="272" t="n"/>
    </row>
    <row r="49" ht="93" customHeight="1" s="270">
      <c r="A49" s="381" t="n"/>
      <c r="B49" s="272">
        <f>IF(C49="","","PID-"&amp;TEXT(ROW()-2,"0000"))</f>
        <v/>
      </c>
      <c r="C49" s="272" t="n"/>
      <c r="D49" s="272" t="n"/>
      <c r="E49" s="255" t="n"/>
      <c r="F49" s="272" t="n"/>
      <c r="G49" s="272" t="n"/>
    </row>
    <row r="50" ht="168.75" customHeight="1" s="270">
      <c r="A50" s="357" t="inlineStr">
        <is>
          <t>Habiba</t>
        </is>
      </c>
      <c r="B50" s="272">
        <f>IF(C50="","","PID-"&amp;TEXT(ROW()-2,"0000"))</f>
        <v/>
      </c>
      <c r="C50" s="272" t="n"/>
      <c r="D50" s="272" t="n"/>
      <c r="E50" s="255" t="n"/>
      <c r="F50" s="272" t="n"/>
      <c r="G50" s="272" t="n"/>
    </row>
    <row r="51" ht="66" customHeight="1" s="270">
      <c r="A51" s="381" t="n"/>
      <c r="B51" s="272">
        <f>IF(C51="","","PID-"&amp;TEXT(ROW()-2,"0000"))</f>
        <v/>
      </c>
      <c r="C51" s="272" t="n"/>
      <c r="D51" s="272" t="n"/>
      <c r="E51" s="255" t="n"/>
      <c r="F51" s="272" t="n"/>
      <c r="G51" s="272" t="n"/>
    </row>
    <row r="52">
      <c r="A52" s="381" t="n"/>
      <c r="B52" s="272">
        <f>IF(C52="","","PID-"&amp;TEXT(ROW()-2,"0000"))</f>
        <v/>
      </c>
      <c r="C52" s="272" t="n"/>
      <c r="D52" s="272" t="n"/>
      <c r="E52" s="255" t="n"/>
      <c r="F52" s="272" t="n"/>
      <c r="G52" s="272" t="n"/>
    </row>
    <row r="53" ht="73.5" customHeight="1" s="270">
      <c r="A53" s="381" t="n"/>
      <c r="B53" s="272">
        <f>IF(C53="","","PID-"&amp;TEXT(ROW()-2,"0000"))</f>
        <v/>
      </c>
      <c r="C53" s="272" t="n"/>
      <c r="D53" s="272" t="n"/>
      <c r="E53" s="255" t="n"/>
      <c r="F53" s="272" t="n"/>
      <c r="G53" s="272" t="n"/>
    </row>
    <row r="54">
      <c r="A54" s="381" t="n"/>
      <c r="B54" s="272">
        <f>IF(C54="","","PID-"&amp;TEXT(ROW()-2,"0000"))</f>
        <v/>
      </c>
      <c r="C54" s="272" t="n"/>
      <c r="D54" s="272" t="n"/>
      <c r="E54" s="255" t="n"/>
      <c r="F54" s="272" t="n"/>
      <c r="G54" s="272" t="n"/>
    </row>
    <row r="55" ht="57.75" customHeight="1" s="270">
      <c r="A55" s="381" t="n"/>
      <c r="B55" s="272">
        <f>IF(C55="","","PID-"&amp;TEXT(ROW()-2,"0000"))</f>
        <v/>
      </c>
      <c r="C55" s="272" t="n"/>
      <c r="D55" s="272" t="n"/>
      <c r="E55" s="255" t="n"/>
      <c r="F55" s="272" t="n"/>
      <c r="G55" s="272" t="n"/>
    </row>
    <row r="56" ht="69.75" customHeight="1" s="270">
      <c r="A56" s="381" t="n"/>
      <c r="B56" s="272">
        <f>IF(C56="","","PID-"&amp;TEXT(ROW()-2,"0000"))</f>
        <v/>
      </c>
      <c r="C56" s="272" t="n"/>
      <c r="D56" s="272" t="n"/>
      <c r="E56" s="255" t="n"/>
      <c r="F56" s="272" t="n"/>
      <c r="G56" s="272" t="n"/>
    </row>
    <row r="57" ht="59.25" customHeight="1" s="270">
      <c r="A57" s="381" t="n"/>
      <c r="B57" s="272">
        <f>IF(C57="","","PID-"&amp;TEXT(ROW()-2,"0000"))</f>
        <v/>
      </c>
      <c r="C57" s="272" t="n"/>
      <c r="D57" s="272" t="n"/>
      <c r="E57" s="255" t="n"/>
      <c r="F57" s="272" t="n"/>
      <c r="G57" s="272" t="n"/>
    </row>
    <row r="58" ht="45.75" customHeight="1" s="270">
      <c r="A58" s="381" t="n"/>
      <c r="B58" s="272">
        <f>IF(C58="","","PID-"&amp;TEXT(ROW()-2,"0000"))</f>
        <v/>
      </c>
      <c r="C58" s="272" t="n"/>
      <c r="D58" s="272" t="n"/>
      <c r="E58" s="255" t="n"/>
      <c r="F58" s="272" t="n"/>
      <c r="G58" s="272" t="n"/>
    </row>
    <row r="59" ht="66.75" customHeight="1" s="270">
      <c r="A59" s="381" t="n"/>
      <c r="B59" s="272">
        <f>IF(C59="","","PID-"&amp;TEXT(ROW()-2,"0000"))</f>
        <v/>
      </c>
      <c r="C59" s="272" t="n"/>
      <c r="D59" s="272" t="n"/>
      <c r="E59" s="255" t="n"/>
      <c r="F59" s="272" t="n"/>
      <c r="G59" s="272" t="n"/>
    </row>
    <row r="60" ht="84.75" customHeight="1" s="270">
      <c r="A60" s="381" t="n"/>
      <c r="B60" s="272">
        <f>IF(C60="","","PID-"&amp;TEXT(ROW()-2,"0000"))</f>
        <v/>
      </c>
      <c r="C60" s="272" t="n"/>
      <c r="D60" s="272" t="n"/>
      <c r="E60" s="255" t="n"/>
      <c r="F60" s="272" t="n"/>
      <c r="G60" s="272" t="n"/>
    </row>
    <row r="61" ht="124.5" customHeight="1" s="270">
      <c r="A61" s="381" t="n"/>
      <c r="B61" s="272">
        <f>IF(C61="","","PID-"&amp;TEXT(ROW()-2,"0000"))</f>
        <v/>
      </c>
      <c r="C61" s="272" t="n"/>
      <c r="D61" s="272" t="n"/>
      <c r="E61" s="255" t="n"/>
      <c r="F61" s="272" t="n"/>
      <c r="G61" s="272" t="n"/>
    </row>
    <row r="62">
      <c r="A62" s="353" t="inlineStr">
        <is>
          <t>Hend</t>
        </is>
      </c>
      <c r="B62" s="272">
        <f>IF(C62="","","PID-"&amp;TEXT(ROW()-2,"0000"))</f>
        <v/>
      </c>
      <c r="C62" s="272" t="n"/>
      <c r="D62" s="272" t="n"/>
      <c r="E62" s="255" t="n"/>
      <c r="F62" s="272" t="n"/>
      <c r="G62" s="272" t="n"/>
    </row>
    <row r="63">
      <c r="A63" s="381" t="n"/>
      <c r="B63" s="272">
        <f>IF(C63="","","PID-"&amp;TEXT(ROW()-2,"0000"))</f>
        <v/>
      </c>
      <c r="C63" s="272" t="n"/>
      <c r="D63" s="272" t="n"/>
      <c r="E63" s="255" t="n"/>
      <c r="F63" s="272" t="n"/>
      <c r="G63" s="272" t="n"/>
    </row>
    <row r="64">
      <c r="A64" s="381" t="n"/>
      <c r="B64" s="272">
        <f>IF(C64="","","PID-"&amp;TEXT(ROW()-2,"0000"))</f>
        <v/>
      </c>
      <c r="C64" s="272" t="n"/>
      <c r="D64" s="272" t="n"/>
      <c r="E64" s="255" t="n"/>
      <c r="F64" s="272" t="n"/>
      <c r="G64" s="272" t="n"/>
    </row>
    <row r="65">
      <c r="A65" s="381" t="n"/>
      <c r="B65" s="272">
        <f>IF(C65="","","PID-"&amp;TEXT(ROW()-2,"0000"))</f>
        <v/>
      </c>
      <c r="C65" s="272" t="n"/>
      <c r="D65" s="272" t="n"/>
      <c r="E65" s="255" t="n"/>
      <c r="F65" s="272" t="n"/>
      <c r="G65" s="272" t="n"/>
    </row>
    <row r="66">
      <c r="A66" s="381" t="n"/>
      <c r="B66" s="272">
        <f>IF(C66="","","PID-"&amp;TEXT(ROW()-2,"0000"))</f>
        <v/>
      </c>
      <c r="C66" s="272" t="n"/>
      <c r="D66" s="272" t="n"/>
      <c r="E66" s="255" t="n"/>
      <c r="F66" s="272" t="n"/>
      <c r="G66" s="272" t="n"/>
    </row>
    <row r="67">
      <c r="A67" s="381" t="n"/>
      <c r="B67" s="272">
        <f>IF(C67="","","PID-"&amp;TEXT(ROW()-2,"0000"))</f>
        <v/>
      </c>
      <c r="C67" s="272" t="n"/>
      <c r="D67" s="272" t="n"/>
      <c r="E67" s="255" t="n"/>
      <c r="F67" s="272" t="n"/>
      <c r="G67" s="272" t="n"/>
    </row>
    <row r="68">
      <c r="A68" s="381" t="n"/>
      <c r="B68" s="272">
        <f>IF(C68="","","PID-"&amp;TEXT(ROW()-2,"0000"))</f>
        <v/>
      </c>
      <c r="C68" s="272" t="n"/>
      <c r="D68" s="272" t="n"/>
      <c r="E68" s="255" t="n"/>
      <c r="F68" s="272" t="n"/>
      <c r="G68" s="272" t="n"/>
    </row>
    <row r="69">
      <c r="A69" s="381" t="n"/>
      <c r="B69" s="272">
        <f>IF(C69="","","PID-"&amp;TEXT(ROW()-2,"0000"))</f>
        <v/>
      </c>
      <c r="C69" s="272" t="n"/>
      <c r="D69" s="272" t="n"/>
      <c r="E69" s="255" t="n"/>
      <c r="F69" s="272" t="n"/>
      <c r="G69" s="272" t="n"/>
    </row>
    <row r="70">
      <c r="A70" s="381" t="n"/>
      <c r="B70" s="272">
        <f>IF(C70="","","PID-"&amp;TEXT(ROW()-2,"0000"))</f>
        <v/>
      </c>
      <c r="C70" s="272" t="n"/>
      <c r="D70" s="272" t="n"/>
      <c r="E70" s="255" t="n"/>
      <c r="F70" s="272" t="n"/>
      <c r="G70" s="272" t="n"/>
    </row>
    <row r="71">
      <c r="A71" s="381" t="n"/>
      <c r="B71" s="272">
        <f>IF(C71="","","PID-"&amp;TEXT(ROW()-2,"0000"))</f>
        <v/>
      </c>
      <c r="C71" s="272" t="n"/>
      <c r="D71" s="272" t="n"/>
      <c r="E71" s="255" t="n"/>
      <c r="F71" s="272" t="n"/>
      <c r="G71" s="272" t="n"/>
    </row>
    <row r="72">
      <c r="A72" s="381" t="n"/>
      <c r="B72" s="272">
        <f>IF(C72="","","PID-"&amp;TEXT(ROW()-2,"0000"))</f>
        <v/>
      </c>
      <c r="C72" s="272" t="n"/>
      <c r="D72" s="272" t="n"/>
      <c r="E72" s="255" t="n"/>
      <c r="F72" s="272" t="n"/>
      <c r="G72" s="272" t="n"/>
    </row>
    <row r="73">
      <c r="A73" s="381" t="n"/>
      <c r="B73" s="272">
        <f>IF(C73="","","PID-"&amp;TEXT(ROW()-2,"0000"))</f>
        <v/>
      </c>
      <c r="C73" s="272" t="n"/>
      <c r="D73" s="272" t="n"/>
      <c r="E73" s="255" t="n"/>
      <c r="F73" s="272" t="n"/>
      <c r="G73" s="272" t="n"/>
    </row>
    <row r="74">
      <c r="A74" s="353" t="inlineStr">
        <is>
          <t>mostafa</t>
        </is>
      </c>
      <c r="B74" s="272">
        <f>IF(C74="","","PID-"&amp;TEXT(ROW()-2,"0000"))</f>
        <v/>
      </c>
      <c r="C74" s="272" t="n"/>
      <c r="D74" s="272" t="n"/>
      <c r="E74" s="255" t="n"/>
      <c r="F74" s="272" t="n"/>
      <c r="G74" s="272" t="n"/>
    </row>
    <row r="75">
      <c r="A75" s="381" t="n"/>
      <c r="B75" s="272">
        <f>IF(C75="","","PID-"&amp;TEXT(ROW()-2,"0000"))</f>
        <v/>
      </c>
      <c r="C75" s="272" t="n"/>
      <c r="D75" s="272" t="n"/>
      <c r="E75" s="255" t="n"/>
      <c r="F75" s="272" t="n"/>
      <c r="G75" s="272" t="n"/>
    </row>
    <row r="76">
      <c r="A76" s="381" t="n"/>
      <c r="B76" s="272">
        <f>IF(C76="","","PID-"&amp;TEXT(ROW()-2,"0000"))</f>
        <v/>
      </c>
      <c r="C76" s="272" t="n"/>
      <c r="D76" s="272" t="n"/>
      <c r="E76" s="255" t="n"/>
      <c r="F76" s="272" t="n"/>
      <c r="G76" s="272" t="n"/>
    </row>
    <row r="77">
      <c r="A77" s="381" t="n"/>
      <c r="B77" s="272">
        <f>IF(C77="","","PID-"&amp;TEXT(ROW()-2,"0000"))</f>
        <v/>
      </c>
      <c r="C77" s="272" t="n"/>
      <c r="D77" s="272" t="n"/>
      <c r="E77" s="255" t="n"/>
      <c r="F77" s="272" t="n"/>
      <c r="G77" s="272" t="n"/>
      <c r="N77" s="272" t="n"/>
    </row>
    <row r="78">
      <c r="A78" s="381" t="n"/>
      <c r="B78" s="272">
        <f>IF(C78="","","PID-"&amp;TEXT(ROW()-2,"0000"))</f>
        <v/>
      </c>
      <c r="C78" s="272" t="n"/>
      <c r="D78" s="272" t="n"/>
      <c r="E78" s="255" t="n"/>
      <c r="F78" s="272" t="n"/>
      <c r="G78" s="272" t="n"/>
    </row>
    <row r="79" ht="60.75" customHeight="1" s="270">
      <c r="A79" s="381" t="n"/>
      <c r="B79" s="272">
        <f>IF(C79="","","PID-"&amp;TEXT(ROW()-2,"0000"))</f>
        <v/>
      </c>
      <c r="C79" s="272" t="n"/>
      <c r="D79" s="272" t="n"/>
      <c r="E79" s="255" t="n"/>
      <c r="F79" s="272" t="n"/>
      <c r="G79" s="272" t="n"/>
    </row>
    <row r="80" ht="60.75" customHeight="1" s="270">
      <c r="A80" s="381" t="n"/>
      <c r="B80" s="272">
        <f>IF(C80="","","PID-"&amp;TEXT(ROW()-2,"0000"))</f>
        <v/>
      </c>
      <c r="C80" s="272" t="n"/>
      <c r="D80" s="272" t="n"/>
      <c r="E80" s="255" t="n"/>
      <c r="F80" s="272" t="n"/>
      <c r="G80" s="272" t="n"/>
    </row>
    <row r="81">
      <c r="A81" s="381" t="n"/>
      <c r="B81" s="272">
        <f>IF(C81="","","PID-"&amp;TEXT(ROW()-2,"0000"))</f>
        <v/>
      </c>
      <c r="C81" s="272" t="n"/>
      <c r="D81" s="272" t="n"/>
      <c r="E81" s="255" t="n"/>
      <c r="F81" s="272" t="n"/>
      <c r="G81" s="272" t="n"/>
    </row>
    <row r="82">
      <c r="A82" s="381" t="n"/>
      <c r="B82" s="272">
        <f>IF(C82="","","PID-"&amp;TEXT(ROW()-2,"0000"))</f>
        <v/>
      </c>
      <c r="C82" s="272" t="n"/>
      <c r="D82" s="272" t="n"/>
      <c r="E82" s="255" t="n"/>
      <c r="F82" s="272" t="n"/>
      <c r="G82" s="272" t="n"/>
    </row>
    <row r="83">
      <c r="A83" s="381" t="n"/>
      <c r="B83" s="272">
        <f>IF(C83="","","PID-"&amp;TEXT(ROW()-2,"0000"))</f>
        <v/>
      </c>
      <c r="C83" s="272" t="n"/>
      <c r="D83" s="272" t="n"/>
      <c r="E83" s="255" t="n"/>
      <c r="F83" s="272" t="n"/>
      <c r="G83" s="272" t="n"/>
    </row>
    <row r="84" ht="15" customHeight="1" s="270">
      <c r="A84" s="381" t="n"/>
      <c r="B84" s="272">
        <f>IF(C84="","","PID-"&amp;TEXT(ROW()-2,"0000"))</f>
        <v/>
      </c>
      <c r="C84" s="272" t="n"/>
      <c r="D84" s="272" t="n"/>
      <c r="E84" s="255" t="n"/>
      <c r="F84" s="272" t="n"/>
      <c r="G84" s="272" t="n"/>
    </row>
    <row r="85" ht="33.75" customHeight="1" s="270">
      <c r="A85" s="250" t="n"/>
      <c r="B85" s="272">
        <f>IF(C85="","","PID-"&amp;TEXT(ROW()-2,"0000"))</f>
        <v/>
      </c>
      <c r="C85" s="272" t="n"/>
      <c r="D85" s="272" t="n"/>
      <c r="E85" s="255" t="n"/>
      <c r="F85" s="272" t="n"/>
      <c r="G85" s="272" t="n"/>
    </row>
    <row r="86">
      <c r="A86" s="358" t="inlineStr">
        <is>
          <t>Farah</t>
        </is>
      </c>
      <c r="B86" s="272">
        <f>IF(C86="","","PID-"&amp;TEXT(ROW()-2,"0000"))</f>
        <v/>
      </c>
      <c r="C86" s="272" t="n"/>
      <c r="D86" s="272" t="n"/>
      <c r="E86" s="255" t="n"/>
      <c r="F86" s="272" t="n"/>
      <c r="G86" s="272" t="n"/>
    </row>
    <row r="87">
      <c r="A87" s="381" t="n"/>
      <c r="B87" s="272">
        <f>IF(C87="","","PID-"&amp;TEXT(ROW()-2,"0000"))</f>
        <v/>
      </c>
      <c r="C87" s="272" t="n"/>
      <c r="D87" s="272" t="n"/>
      <c r="E87" s="255" t="n"/>
      <c r="F87" s="272" t="n"/>
      <c r="G87" s="272" t="n"/>
    </row>
    <row r="88">
      <c r="A88" s="381" t="n"/>
      <c r="B88" s="272">
        <f>IF(C88="","","PID-"&amp;TEXT(ROW()-2,"0000"))</f>
        <v/>
      </c>
      <c r="C88" s="272" t="n"/>
      <c r="D88" s="272" t="n"/>
      <c r="E88" s="255" t="n"/>
      <c r="F88" s="272" t="n"/>
      <c r="G88" s="272" t="n"/>
    </row>
    <row r="89">
      <c r="A89" s="381" t="n"/>
      <c r="B89" s="272">
        <f>IF(C89="","","PID-"&amp;TEXT(ROW()-2,"0000"))</f>
        <v/>
      </c>
      <c r="C89" s="272" t="n"/>
      <c r="D89" s="272" t="n"/>
      <c r="E89" s="255" t="n"/>
      <c r="F89" s="272" t="n"/>
      <c r="G89" s="272" t="n"/>
    </row>
    <row r="90">
      <c r="A90" s="381" t="n"/>
      <c r="B90" s="272">
        <f>IF(C90="","","PID-"&amp;TEXT(ROW()-2,"0000"))</f>
        <v/>
      </c>
      <c r="C90" s="272" t="n"/>
      <c r="D90" s="272" t="n"/>
      <c r="E90" s="255" t="n"/>
      <c r="F90" s="272" t="n"/>
      <c r="G90" s="272" t="n"/>
    </row>
    <row r="91">
      <c r="A91" s="381" t="n"/>
      <c r="B91" s="272">
        <f>IF(C91="","","PID-"&amp;TEXT(ROW()-2,"0000"))</f>
        <v/>
      </c>
      <c r="C91" s="272" t="n"/>
      <c r="D91" s="272" t="n"/>
      <c r="E91" s="255" t="n"/>
      <c r="F91" s="272" t="n"/>
      <c r="G91" s="272" t="n"/>
    </row>
    <row r="92">
      <c r="A92" s="381" t="n"/>
      <c r="B92" s="272">
        <f>IF(C92="","","PID-"&amp;TEXT(ROW()-2,"0000"))</f>
        <v/>
      </c>
      <c r="C92" s="272" t="n"/>
      <c r="D92" s="272" t="n"/>
      <c r="E92" s="255" t="n"/>
      <c r="F92" s="272" t="n"/>
      <c r="G92" s="272" t="n"/>
    </row>
    <row r="93">
      <c r="A93" s="381" t="n"/>
      <c r="B93" s="272">
        <f>IF(C93="","","PID-"&amp;TEXT(ROW()-2,"0000"))</f>
        <v/>
      </c>
      <c r="C93" s="272" t="n"/>
      <c r="D93" s="272" t="n"/>
      <c r="E93" s="255" t="n"/>
      <c r="F93" s="272" t="n"/>
      <c r="G93" s="272" t="n"/>
    </row>
    <row r="94">
      <c r="A94" s="381" t="n"/>
      <c r="B94" s="272">
        <f>IF(C94="","","PID-"&amp;TEXT(ROW()-2,"0000"))</f>
        <v/>
      </c>
      <c r="C94" s="272" t="n"/>
      <c r="D94" s="272" t="n"/>
      <c r="E94" s="255" t="n"/>
      <c r="F94" s="272" t="n"/>
      <c r="G94" s="272" t="n"/>
    </row>
    <row r="95">
      <c r="A95" s="381" t="n"/>
      <c r="B95" s="272">
        <f>IF(C95="","","PID-"&amp;TEXT(ROW()-2,"0000"))</f>
        <v/>
      </c>
      <c r="C95" s="272" t="n"/>
      <c r="D95" s="272" t="n"/>
      <c r="E95" s="255" t="n"/>
      <c r="F95" s="272" t="n"/>
      <c r="G95" s="272" t="n"/>
    </row>
    <row r="96">
      <c r="A96" s="381" t="n"/>
      <c r="B96" s="272">
        <f>IF(C96="","","PID-"&amp;TEXT(ROW()-2,"0000"))</f>
        <v/>
      </c>
      <c r="C96" s="272" t="n"/>
      <c r="D96" s="272" t="n"/>
      <c r="E96" s="255" t="n"/>
      <c r="F96" s="272" t="n"/>
      <c r="G96" s="272" t="n"/>
    </row>
    <row r="97">
      <c r="A97" s="385" t="n"/>
      <c r="B97" s="272">
        <f>IF(C97="","","PID-"&amp;TEXT(ROW()-2,"0000"))</f>
        <v/>
      </c>
      <c r="C97" s="272" t="n"/>
      <c r="D97" s="272" t="n"/>
      <c r="E97" s="255" t="n"/>
      <c r="F97" s="272" t="n"/>
      <c r="G97" s="272" t="n"/>
    </row>
    <row r="98">
      <c r="A98" s="359" t="inlineStr">
        <is>
          <t>Fathy</t>
        </is>
      </c>
      <c r="B98" s="272">
        <f>IF(C98="","","PID-"&amp;TEXT(ROW()-2,"0000"))</f>
        <v/>
      </c>
      <c r="C98" s="272" t="n"/>
      <c r="D98" s="272" t="n"/>
      <c r="E98" s="255" t="n"/>
      <c r="F98" s="272" t="n"/>
      <c r="G98" s="272" t="n"/>
    </row>
    <row r="99">
      <c r="A99" s="381" t="n"/>
      <c r="B99" s="272">
        <f>IF(C99="","","PID-"&amp;TEXT(ROW()-2,"0000"))</f>
        <v/>
      </c>
      <c r="C99" s="272" t="n"/>
      <c r="D99" s="272" t="n"/>
      <c r="E99" s="255" t="n"/>
      <c r="F99" s="272" t="n"/>
      <c r="G99" s="272" t="n"/>
    </row>
    <row r="100">
      <c r="A100" s="381" t="n"/>
      <c r="B100" s="272">
        <f>IF(C100="","","PID-"&amp;TEXT(ROW()-2,"0000"))</f>
        <v/>
      </c>
      <c r="C100" s="272" t="n"/>
      <c r="D100" s="272" t="n"/>
      <c r="E100" s="255" t="n"/>
      <c r="F100" s="272" t="n"/>
      <c r="G100" s="272" t="n"/>
    </row>
    <row r="101">
      <c r="A101" s="381" t="n"/>
      <c r="B101" s="272">
        <f>IF(C101="","","PID-"&amp;TEXT(ROW()-2,"0000"))</f>
        <v/>
      </c>
      <c r="C101" s="272" t="n"/>
      <c r="D101" s="272" t="n"/>
      <c r="E101" s="255" t="n"/>
      <c r="F101" s="272" t="n"/>
      <c r="G101" s="272" t="n"/>
    </row>
    <row r="102">
      <c r="A102" s="381" t="n"/>
      <c r="B102" s="272">
        <f>IF(C102="","","PID-"&amp;TEXT(ROW()-2,"0000"))</f>
        <v/>
      </c>
      <c r="C102" s="272" t="n"/>
      <c r="D102" s="272" t="n"/>
      <c r="E102" s="255" t="n"/>
      <c r="F102" s="272" t="n"/>
      <c r="G102" s="272" t="n"/>
    </row>
    <row r="103">
      <c r="A103" s="381" t="n"/>
      <c r="B103" s="272">
        <f>IF(C103="","","PID-"&amp;TEXT(ROW()-2,"0000"))</f>
        <v/>
      </c>
      <c r="C103" s="272" t="n"/>
      <c r="D103" s="272" t="n"/>
      <c r="E103" s="255" t="n"/>
      <c r="F103" s="272" t="n"/>
      <c r="G103" s="272" t="n"/>
    </row>
    <row r="104">
      <c r="A104" s="381" t="n"/>
      <c r="B104" s="272">
        <f>IF(C104="","","PID-"&amp;TEXT(ROW()-2,"0000"))</f>
        <v/>
      </c>
      <c r="C104" s="272" t="n"/>
      <c r="D104" s="272" t="n"/>
      <c r="E104" s="255" t="n"/>
      <c r="F104" s="272" t="n"/>
      <c r="G104" s="272" t="n"/>
    </row>
    <row r="105">
      <c r="A105" s="381" t="n"/>
      <c r="B105" s="272">
        <f>IF(C105="","","PID-"&amp;TEXT(ROW()-2,"0000"))</f>
        <v/>
      </c>
      <c r="C105" s="272" t="n"/>
      <c r="D105" s="272" t="n"/>
      <c r="E105" s="255" t="n"/>
      <c r="F105" s="272" t="n"/>
      <c r="G105" s="272" t="n"/>
    </row>
    <row r="106">
      <c r="A106" s="381" t="n"/>
      <c r="B106" s="272">
        <f>IF(C106="","","PID-"&amp;TEXT(ROW()-2,"0000"))</f>
        <v/>
      </c>
      <c r="C106" s="272" t="n"/>
      <c r="D106" s="272" t="n"/>
      <c r="E106" s="255" t="n"/>
      <c r="F106" s="272" t="n"/>
      <c r="G106" s="272" t="n"/>
    </row>
    <row r="107">
      <c r="A107" s="381" t="n"/>
      <c r="B107" s="272">
        <f>IF(C107="","","PID-"&amp;TEXT(ROW()-2,"0000"))</f>
        <v/>
      </c>
      <c r="C107" s="272" t="n"/>
      <c r="D107" s="272" t="n"/>
      <c r="E107" s="255" t="n"/>
      <c r="F107" s="272" t="n"/>
      <c r="G107" s="272" t="n"/>
    </row>
    <row r="108">
      <c r="A108" s="381" t="n"/>
      <c r="B108" s="272">
        <f>IF(C108="","","PID-"&amp;TEXT(ROW()-2,"0000"))</f>
        <v/>
      </c>
      <c r="C108" s="272" t="n"/>
      <c r="D108" s="272" t="n"/>
      <c r="E108" s="255" t="n"/>
      <c r="F108" s="272" t="n"/>
      <c r="G108" s="272" t="n"/>
    </row>
    <row r="109">
      <c r="A109" s="381" t="n"/>
      <c r="B109" s="272">
        <f>IF(C109="","","PID-"&amp;TEXT(ROW()-2,"0000"))</f>
        <v/>
      </c>
      <c r="C109" s="272" t="n"/>
      <c r="D109" s="272" t="n"/>
      <c r="E109" s="255" t="n"/>
      <c r="F109" s="272" t="n"/>
      <c r="G109" s="272" t="n"/>
    </row>
    <row r="110">
      <c r="A110" s="353" t="inlineStr">
        <is>
          <t>Ahmed</t>
        </is>
      </c>
      <c r="B110" s="272">
        <f>IF(C110="","","PID-"&amp;TEXT(ROW()-2,"0000"))</f>
        <v/>
      </c>
      <c r="C110" s="272" t="n"/>
      <c r="D110" s="272" t="n"/>
      <c r="E110" s="255" t="n"/>
      <c r="F110" s="272" t="n"/>
      <c r="G110" s="272" t="n"/>
    </row>
    <row r="111">
      <c r="A111" s="381" t="n"/>
      <c r="B111" s="272">
        <f>IF(C111="","","PID-"&amp;TEXT(ROW()-2,"0000"))</f>
        <v/>
      </c>
      <c r="C111" s="272" t="n"/>
      <c r="D111" s="272" t="n"/>
      <c r="E111" s="255" t="n"/>
      <c r="F111" s="272" t="n"/>
      <c r="G111" s="272" t="n"/>
    </row>
    <row r="112">
      <c r="A112" s="381" t="n"/>
      <c r="B112" s="272">
        <f>IF(C112="","","PID-"&amp;TEXT(ROW()-2,"0000"))</f>
        <v/>
      </c>
      <c r="C112" s="272" t="n"/>
      <c r="D112" s="272" t="n"/>
      <c r="E112" s="255" t="n"/>
      <c r="F112" s="272" t="n"/>
      <c r="G112" s="272" t="n"/>
    </row>
    <row r="113">
      <c r="A113" s="381" t="n"/>
      <c r="B113" s="272">
        <f>IF(C113="","","PID-"&amp;TEXT(ROW()-2,"0000"))</f>
        <v/>
      </c>
      <c r="C113" s="272" t="n"/>
      <c r="D113" s="272" t="n"/>
      <c r="E113" s="255" t="n"/>
      <c r="F113" s="272" t="n"/>
      <c r="G113" s="272" t="n"/>
    </row>
    <row r="114">
      <c r="A114" s="381" t="n"/>
      <c r="B114" s="272">
        <f>IF(C114="","","PID-"&amp;TEXT(ROW()-2,"0000"))</f>
        <v/>
      </c>
      <c r="C114" s="272" t="n"/>
      <c r="D114" s="272" t="n"/>
      <c r="E114" s="255" t="n"/>
      <c r="F114" s="272" t="n"/>
      <c r="G114" s="272" t="n"/>
    </row>
    <row r="115">
      <c r="A115" s="381" t="n"/>
      <c r="B115" s="272">
        <f>IF(C115="","","PID-"&amp;TEXT(ROW()-2,"0000"))</f>
        <v/>
      </c>
      <c r="C115" s="272" t="n"/>
      <c r="D115" s="272" t="n"/>
      <c r="E115" s="255" t="n"/>
      <c r="F115" s="272" t="n"/>
      <c r="G115" s="272" t="n"/>
    </row>
    <row r="116">
      <c r="A116" s="381" t="n"/>
      <c r="B116" s="272">
        <f>IF(C116="","","PID-"&amp;TEXT(ROW()-2,"0000"))</f>
        <v/>
      </c>
      <c r="C116" s="272" t="n"/>
      <c r="D116" s="272" t="n"/>
      <c r="E116" s="255" t="n"/>
      <c r="F116" s="272" t="n"/>
      <c r="G116" s="272" t="n"/>
    </row>
    <row r="117">
      <c r="A117" s="381" t="n"/>
      <c r="B117" s="272">
        <f>IF(C117="","","PID-"&amp;TEXT(ROW()-2,"0000"))</f>
        <v/>
      </c>
      <c r="C117" s="272" t="n"/>
      <c r="D117" s="272" t="n"/>
      <c r="E117" s="255" t="n"/>
      <c r="F117" s="272" t="n"/>
      <c r="G117" s="272" t="n"/>
    </row>
    <row r="118">
      <c r="A118" s="381" t="n"/>
      <c r="B118" s="272">
        <f>IF(C118="","","PID-"&amp;TEXT(ROW()-2,"0000"))</f>
        <v/>
      </c>
      <c r="C118" s="272" t="n"/>
      <c r="D118" s="272" t="n"/>
      <c r="E118" s="255" t="n"/>
      <c r="F118" s="272" t="n"/>
      <c r="G118" s="272" t="n"/>
    </row>
    <row r="119">
      <c r="A119" s="381" t="n"/>
      <c r="B119" s="272">
        <f>IF(C119="","","PID-"&amp;TEXT(ROW()-2,"0000"))</f>
        <v/>
      </c>
      <c r="C119" s="272" t="n"/>
      <c r="D119" s="272" t="n"/>
      <c r="E119" s="255" t="n"/>
      <c r="F119" s="272" t="n"/>
      <c r="G119" s="272" t="n"/>
    </row>
    <row r="120">
      <c r="A120" s="381" t="n"/>
      <c r="B120" s="272">
        <f>IF(C120="","","PID-"&amp;TEXT(ROW()-2,"0000"))</f>
        <v/>
      </c>
      <c r="C120" s="272" t="n"/>
      <c r="D120" s="272" t="n"/>
      <c r="E120" s="255" t="n"/>
      <c r="F120" s="272" t="n"/>
      <c r="G120" s="272" t="n"/>
    </row>
    <row r="121">
      <c r="A121" s="381" t="n"/>
      <c r="B121" s="272">
        <f>IF(C121="","","PID-"&amp;TEXT(ROW()-2,"0000"))</f>
        <v/>
      </c>
      <c r="C121" s="272" t="n"/>
      <c r="D121" s="272" t="n"/>
      <c r="E121" s="255" t="n"/>
      <c r="F121" s="272" t="n"/>
      <c r="G121" s="272" t="n"/>
    </row>
    <row r="122">
      <c r="A122" s="353" t="inlineStr">
        <is>
          <t>Mohsen</t>
        </is>
      </c>
      <c r="B122" s="272">
        <f>IF(C122="","","PID-"&amp;TEXT(ROW()-2,"0000"))</f>
        <v/>
      </c>
      <c r="C122" s="272" t="n"/>
      <c r="D122" s="272" t="n"/>
      <c r="E122" s="255" t="n"/>
      <c r="F122" s="272" t="n"/>
      <c r="G122" s="272" t="n"/>
    </row>
    <row r="123">
      <c r="A123" s="381" t="n"/>
      <c r="B123" s="272">
        <f>IF(C123="","","PID-"&amp;TEXT(ROW()-2,"0000"))</f>
        <v/>
      </c>
      <c r="C123" s="272" t="n"/>
      <c r="D123" s="272" t="n"/>
      <c r="E123" s="255" t="n"/>
      <c r="F123" s="272" t="n"/>
      <c r="G123" s="272" t="n"/>
    </row>
    <row r="124">
      <c r="A124" s="381" t="n"/>
      <c r="B124" s="272">
        <f>IF(C124="","","PID-"&amp;TEXT(ROW()-2,"0000"))</f>
        <v/>
      </c>
      <c r="C124" s="272" t="n"/>
      <c r="D124" s="272" t="n"/>
      <c r="E124" s="255" t="n"/>
      <c r="F124" s="272" t="n"/>
      <c r="G124" s="272" t="n"/>
    </row>
    <row r="125">
      <c r="A125" s="381" t="n"/>
      <c r="B125" s="272">
        <f>IF(C125="","","PID-"&amp;TEXT(ROW()-2,"0000"))</f>
        <v/>
      </c>
      <c r="C125" s="272" t="n"/>
      <c r="D125" s="272" t="n"/>
      <c r="E125" s="255" t="n"/>
      <c r="F125" s="272" t="n"/>
      <c r="G125" s="272" t="n"/>
    </row>
    <row r="126">
      <c r="A126" s="381" t="n"/>
      <c r="B126" s="272">
        <f>IF(C126="","","PID-"&amp;TEXT(ROW()-2,"0000"))</f>
        <v/>
      </c>
      <c r="C126" s="272" t="n"/>
      <c r="D126" s="272" t="n"/>
      <c r="E126" s="255" t="n"/>
      <c r="F126" s="272" t="n"/>
      <c r="G126" s="272" t="n"/>
    </row>
    <row r="127">
      <c r="A127" s="381" t="n"/>
      <c r="B127" s="272">
        <f>IF(C127="","","PID-"&amp;TEXT(ROW()-2,"0000"))</f>
        <v/>
      </c>
      <c r="C127" s="272" t="n"/>
      <c r="D127" s="272" t="n"/>
      <c r="E127" s="255" t="n"/>
      <c r="F127" s="272" t="n"/>
      <c r="G127" s="272" t="n"/>
    </row>
    <row r="128">
      <c r="A128" s="381" t="n"/>
      <c r="B128" s="272">
        <f>IF(C128="","","PID-"&amp;TEXT(ROW()-2,"0000"))</f>
        <v/>
      </c>
      <c r="C128" s="272" t="n"/>
      <c r="D128" s="272" t="n"/>
      <c r="E128" s="255" t="n"/>
      <c r="F128" s="272" t="n"/>
      <c r="G128" s="272" t="n"/>
    </row>
    <row r="129">
      <c r="A129" s="381" t="n"/>
      <c r="B129" s="272">
        <f>IF(C129="","","PID-"&amp;TEXT(ROW()-2,"0000"))</f>
        <v/>
      </c>
      <c r="C129" s="272" t="n"/>
      <c r="D129" s="272" t="n"/>
      <c r="E129" s="255" t="n"/>
      <c r="F129" s="272" t="n"/>
      <c r="G129" s="272" t="n"/>
    </row>
    <row r="130">
      <c r="A130" s="381" t="n"/>
      <c r="B130" s="272">
        <f>IF(C130="","","PID-"&amp;TEXT(ROW()-2,"0000"))</f>
        <v/>
      </c>
      <c r="C130" s="272" t="n"/>
      <c r="D130" s="272" t="n"/>
      <c r="E130" s="255" t="n"/>
      <c r="F130" s="272" t="n"/>
      <c r="G130" s="272" t="n"/>
    </row>
    <row r="131">
      <c r="A131" s="381" t="n"/>
      <c r="B131" s="272">
        <f>IF(C131="","","PID-"&amp;TEXT(ROW()-2,"0000"))</f>
        <v/>
      </c>
      <c r="C131" s="272" t="n"/>
      <c r="D131" s="272" t="n"/>
      <c r="E131" s="255" t="n"/>
      <c r="F131" s="272" t="n"/>
      <c r="G131" s="272" t="n"/>
    </row>
    <row r="132">
      <c r="A132" s="381" t="n"/>
      <c r="B132" s="272">
        <f>IF(C132="","","PID-"&amp;TEXT(ROW()-2,"0000"))</f>
        <v/>
      </c>
      <c r="C132" s="272" t="n"/>
      <c r="D132" s="272" t="n"/>
      <c r="E132" s="255" t="n"/>
      <c r="F132" s="272" t="n"/>
      <c r="G132" s="272" t="n"/>
    </row>
    <row r="133">
      <c r="A133" s="381" t="n"/>
      <c r="B133" s="272">
        <f>IF(C133="","","PID-"&amp;TEXT(ROW()-2,"0000"))</f>
        <v/>
      </c>
      <c r="C133" s="272" t="n"/>
      <c r="D133" s="272" t="n"/>
      <c r="E133" s="255" t="n"/>
      <c r="F133" s="272" t="n"/>
      <c r="G133" s="272" t="n"/>
    </row>
    <row r="134">
      <c r="A134" s="353" t="inlineStr">
        <is>
          <t>Mohsen</t>
        </is>
      </c>
      <c r="B134" s="272">
        <f>IF(C134="","","PID-"&amp;TEXT(ROW()-2,"0000"))</f>
        <v/>
      </c>
      <c r="C134" s="272" t="n"/>
      <c r="D134" s="272" t="n"/>
      <c r="E134" s="255" t="n"/>
      <c r="F134" s="272" t="n"/>
      <c r="G134" s="272" t="n"/>
    </row>
    <row r="135">
      <c r="A135" s="381" t="n"/>
      <c r="B135" s="272">
        <f>IF(C135="","","PID-"&amp;TEXT(ROW()-2,"0000"))</f>
        <v/>
      </c>
      <c r="C135" s="272" t="n"/>
      <c r="D135" s="272" t="n"/>
      <c r="E135" s="255" t="n"/>
      <c r="F135" s="272" t="n"/>
      <c r="G135" s="272" t="n"/>
    </row>
    <row r="136">
      <c r="A136" s="381" t="n"/>
      <c r="B136" s="272">
        <f>IF(C136="","","PID-"&amp;TEXT(ROW()-2,"0000"))</f>
        <v/>
      </c>
      <c r="C136" s="272" t="n"/>
      <c r="D136" s="272" t="n"/>
      <c r="E136" s="255" t="n"/>
      <c r="F136" s="272" t="n"/>
      <c r="G136" s="272" t="n"/>
    </row>
    <row r="137">
      <c r="A137" s="381" t="n"/>
      <c r="B137" s="272">
        <f>IF(C137="","","PID-"&amp;TEXT(ROW()-2,"0000"))</f>
        <v/>
      </c>
      <c r="C137" s="272" t="n"/>
      <c r="D137" s="272" t="n"/>
      <c r="E137" s="255" t="n"/>
      <c r="F137" s="272" t="n"/>
      <c r="G137" s="272" t="n"/>
    </row>
    <row r="138">
      <c r="A138" s="381" t="n"/>
      <c r="B138" s="272">
        <f>IF(C138="","","PID-"&amp;TEXT(ROW()-2,"0000"))</f>
        <v/>
      </c>
      <c r="C138" s="272" t="n"/>
      <c r="D138" s="272" t="n"/>
      <c r="E138" s="255" t="n"/>
      <c r="F138" s="272" t="n"/>
      <c r="G138" s="272" t="n"/>
    </row>
    <row r="139">
      <c r="A139" s="381" t="n"/>
      <c r="B139" s="272">
        <f>IF(C139="","","PID-"&amp;TEXT(ROW()-2,"0000"))</f>
        <v/>
      </c>
      <c r="C139" s="272" t="n"/>
      <c r="D139" s="272" t="n"/>
      <c r="E139" s="255" t="n"/>
      <c r="F139" s="272" t="n"/>
      <c r="G139" s="272" t="n"/>
    </row>
    <row r="140">
      <c r="A140" s="381" t="n"/>
      <c r="B140" s="272">
        <f>IF(C140="","","PID-"&amp;TEXT(ROW()-2,"0000"))</f>
        <v/>
      </c>
      <c r="C140" s="272" t="n"/>
      <c r="D140" s="272" t="n"/>
      <c r="E140" s="255" t="n"/>
      <c r="F140" s="272" t="n"/>
      <c r="G140" s="272" t="n"/>
    </row>
    <row r="141">
      <c r="A141" s="381" t="n"/>
      <c r="B141" s="272">
        <f>IF(C141="","","PID-"&amp;TEXT(ROW()-2,"0000"))</f>
        <v/>
      </c>
      <c r="C141" s="272" t="n"/>
      <c r="D141" s="272" t="n"/>
      <c r="E141" s="255" t="n"/>
      <c r="F141" s="272" t="n"/>
      <c r="G141" s="272" t="n"/>
    </row>
    <row r="142">
      <c r="A142" s="381" t="n"/>
      <c r="B142" s="272">
        <f>IF(C142="","","PID-"&amp;TEXT(ROW()-2,"0000"))</f>
        <v/>
      </c>
      <c r="C142" s="272" t="n"/>
      <c r="D142" s="272" t="n"/>
      <c r="E142" s="255" t="n"/>
      <c r="F142" s="272" t="n"/>
      <c r="G142" s="272" t="n"/>
    </row>
    <row r="143">
      <c r="A143" s="381" t="n"/>
      <c r="B143" s="272">
        <f>IF(C143="","","PID-"&amp;TEXT(ROW()-2,"0000"))</f>
        <v/>
      </c>
      <c r="C143" s="272" t="n"/>
      <c r="D143" s="272" t="n"/>
      <c r="E143" s="255" t="n"/>
      <c r="F143" s="272" t="n"/>
      <c r="G143" s="272" t="n"/>
    </row>
    <row r="144">
      <c r="A144" s="381" t="n"/>
      <c r="B144" s="272">
        <f>IF(C144="","","PID-"&amp;TEXT(ROW()-2,"0000"))</f>
        <v/>
      </c>
      <c r="C144" s="272" t="n"/>
      <c r="D144" s="272" t="n"/>
      <c r="E144" s="255" t="n"/>
      <c r="F144" s="272" t="n"/>
      <c r="G144" s="272" t="n"/>
    </row>
    <row r="145">
      <c r="A145" s="381" t="n"/>
      <c r="B145" s="272">
        <f>IF(C145="","","PID-"&amp;TEXT(ROW()-2,"0000"))</f>
        <v/>
      </c>
      <c r="C145" s="272" t="n"/>
      <c r="D145" s="272" t="n"/>
      <c r="E145" s="255" t="n"/>
      <c r="F145" s="272" t="n"/>
      <c r="G145" s="272" t="n"/>
    </row>
    <row r="146">
      <c r="B146" s="272">
        <f>IF(C146="","","PID-"&amp;TEXT(ROW()-2,"0000"))</f>
        <v/>
      </c>
      <c r="C146" s="272" t="n"/>
      <c r="D146" s="272" t="n"/>
      <c r="E146" s="255" t="n"/>
      <c r="F146" s="272" t="n"/>
      <c r="G146" s="272" t="n"/>
    </row>
    <row r="147">
      <c r="B147" s="272">
        <f>IF(C147="","","PID-"&amp;TEXT(ROW()-2,"0000"))</f>
        <v/>
      </c>
      <c r="C147" s="272" t="n"/>
      <c r="D147" s="272" t="n"/>
      <c r="E147" s="255" t="n"/>
      <c r="F147" s="272" t="n"/>
      <c r="G147" s="272" t="n"/>
    </row>
    <row r="148">
      <c r="B148" s="272">
        <f>IF(C148="","","PID-"&amp;TEXT(ROW()-2,"0000"))</f>
        <v/>
      </c>
      <c r="C148" s="272" t="n"/>
      <c r="D148" s="272" t="n"/>
      <c r="E148" s="255" t="n"/>
      <c r="F148" s="272" t="n"/>
      <c r="G148" s="272" t="n"/>
    </row>
    <row r="149">
      <c r="B149" s="272">
        <f>IF(C149="","","PID-"&amp;TEXT(ROW()-2,"0000"))</f>
        <v/>
      </c>
      <c r="C149" s="272" t="n"/>
      <c r="D149" s="272" t="n"/>
      <c r="E149" s="255" t="n"/>
      <c r="F149" s="272" t="n"/>
      <c r="G149" s="272" t="n"/>
    </row>
    <row r="150">
      <c r="B150" s="272">
        <f>IF(C150="","","PID-"&amp;TEXT(ROW()-2,"0000"))</f>
        <v/>
      </c>
      <c r="C150" s="272" t="n"/>
      <c r="D150" s="272" t="n"/>
      <c r="E150" s="255" t="n"/>
      <c r="F150" s="272" t="n"/>
      <c r="G150" s="272" t="n"/>
    </row>
    <row r="151">
      <c r="B151" s="272">
        <f>IF(C151="","","PID-"&amp;TEXT(ROW()-2,"0000"))</f>
        <v/>
      </c>
      <c r="C151" s="272" t="n"/>
      <c r="D151" s="272" t="n"/>
      <c r="E151" s="255" t="n"/>
      <c r="F151" s="272" t="n"/>
      <c r="G151" s="272" t="n"/>
    </row>
    <row r="152">
      <c r="B152" s="272">
        <f>IF(C152="","","PID-"&amp;TEXT(ROW()-2,"0000"))</f>
        <v/>
      </c>
      <c r="C152" s="272" t="n"/>
      <c r="D152" s="272" t="n"/>
      <c r="E152" s="255" t="n"/>
      <c r="F152" s="272" t="n"/>
      <c r="G152" s="272" t="n"/>
    </row>
    <row r="153">
      <c r="B153" s="272">
        <f>IF(C153="","","PID-"&amp;TEXT(ROW()-2,"0000"))</f>
        <v/>
      </c>
      <c r="C153" s="272" t="n"/>
      <c r="D153" s="272" t="n"/>
      <c r="E153" s="255" t="n"/>
      <c r="F153" s="272" t="n"/>
      <c r="G153" s="272" t="n"/>
    </row>
    <row r="154">
      <c r="B154" s="272">
        <f>IF(C154="","","PID-"&amp;TEXT(ROW()-2,"0000"))</f>
        <v/>
      </c>
      <c r="C154" s="272" t="n"/>
      <c r="D154" s="272" t="n"/>
      <c r="E154" s="255" t="n"/>
      <c r="F154" s="272" t="n"/>
      <c r="G154" s="272" t="n"/>
    </row>
    <row r="155">
      <c r="B155" s="272">
        <f>IF(C155="","","PID-"&amp;TEXT(ROW()-2,"0000"))</f>
        <v/>
      </c>
      <c r="C155" s="272" t="n"/>
      <c r="D155" s="272" t="n"/>
      <c r="E155" s="255" t="n"/>
      <c r="F155" s="272" t="n"/>
      <c r="G155" s="272" t="n"/>
    </row>
    <row r="156">
      <c r="B156" s="272">
        <f>IF(C156="","","PID-"&amp;TEXT(ROW()-2,"0000"))</f>
        <v/>
      </c>
      <c r="C156" s="272" t="n"/>
      <c r="D156" s="272" t="n"/>
      <c r="E156" s="255" t="n"/>
      <c r="F156" s="272" t="n"/>
      <c r="G156" s="272" t="n"/>
    </row>
    <row r="157">
      <c r="B157" s="272">
        <f>IF(C157="","","PID-"&amp;TEXT(ROW()-2,"0000"))</f>
        <v/>
      </c>
      <c r="C157" s="272" t="n"/>
      <c r="D157" s="272" t="n"/>
      <c r="E157" s="255" t="n"/>
      <c r="F157" s="272" t="n"/>
      <c r="G157" s="272" t="n"/>
    </row>
    <row r="158">
      <c r="B158" s="272">
        <f>IF(C158="","","PID-"&amp;TEXT(ROW()-2,"0000"))</f>
        <v/>
      </c>
      <c r="C158" s="272" t="n"/>
      <c r="D158" s="272" t="n"/>
      <c r="E158" s="255"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19:E186 E2">
    <cfRule type="expression" priority="8" dxfId="14">
      <formula>AND($C2&lt;&gt;"",D2="")</formula>
    </cfRule>
  </conditionalFormatting>
  <conditionalFormatting sqref="BC33:BD33">
    <cfRule type="expression" priority="620" dxfId="14">
      <formula>AND(#REF!&lt;&gt;"",BC33="")</formula>
    </cfRule>
  </conditionalFormatting>
  <conditionalFormatting sqref="C19:C186">
    <cfRule type="expression" priority="638" dxfId="15">
      <formula>AND(C19&lt;&gt;"",COUNTIF($C$2:$C$186,C19)&gt;1)</formula>
    </cfRule>
    <cfRule type="expression" priority="639" dxfId="14">
      <formula>AND($C19&lt;&gt;"",C19="")</formula>
    </cfRule>
  </conditionalFormatting>
  <conditionalFormatting sqref="F19:F186">
    <cfRule type="expression" priority="640" dxfId="15">
      <formula>AND(F19&lt;&gt;"",COUNTIF($F$2:$F$186,F19)&gt;1)</formula>
    </cfRule>
    <cfRule type="expression" priority="641" dxfId="14">
      <formula>AND(C19&lt;&gt;"",F19="")</formula>
    </cfRule>
  </conditionalFormatting>
  <dataValidations count="1">
    <dataValidation sqref="D19:D186"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display="10.1177/10711813251360704" r:id="rId13"/>
    <hyperlink xmlns:r="http://schemas.openxmlformats.org/officeDocument/2006/relationships" ref="F8" r:id="rId14"/>
    <hyperlink xmlns:r="http://schemas.openxmlformats.org/officeDocument/2006/relationships" ref="F9" r:id="rId15"/>
    <hyperlink xmlns:r="http://schemas.openxmlformats.org/officeDocument/2006/relationships" ref="B10" r:id="rId16"/>
    <hyperlink xmlns:r="http://schemas.openxmlformats.org/officeDocument/2006/relationships" ref="F10" r:id="rId17"/>
    <hyperlink xmlns:r="http://schemas.openxmlformats.org/officeDocument/2006/relationships" ref="B11" r:id="rId18"/>
    <hyperlink xmlns:r="http://schemas.openxmlformats.org/officeDocument/2006/relationships" ref="F11" r:id="rId19"/>
    <hyperlink xmlns:r="http://schemas.openxmlformats.org/officeDocument/2006/relationships" ref="B12" r:id="rId20"/>
    <hyperlink xmlns:r="http://schemas.openxmlformats.org/officeDocument/2006/relationships" ref="F12" r:id="rId21"/>
    <hyperlink xmlns:r="http://schemas.openxmlformats.org/officeDocument/2006/relationships" ref="B13" r:id="rId22"/>
    <hyperlink xmlns:r="http://schemas.openxmlformats.org/officeDocument/2006/relationships" ref="F13" r:id="rId23"/>
  </hyperlinks>
  <pageMargins left="0.75" right="0.75" top="1" bottom="1" header="0.511811023622047" footer="0.511811023622047"/>
  <pageSetup orientation="portrait" paperSize="9" horizontalDpi="300" verticalDpi="300"/>
  <tableParts count="1">
    <tablePart xmlns:r="http://schemas.openxmlformats.org/officeDocument/2006/relationships" r:id="rId24"/>
  </tableParts>
</worksheet>
</file>

<file path=xl/worksheets/sheet9.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37" activePane="topRight" state="frozen"/>
      <selection pane="topRight" activeCell="B39" activeCellId="1" sqref="M38 B39"/>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66" customWidth="1" style="270" min="12" max="12"/>
    <col width="45.710937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341"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342"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312" t="inlineStr">
        <is>
          <t>Bidirectional visual-tactile 
cross-modal generation using latent
 feature space flow model</t>
        </is>
      </c>
      <c r="D38" s="313" t="n">
        <v>2023</v>
      </c>
      <c r="E38" s="313" t="inlineStr">
        <is>
          <t>Elsevier</t>
        </is>
      </c>
      <c r="F38" s="314" t="inlineStr">
        <is>
          <t>https://www.sciencedirect.com/science/article/pii/S0893608023007499?via%3Dihub</t>
        </is>
      </c>
      <c r="G38" s="315"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316" t="inlineStr">
        <is>
          <t>Included</t>
        </is>
      </c>
      <c r="I38" s="317" t="inlineStr">
        <is>
          <t xml:space="preserve"> artificial sensory substitution by translating 2D visual inputs into tactile representations</t>
        </is>
      </c>
      <c r="J38" s="315"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315"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c r="L38" s="318" t="n"/>
      <c r="M38" s="318" t="n"/>
    </row>
    <row r="39" ht="141" customFormat="1" customHeight="1" s="56">
      <c r="A39" s="381" t="n"/>
      <c r="B39" s="55" t="inlineStr">
        <is>
          <t>https://ieeexplore.ieee.org/document/5165018</t>
        </is>
      </c>
      <c r="C39" s="319" t="inlineStr">
        <is>
          <t>Wearable Obstacle Avoidance Electronic
 Travel Aids for Blind: A Survey</t>
        </is>
      </c>
      <c r="D39" s="183" t="n">
        <v>2010</v>
      </c>
      <c r="E39" s="320" t="inlineStr">
        <is>
          <t>IEEE</t>
        </is>
      </c>
      <c r="F39" s="321" t="inlineStr">
        <is>
          <t>https://ieeexplore.ieee.org/document/5165018</t>
        </is>
      </c>
      <c r="G39" s="322" t="inlineStr">
        <is>
          <t>------------------</t>
        </is>
      </c>
      <c r="H39" s="323" t="inlineStr">
        <is>
          <t>Excluded</t>
        </is>
      </c>
      <c r="I39" s="324" t="inlineStr">
        <is>
          <t>Survey</t>
        </is>
      </c>
      <c r="J39" s="322" t="inlineStr">
        <is>
          <t>------------------</t>
        </is>
      </c>
      <c r="K39" s="322" t="inlineStr">
        <is>
          <t>------------------</t>
        </is>
      </c>
      <c r="L39" s="318" t="n"/>
      <c r="M39" s="318" t="n"/>
    </row>
    <row r="40" ht="87.75" customFormat="1" customHeight="1" s="56">
      <c r="A40" s="381" t="n"/>
      <c r="B40" s="82" t="inlineStr">
        <is>
          <t xml:space="preserve"> https://doi.org/10.1007/s11042-021-11287-z</t>
        </is>
      </c>
      <c r="C40" s="325" t="inlineStr">
        <is>
          <t>Design and development of an indoor
 navigation system using denoising autoencoder based convolutional neural network for visually impaired people</t>
        </is>
      </c>
      <c r="D40" s="313" t="n">
        <v>2021</v>
      </c>
      <c r="E40" s="313" t="inlineStr">
        <is>
          <t xml:space="preserve">Springer </t>
        </is>
      </c>
      <c r="F40" s="314" t="inlineStr">
        <is>
          <t>https://link.springer.com/article/10.1007/s11042-021-11287-z</t>
        </is>
      </c>
      <c r="G40" s="315" t="inlineStr">
        <is>
          <t>* DAECNN Architecture 
* Multi-Angle Visual Localization --&gt; Classifies 12 discrete viewing angles
* Evaluation &amp; Dataset---&gt; Trained on 11,190 indoor frames</t>
        </is>
      </c>
      <c r="H40" s="316" t="inlineStr">
        <is>
          <t>Included</t>
        </is>
      </c>
      <c r="I40" s="317" t="inlineStr">
        <is>
          <t>Vision-Based Indoor Navigation &amp; Visual Localization</t>
        </is>
      </c>
      <c r="J40" s="315" t="inlineStr">
        <is>
          <t xml:space="preserve">* GPS satellite signals cannot penetrate indoor environments 
* Alternative indoor positioning technologies ----&gt; expensive, power consumpsion
* Camera images captured while walking suffer from heavy motion blur, camera shaking, </t>
        </is>
      </c>
      <c r="K40" s="315" t="inlineStr">
        <is>
          <t>* Implements the DAECNN pipeline ---&gt; enoising autoencoder to strip noise and motion blur 
* user positioning accuracy without external infrastructure</t>
        </is>
      </c>
      <c r="L40" s="318" t="n"/>
      <c r="M40" s="318" t="n"/>
    </row>
    <row r="41" ht="81" customHeight="1" s="270">
      <c r="A41" s="381" t="n"/>
      <c r="B41" s="55" t="inlineStr">
        <is>
          <t xml:space="preserve"> https://doi.org/10.1007/s11042-023-16355-0</t>
        </is>
      </c>
      <c r="C41" s="326" t="inlineStr">
        <is>
          <t>Development of a visual to audio and tactile substitution
system for mobility and orientation of visually impaired
people: a review</t>
        </is>
      </c>
      <c r="D41" s="320" t="n">
        <v>2023</v>
      </c>
      <c r="E41" s="320" t="inlineStr">
        <is>
          <t>Springer</t>
        </is>
      </c>
      <c r="F41" s="327" t="inlineStr">
        <is>
          <t>https://link.springer.com/article/10.1007/s11042-023-16355-0</t>
        </is>
      </c>
      <c r="G41" s="322" t="inlineStr">
        <is>
          <t>* Sensory Substitution ---&gt;  visual-to-audio , visual-to-tactile 
*  Reviews RGB cameras, depth sensors, ultrasonic transducers, and deep learning
 object/obstacle recognition models.</t>
        </is>
      </c>
      <c r="H41" s="316" t="inlineStr">
        <is>
          <t>Included</t>
        </is>
      </c>
      <c r="I41" s="328" t="inlineStr">
        <is>
          <t>Comprehensive Review of Visual-to-Tactile &amp; Audio Sensory Substitution</t>
        </is>
      </c>
      <c r="J41" s="329" t="inlineStr">
        <is>
          <t>* white canes cannot detect elevated, head-height, or distant obstacles.
* Existing assistive systems are non-adaptable, expensive, and heavily</t>
        </is>
      </c>
      <c r="K41" s="329" t="inlineStr">
        <is>
          <t>* prioritizing low-cost wearable tactile arrays that preserve hearing
, simplify visual scene features into intuitive haptic patterns, and utilize
 structured user training protocols.</t>
        </is>
      </c>
      <c r="L41" s="318" t="n"/>
      <c r="M41" s="318" t="n"/>
    </row>
    <row r="42" ht="73.5" customHeight="1" s="270">
      <c r="A42" s="381" t="n"/>
      <c r="B42" s="81" t="inlineStr">
        <is>
          <t>https://doi.org/10.1049/ell2.70570</t>
        </is>
      </c>
      <c r="C42" s="325" t="inlineStr">
        <is>
          <t>A Portable Intelligent Navigation 
System Based on Embedded Hybrid 
Computing for Visually Impaired 
People</t>
        </is>
      </c>
      <c r="D42" s="313" t="n">
        <v>2026</v>
      </c>
      <c r="E42" s="313" t="inlineStr">
        <is>
          <t>Wiley</t>
        </is>
      </c>
      <c r="F42" s="314" t="inlineStr">
        <is>
          <t>https://ietresearch.onlinelibrary.wiley.com/doi/10.1049/ell2.70570</t>
        </is>
      </c>
      <c r="G42" s="315" t="inlineStr">
        <is>
          <t>* Multi-core STM32MP157F system 
* Hybrid Edge-Cloud Architecture 
* natural-language voice feedback for destination guidance and traffic</t>
        </is>
      </c>
      <c r="H42" s="316" t="inlineStr">
        <is>
          <t>Included</t>
        </is>
      </c>
      <c r="I42" s="317" t="inlineStr">
        <is>
          <t>Embedded System Design &amp; Hybrid Vision-Tactile Navigation</t>
        </is>
      </c>
      <c r="J42" s="330" t="inlineStr">
        <is>
          <t>* risks at street intersections, pedestrian crossings, and outdoor sidewalks 
* Running deep visual-language models entirely on-device causes overheating 
* battery exhaustion   , lag  
*cloud services risks complete failure in poor network coverage</t>
        </is>
      </c>
      <c r="K42" s="330" t="inlineStr">
        <is>
          <t>* A layered, hybrid embedded architecture where a multi-core STM32
* manages local low-latency sensor 
* high-level visual scene interpretation to cloud vision-language models</t>
        </is>
      </c>
      <c r="L42" s="318" t="n"/>
      <c r="M42" s="318" t="n"/>
    </row>
    <row r="43" ht="84.75" customHeight="1" s="270">
      <c r="A43" s="381" t="n"/>
      <c r="B43" s="55" t="inlineStr">
        <is>
          <t xml:space="preserve"> https://doi.org/10.1007/s11554-023-01314-7</t>
        </is>
      </c>
      <c r="C43" s="326" t="inlineStr">
        <is>
          <t>Enhanced data fusion of ultrasonic and stereo vision in real‑time
obstacle detection</t>
        </is>
      </c>
      <c r="D43" s="320" t="n">
        <v>2023</v>
      </c>
      <c r="E43" s="320" t="inlineStr">
        <is>
          <t>Springer</t>
        </is>
      </c>
      <c r="F43" s="327" t="inlineStr">
        <is>
          <t>https://link.springer.com/article/10.1007/s11554-023-01314-7</t>
        </is>
      </c>
      <c r="G43" s="322" t="inlineStr">
        <is>
          <t xml:space="preserve">* Ultrasonic and stereo vision sensor fusion, truncated local stereo matching 
*  GPU CUDA parallel acceleration 
</t>
        </is>
      </c>
      <c r="H43" s="316" t="inlineStr">
        <is>
          <t>Included</t>
        </is>
      </c>
      <c r="I43" s="328" t="inlineStr">
        <is>
          <t>Sensing &amp; Real-Time Obstacle Detection Algorithm</t>
        </is>
      </c>
      <c r="J43" s="329" t="inlineStr">
        <is>
          <t xml:space="preserve">* Full stereo matching requires high computational power  
* ultrasonic sensors suffer from poor angular resolution and wide beam reflection errors </t>
        </is>
      </c>
      <c r="K43" s="329" t="inlineStr">
        <is>
          <t>* Combines ultrasonic range cues with local stereo matchin 
* executing on GPU at 41 FPS speedup over unconstrained matching</t>
        </is>
      </c>
      <c r="L43" s="318" t="n"/>
      <c r="M43" s="318" t="n"/>
    </row>
    <row r="44" ht="78" customHeight="1" s="270">
      <c r="A44" s="381" t="n"/>
      <c r="B44" s="47" t="inlineStr">
        <is>
          <t>https://doi.org/10.1007/s10209-023-00973-4</t>
        </is>
      </c>
      <c r="C44" s="325" t="inlineStr">
        <is>
          <t>Exploiting the haptic and audio 
channels to improve orientation and mobility apps for the visually impaired</t>
        </is>
      </c>
      <c r="D44" s="313" t="n">
        <v>2023</v>
      </c>
      <c r="E44" s="313" t="inlineStr">
        <is>
          <t>Springer</t>
        </is>
      </c>
      <c r="F44" s="331" t="inlineStr">
        <is>
          <t>https://link.springer.com/article/10.1007/s10209-023-00973-4</t>
        </is>
      </c>
      <c r="G44" s="315" t="inlineStr">
        <is>
          <t>* Android touchscreen interface 
* GeoJSON digital map modeling
* semantic RGB overlay layer for POI classification 
* Text-to-Speech (TTS) audio narration</t>
        </is>
      </c>
      <c r="H44" s="316" t="inlineStr">
        <is>
          <t>Included</t>
        </is>
      </c>
      <c r="I44" s="317" t="inlineStr">
        <is>
          <t>Multimodal Haptic/Audio Feedback &amp; Cognitive Mapping for Navigation</t>
        </is>
      </c>
      <c r="J44" s="330" t="inlineStr">
        <is>
          <t>* navigation apps deliver isolated that fail to provide an allocentric environmental overview 
* while physical embossed tactile maps are static, , and expensive.</t>
        </is>
      </c>
      <c r="K44" s="330" t="inlineStr">
        <is>
          <t xml:space="preserve">* accessible Android prototype converting GeoJSON urban maps
 into interactive touchscreen
</t>
        </is>
      </c>
      <c r="L44" s="318" t="n"/>
      <c r="M44" s="318" t="n"/>
    </row>
    <row r="45" ht="77.25" customHeight="1" s="270">
      <c r="A45" s="381" t="n"/>
      <c r="B45" s="41" t="inlineStr">
        <is>
          <t>https://doi.org/10.1109/TOH.2025.3616046</t>
        </is>
      </c>
      <c r="C45" s="326" t="inlineStr">
        <is>
          <t>Exploring Tactile Perception: Development and
Evaluation of the PinArray, a Novel Haptic Device</t>
        </is>
      </c>
      <c r="D45" s="320" t="n">
        <v>2025</v>
      </c>
      <c r="E45" s="320" t="inlineStr">
        <is>
          <t>IEEE</t>
        </is>
      </c>
      <c r="F45" s="332" t="inlineStr">
        <is>
          <t>https://ieeexplore.ieee.org/document/11186136</t>
        </is>
      </c>
      <c r="G45" s="333" t="inlineStr">
        <is>
          <t>* PinArray haptic display 
* multi-touch mode actuation 
*  frequency-differential tactile shape/edge encoding across RAI and RAII mechanoreceptors</t>
        </is>
      </c>
      <c r="H45" s="316" t="inlineStr">
        <is>
          <t>Included</t>
        </is>
      </c>
      <c r="I45" s="334" t="inlineStr">
        <is>
          <t>Tactile Display Hardware &amp; Tactile Shape/Edge Perception</t>
        </is>
      </c>
      <c r="J45" s="329" t="inlineStr">
        <is>
          <t xml:space="preserve">* Conventional vibrotactile displays are restricted to low frequencies or uniform global vibrations
* requency-differentiated stimulation across individual pins to render salient shapes and edges.
</t>
        </is>
      </c>
      <c r="K45" s="334" t="inlineStr">
        <is>
          <t>* Developed the PinArray, featuring 12 independently controlled pins operating</t>
        </is>
      </c>
      <c r="L45" s="318" t="n"/>
      <c r="M45" s="318" t="n"/>
    </row>
    <row r="46" ht="89.25" customHeight="1" s="270">
      <c r="A46" s="381" t="n"/>
      <c r="B46" s="47" t="inlineStr">
        <is>
          <t>https://doi.org/10.3233/FAIA231495</t>
        </is>
      </c>
      <c r="C46" s="325" t="inlineStr">
        <is>
          <t>Research on Multimodal Interaction Design
Patterns for Visually Impaired People Under
Sensory Compensation Theory</t>
        </is>
      </c>
      <c r="D46" s="335" t="n">
        <v>2024</v>
      </c>
      <c r="E46" s="335" t="inlineStr">
        <is>
          <t>IOS Press</t>
        </is>
      </c>
      <c r="F46" s="336" t="n"/>
      <c r="G46" s="336" t="n"/>
      <c r="H46" s="323" t="inlineStr">
        <is>
          <t>excluded</t>
        </is>
      </c>
      <c r="I46" s="337" t="inlineStr">
        <is>
          <t xml:space="preserve">Not authrized </t>
        </is>
      </c>
      <c r="J46" s="336" t="n"/>
      <c r="K46" s="336" t="n"/>
      <c r="L46" s="318" t="n"/>
      <c r="M46" s="318" t="n"/>
    </row>
    <row r="47" ht="96.75" customHeight="1" s="270">
      <c r="A47" s="381" t="n"/>
      <c r="B47" s="41" t="inlineStr">
        <is>
          <t>https://doi.org/10.1016/j.actpsy.2019.102950</t>
        </is>
      </c>
      <c r="C47" s="338" t="inlineStr">
        <is>
          <t>Tactile aesthetics: Textures that we like or hate to touch</t>
        </is>
      </c>
      <c r="D47" s="183" t="n">
        <v>2019</v>
      </c>
      <c r="E47" s="339" t="inlineStr">
        <is>
          <t>Elsevier</t>
        </is>
      </c>
      <c r="F47" s="332" t="inlineStr">
        <is>
          <t>https://www.sciencedirect.com/science/article/abs/pii/S0001691819302008?via%3Dihub</t>
        </is>
      </c>
      <c r="G47" s="340" t="n"/>
      <c r="H47" s="323" t="inlineStr">
        <is>
          <t>excluded</t>
        </is>
      </c>
      <c r="I47" s="334" t="inlineStr">
        <is>
          <t>out of scope &amp; out dated</t>
        </is>
      </c>
      <c r="J47" s="340" t="n"/>
      <c r="K47" s="340" t="n"/>
      <c r="L47" s="318" t="n"/>
      <c r="M47" s="318" t="n"/>
    </row>
    <row r="48" ht="68.25" customHeight="1" s="270">
      <c r="A48" s="381" t="n"/>
      <c r="B48" s="47" t="inlineStr">
        <is>
          <t>https://doi.org/10.3389/fnhum.2014.00291</t>
        </is>
      </c>
      <c r="C48" s="325" t="inlineStr">
        <is>
          <t>Successful tactile based visual 
sensory substitution use functions independently of visual pathway integrity</t>
        </is>
      </c>
      <c r="D48" s="183" t="n">
        <v>2014</v>
      </c>
      <c r="E48" s="183" t="inlineStr">
        <is>
          <t xml:space="preserve">Frontiers </t>
        </is>
      </c>
      <c r="F48" s="331" t="inlineStr">
        <is>
          <t>https://www.frontiersin.org/journals/human-neuroscience/articles/10.3389/fnhum.2014.00291/full</t>
        </is>
      </c>
      <c r="G48" s="336" t="n"/>
      <c r="H48" s="323" t="inlineStr">
        <is>
          <t>excluded</t>
        </is>
      </c>
      <c r="I48" s="337" t="inlineStr">
        <is>
          <t>Not authrized  &amp; out dated</t>
        </is>
      </c>
      <c r="J48" s="336" t="n"/>
      <c r="K48" s="336" t="n"/>
      <c r="L48" s="318" t="n"/>
      <c r="M48" s="318" t="n"/>
    </row>
    <row r="49" ht="93" customHeight="1" s="270">
      <c r="A49" s="381" t="n"/>
      <c r="B49" s="55" t="inlineStr">
        <is>
          <t>https://doi.org/10.3233/FAIA231495</t>
        </is>
      </c>
      <c r="C49" s="283" t="inlineStr">
        <is>
          <t>Research on Multimodal Interaction Design
Patterns for Visually Impaired People Under
Sensory Compensation Theory</t>
        </is>
      </c>
      <c r="D49" s="265" t="n">
        <v>2024</v>
      </c>
      <c r="E49" s="265" t="inlineStr">
        <is>
          <t>Sage</t>
        </is>
      </c>
      <c r="F49" s="186" t="inlineStr">
        <is>
          <t>https://ebooks.iospress.nl/doi/10.3233/FAIA231495</t>
        </is>
      </c>
      <c r="G49" s="118" t="n"/>
      <c r="H49" s="343" t="inlineStr">
        <is>
          <t>Included</t>
        </is>
      </c>
      <c r="I49" s="344"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581" dxfId="15">
      <formula>AND(C152&lt;&gt;"",COUNTIF($C$2:$C$319,C152)&gt;1)</formula>
    </cfRule>
    <cfRule type="expression" priority="582" dxfId="14">
      <formula>AND($C152&lt;&gt;"",C152="")</formula>
    </cfRule>
  </conditionalFormatting>
  <conditionalFormatting sqref="F141 F152:F319">
    <cfRule type="expression" priority="583" dxfId="15">
      <formula>AND(F141&lt;&gt;"",COUNTIF($F$2:$F$319,F141)&gt;1)</formula>
    </cfRule>
    <cfRule type="expression" priority="584"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F115" location="Abs1" r:id="rId129"/>
    <hyperlink xmlns:r="http://schemas.openxmlformats.org/officeDocument/2006/relationships" ref="B116" r:id="rId130"/>
    <hyperlink xmlns:r="http://schemas.openxmlformats.org/officeDocument/2006/relationships" ref="B117" r:id="rId131"/>
    <hyperlink xmlns:r="http://schemas.openxmlformats.org/officeDocument/2006/relationships" ref="F117" location="Abs1" r:id="rId132"/>
    <hyperlink xmlns:r="http://schemas.openxmlformats.org/officeDocument/2006/relationships" ref="B118" r:id="rId133"/>
    <hyperlink xmlns:r="http://schemas.openxmlformats.org/officeDocument/2006/relationships" ref="F118" location="Abs1" r:id="rId134"/>
    <hyperlink xmlns:r="http://schemas.openxmlformats.org/officeDocument/2006/relationships" ref="B120" r:id="rId135"/>
    <hyperlink xmlns:r="http://schemas.openxmlformats.org/officeDocument/2006/relationships" ref="F120" r:id="rId136"/>
    <hyperlink xmlns:r="http://schemas.openxmlformats.org/officeDocument/2006/relationships" ref="B131" r:id="rId137"/>
    <hyperlink xmlns:r="http://schemas.openxmlformats.org/officeDocument/2006/relationships" ref="F131" r:id="rId138"/>
    <hyperlink xmlns:r="http://schemas.openxmlformats.org/officeDocument/2006/relationships" ref="F133" r:id="rId139"/>
    <hyperlink xmlns:r="http://schemas.openxmlformats.org/officeDocument/2006/relationships" ref="F134" r:id="rId140"/>
    <hyperlink xmlns:r="http://schemas.openxmlformats.org/officeDocument/2006/relationships" ref="B135" r:id="rId141"/>
    <hyperlink xmlns:r="http://schemas.openxmlformats.org/officeDocument/2006/relationships" ref="F135" r:id="rId142"/>
    <hyperlink xmlns:r="http://schemas.openxmlformats.org/officeDocument/2006/relationships" ref="F136" r:id="rId143"/>
  </hyperlinks>
  <pageMargins left="0.75" right="0.75" top="1" bottom="1" header="0.511811023622047" footer="0.511811023622047"/>
  <pageSetup orientation="portrait" paperSize="9" horizontalDpi="300" verticalDpi="300"/>
  <tableParts count="1">
    <tablePart xmlns:r="http://schemas.openxmlformats.org/officeDocument/2006/relationships" r:id="rId144"/>
  </tableParts>
</worksheet>
</file>

<file path=xl/worksheets/sheet10.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20" activePane="topRight" state="frozen"/>
      <selection pane="topRight" activeCell="B27" sqref="B27"/>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282" t="inlineStr">
        <is>
          <t xml:space="preserve">10.1196/annals.1305.006 
</t>
        </is>
      </c>
      <c r="C27" s="181" t="inlineStr">
        <is>
          <t>Tactile Sensory Substitution Studies</t>
        </is>
      </c>
      <c r="D27" s="266" t="n">
        <v>2004</v>
      </c>
      <c r="E27" s="181" t="inlineStr">
        <is>
          <t>Wiley</t>
        </is>
      </c>
      <c r="F27" s="273"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577" dxfId="15">
      <formula>AND(C152&lt;&gt;"",COUNTIF($C$2:$C$319,C152)&gt;1)</formula>
    </cfRule>
    <cfRule type="expression" priority="578" dxfId="14">
      <formula>AND($C152&lt;&gt;"",C152="")</formula>
    </cfRule>
  </conditionalFormatting>
  <conditionalFormatting sqref="F141 F152:F319">
    <cfRule type="expression" priority="579" dxfId="15">
      <formula>AND(F141&lt;&gt;"",COUNTIF($F$2:$F$319,F141)&gt;1)</formula>
    </cfRule>
    <cfRule type="expression" priority="580"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F115" location="Abs1" r:id="rId129"/>
    <hyperlink xmlns:r="http://schemas.openxmlformats.org/officeDocument/2006/relationships" ref="B116" r:id="rId130"/>
    <hyperlink xmlns:r="http://schemas.openxmlformats.org/officeDocument/2006/relationships" ref="B117" r:id="rId131"/>
    <hyperlink xmlns:r="http://schemas.openxmlformats.org/officeDocument/2006/relationships" ref="F117" location="Abs1" r:id="rId132"/>
    <hyperlink xmlns:r="http://schemas.openxmlformats.org/officeDocument/2006/relationships" ref="B118" r:id="rId133"/>
    <hyperlink xmlns:r="http://schemas.openxmlformats.org/officeDocument/2006/relationships" ref="F118" location="Abs1" r:id="rId134"/>
    <hyperlink xmlns:r="http://schemas.openxmlformats.org/officeDocument/2006/relationships" ref="B120" r:id="rId135"/>
    <hyperlink xmlns:r="http://schemas.openxmlformats.org/officeDocument/2006/relationships" ref="F120" r:id="rId136"/>
    <hyperlink xmlns:r="http://schemas.openxmlformats.org/officeDocument/2006/relationships" ref="B131" r:id="rId137"/>
    <hyperlink xmlns:r="http://schemas.openxmlformats.org/officeDocument/2006/relationships" ref="F131" r:id="rId138"/>
    <hyperlink xmlns:r="http://schemas.openxmlformats.org/officeDocument/2006/relationships" ref="F133" r:id="rId139"/>
    <hyperlink xmlns:r="http://schemas.openxmlformats.org/officeDocument/2006/relationships" ref="F134" r:id="rId140"/>
    <hyperlink xmlns:r="http://schemas.openxmlformats.org/officeDocument/2006/relationships" ref="B135" r:id="rId141"/>
    <hyperlink xmlns:r="http://schemas.openxmlformats.org/officeDocument/2006/relationships" ref="F135" r:id="rId142"/>
    <hyperlink xmlns:r="http://schemas.openxmlformats.org/officeDocument/2006/relationships" ref="F136" r:id="rId143"/>
  </hyperlinks>
  <pageMargins left="0.75" right="0.75" top="1" bottom="1" header="0.511811023622047" footer="0.511811023622047"/>
  <pageSetup orientation="portrait" paperSize="9" horizontalDpi="300" verticalDpi="300"/>
  <tableParts count="1">
    <tablePart xmlns:r="http://schemas.openxmlformats.org/officeDocument/2006/relationships" r:id="rId144"/>
  </tableParts>
</worksheet>
</file>

<file path=xl/worksheets/sheet11.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21" activePane="topRight" state="frozen"/>
      <selection pane="topRight" activeCell="B24" sqref="B24:M24"/>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33.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57.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inlineStr">
        <is>
          <t>ResNet-18, YOLOv8, Deep Learning, CNN, Multiscale Feature Decoding, 16-bit Depth Maps</t>
        </is>
      </c>
      <c r="H15" s="197" t="inlineStr">
        <is>
          <t xml:space="preserve">included </t>
        </is>
      </c>
      <c r="I15" s="271" t="n"/>
      <c r="J15" s="213" t="inlineStr">
        <is>
          <t>Inaccurate long-range distance estimation from a single camera image; existing methods have limited range and high hardware costs.</t>
        </is>
      </c>
      <c r="K15" s="274" t="inlineStr">
        <is>
          <t>ResNet-18 encoder-decoder with multiscale supervision, integrated with YOLOv8 for object detection and distance estimation up to 250 m.</t>
        </is>
      </c>
    </row>
    <row r="16" ht="60.75" customHeight="1" s="270">
      <c r="A16" s="382" t="n"/>
      <c r="B16" s="128" t="inlineStr">
        <is>
          <t>https://doi.org/10.1145/3663547.374633</t>
        </is>
      </c>
      <c r="C16" s="203" t="inlineStr">
        <is>
          <t>Tactile Data Comics: Combining Step-by-step Presentation of
Tactile Graphics with Verbal Narration for the Blind and Visually
Impaired</t>
        </is>
      </c>
      <c r="D16" s="265" t="n"/>
      <c r="E16" s="265" t="inlineStr">
        <is>
          <t>ACM</t>
        </is>
      </c>
      <c r="F16" s="112" t="inlineStr">
        <is>
          <t>https://dl.acm.org/doi/10.1145/3663547.3746338</t>
        </is>
      </c>
      <c r="G16" s="129" t="n"/>
      <c r="H16" s="266" t="inlineStr">
        <is>
          <t>Excluded</t>
        </is>
      </c>
      <c r="I16" s="34" t="n"/>
      <c r="J16" s="56" t="n"/>
      <c r="K16" s="56" t="n"/>
      <c r="L16" s="41" t="n"/>
      <c r="M16" s="265"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57.75"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06" t="inlineStr">
        <is>
          <t>RGB-D Camera, IMU, Visual-Inertial Odometry (DVIO), Particle Filter Localization (PFL), ROS, SLAM</t>
        </is>
      </c>
      <c r="H18" s="105" t="inlineStr">
        <is>
          <t xml:space="preserve">included </t>
        </is>
      </c>
      <c r="I18" s="34" t="n"/>
      <c r="J18" s="56" t="inlineStr">
        <is>
          <t>Existing indoor navigation systems struggle in textureless environments and often require powerful external computers.</t>
        </is>
      </c>
      <c r="K18" s="56" t="inlineStr">
        <is>
          <t>Combines depth-enhanced visual-inertial odometry with particle-filter localization for indoor positioning, path planning, and obstacle avoidance.</t>
        </is>
      </c>
    </row>
    <row r="19" ht="72"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06" t="inlineStr">
        <is>
          <t>Deep Learning
Computer Vision
GPS Localization
Sensory Substitution Devices
Geographic Information Systems</t>
        </is>
      </c>
      <c r="H19" s="105" t="inlineStr">
        <is>
          <t xml:space="preserve">included </t>
        </is>
      </c>
      <c r="I19" s="271" t="n"/>
      <c r="J19" s="216" t="inlineStr">
        <is>
          <t>Existing navigation apps lack critical accessibility and hazard information, causing frequent injuries and low independence for visually impaired pedestrians.</t>
        </is>
      </c>
      <c r="K19" s="274" t="inlineStr">
        <is>
          <t>A four-phase assistive navigation framework that plans and guides routes based on safety, controlled intersections, and obstacle avoidance instead of distance.</t>
        </is>
      </c>
    </row>
    <row r="20" ht="101.2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29" t="inlineStr">
        <is>
          <t>Heterogeneous Information Networks
Graph Representation Learning
Metagraph-Guided Random Walk
Natural Language Processing
Multi-Label Classification</t>
        </is>
      </c>
      <c r="H20" s="105" t="inlineStr">
        <is>
          <t xml:space="preserve">included </t>
        </is>
      </c>
      <c r="I20" s="34" t="n"/>
      <c r="J20" s="203" t="inlineStr">
        <is>
          <t>Manual creation of IoT trigger-action rules is impractical due to exponential device combinations, and existing methods fail to bridge semantics between user descriptions and device interactions.</t>
        </is>
      </c>
      <c r="K20" s="203" t="inlineStr">
        <is>
          <t>A data fusion framework named TAPFuser that maps natural language demands to IoT recipes using heterogeneous network embedding and metagraph-guided random walks.</t>
        </is>
      </c>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06" t="inlineStr">
        <is>
          <t>X</t>
        </is>
      </c>
      <c r="H21" s="266" t="inlineStr">
        <is>
          <t>Excluded</t>
        </is>
      </c>
      <c r="I21" s="243" t="inlineStr">
        <is>
          <t xml:space="preserve">because paper published by arix that not included in our scope </t>
        </is>
      </c>
      <c r="J21" s="137" t="inlineStr">
        <is>
          <t>X</t>
        </is>
      </c>
      <c r="K21" s="137" t="inlineStr">
        <is>
          <t>X</t>
        </is>
      </c>
    </row>
    <row r="22" ht="86.25" customHeight="1" s="270">
      <c r="A22" s="382" t="n"/>
      <c r="B22" s="128" t="inlineStr">
        <is>
          <t>https://doi.org/10.1007/s42486-023-00136-7</t>
        </is>
      </c>
      <c r="C22" s="277" t="inlineStr">
        <is>
          <t>A smart obstacle avoiding technology based on depth camera
for blind and visually impaired people  (Regular Paper)</t>
        </is>
      </c>
      <c r="D22" s="265" t="n">
        <v>2023</v>
      </c>
      <c r="E22" s="265" t="inlineStr">
        <is>
          <t>Springer</t>
        </is>
      </c>
      <c r="F22" s="112" t="inlineStr">
        <is>
          <t>https://link.springer.com/article/10.1007/s42486-023-00136-7</t>
        </is>
      </c>
      <c r="G22" s="129" t="inlineStr">
        <is>
          <t>Point Cloud Processing
Depthwise Separable Convolution
3D Object Detection
Attention Mechanism
Edge Computing</t>
        </is>
      </c>
      <c r="H22" s="278" t="inlineStr">
        <is>
          <t xml:space="preserve">included </t>
        </is>
      </c>
      <c r="I22" s="34" t="n"/>
      <c r="J22" s="203" t="inlineStr">
        <is>
          <t>Existing 3D obstacle detection models are too computationally heavy and power-intensive for real-time execution on low-cost wearable edge devices for visually impaired pedestrians.</t>
        </is>
      </c>
      <c r="K22" s="203" t="inlineStr">
        <is>
          <t>A lightweight 3D obstacle detection network called L-PointPillars deployed on a wearable edge device to provide real-time audio warnings with significantly reduced parameters.</t>
        </is>
      </c>
    </row>
    <row r="23" ht="72" customHeight="1" s="270">
      <c r="A23" s="382" t="n"/>
      <c r="B23" s="127" t="inlineStr">
        <is>
          <t>10.1177/20552076251408522</t>
        </is>
      </c>
      <c r="C23" s="101" t="inlineStr">
        <is>
          <t>Sensory-driven micro-interventions for improved health and wellbeing(Commentary)</t>
        </is>
      </c>
      <c r="D23" s="103" t="n">
        <v>2025</v>
      </c>
      <c r="E23" s="103" t="inlineStr">
        <is>
          <t>Sage</t>
        </is>
      </c>
      <c r="F23" s="127" t="inlineStr">
        <is>
          <t>https://journals.sagepub.com/doi/10.1177/20552076251408522</t>
        </is>
      </c>
      <c r="G23" s="106" t="inlineStr">
        <is>
          <t>Wearable Sensors
Internet of Things
Machine Learning
Sensory Substitution Systems
Digital Olfactory Interfaces</t>
        </is>
      </c>
      <c r="H23" s="105" t="inlineStr">
        <is>
          <t xml:space="preserve">included </t>
        </is>
      </c>
      <c r="I23" s="271" t="n"/>
      <c r="J23" s="216" t="inlineStr">
        <is>
          <t>Age- and disease-related sensory decline often goes undetected until late stages, lacking proactive and personalized interventions in daily life.</t>
        </is>
      </c>
      <c r="K23" s="216" t="inlineStr">
        <is>
          <t>A digital healthcare paradigm of sensory-driven micro-interventions that tracks sensory changes through daily technology interactions and delivers timely, personalized sensory stimulation.</t>
        </is>
      </c>
    </row>
    <row r="24" ht="60.75" customHeight="1" s="270">
      <c r="A24" s="382" t="n"/>
      <c r="B24" s="162" t="inlineStr">
        <is>
          <t>https://doi.org/10.1038/s41928-023-01074-z</t>
        </is>
      </c>
      <c r="C24" s="203" t="inlineStr">
        <is>
          <t>A skin-integrated multimodal haptic
interface for immersive tactile feedback</t>
        </is>
      </c>
      <c r="D24" s="203" t="n">
        <v>2023</v>
      </c>
      <c r="E24" s="203" t="inlineStr">
        <is>
          <t>Nature</t>
        </is>
      </c>
      <c r="F24" s="162" t="inlineStr">
        <is>
          <t>https://www.nature.com/articles/s41928-023-01074-z</t>
        </is>
      </c>
      <c r="G24" s="203" t="inlineStr">
        <is>
          <t>Multimodal Haptic Feedback, Mechanical Actuators, Electrotactile Stimulation, Thermoelectric Actuators, BLE, VR</t>
        </is>
      </c>
      <c r="H24" s="105" t="inlineStr">
        <is>
          <t>included</t>
        </is>
      </c>
      <c r="I24" s="203" t="n"/>
      <c r="J24" s="203" t="inlineStr">
        <is>
          <t>Wearable haptic devices provide limited feedback, mainly simple vibration and single tactile sensations.</t>
        </is>
      </c>
      <c r="K24" s="279" t="inlineStr">
        <is>
          <t>Skin-integrated multimodal interface combining thermal, mechanical and electrotactile feedback to reproduce diverse tactile sensations.</t>
        </is>
      </c>
    </row>
    <row r="25" ht="45.75" customFormat="1" customHeight="1" s="185">
      <c r="A25" s="384" t="n"/>
      <c r="B25" s="280" t="inlineStr">
        <is>
          <t>https://doi.org/10.1145/3517428.3544797</t>
        </is>
      </c>
      <c r="C25" s="245" t="inlineStr">
        <is>
          <t>Animations at Your Fingertips: Using a Refreshable Tactile
Display to Convey Motion Graphics for People who are Blind or
have Low Vision</t>
        </is>
      </c>
      <c r="D25" s="281" t="n">
        <v>2022</v>
      </c>
      <c r="E25" s="281" t="inlineStr">
        <is>
          <t>ACM</t>
        </is>
      </c>
      <c r="F25" s="280" t="inlineStr">
        <is>
          <t>https://dl.acm.org/doi/10.1145/3517428.354479</t>
        </is>
      </c>
      <c r="G25" s="106"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15.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29.7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59"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73.25"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29.7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44"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87.5"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57.7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115.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86.25"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86.2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72"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72"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72"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73.2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106.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59"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29.7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98"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9" dxfId="14">
      <formula>AND($C2&lt;&gt;"",D2="")</formula>
    </cfRule>
  </conditionalFormatting>
  <conditionalFormatting sqref="I26">
    <cfRule type="expression" priority="8" dxfId="14">
      <formula>AND($C26&lt;&gt;"",I26="")</formula>
    </cfRule>
  </conditionalFormatting>
  <conditionalFormatting sqref="E43">
    <cfRule type="expression" priority="7" dxfId="14">
      <formula>AND($C43&lt;&gt;"",E43="")</formula>
    </cfRule>
  </conditionalFormatting>
  <conditionalFormatting sqref="E45">
    <cfRule type="expression" priority="6" dxfId="14">
      <formula>AND($C45&lt;&gt;"",E45="")</formula>
    </cfRule>
  </conditionalFormatting>
  <conditionalFormatting sqref="I31">
    <cfRule type="expression" priority="5" dxfId="14">
      <formula>AND($C31&lt;&gt;"",I31="")</formula>
    </cfRule>
  </conditionalFormatting>
  <conditionalFormatting sqref="BD33">
    <cfRule type="expression" priority="4" dxfId="14">
      <formula>AND($C35&lt;&gt;"",BD33="")</formula>
    </cfRule>
  </conditionalFormatting>
  <conditionalFormatting sqref="I14">
    <cfRule type="expression" priority="3" dxfId="14">
      <formula>AND($C14&lt;&gt;"",I14="")</formula>
    </cfRule>
  </conditionalFormatting>
  <conditionalFormatting sqref="I21">
    <cfRule type="expression" priority="2" dxfId="14">
      <formula>AND($C21&lt;&gt;"",I21="")</formula>
    </cfRule>
  </conditionalFormatting>
  <conditionalFormatting sqref="C152:C319">
    <cfRule type="expression" priority="574" dxfId="15">
      <formula>AND(C152&lt;&gt;"",COUNTIF($C$2:$C$319,C152)&gt;1)</formula>
    </cfRule>
    <cfRule type="expression" priority="575" dxfId="14">
      <formula>AND($C152&lt;&gt;"",C152="")</formula>
    </cfRule>
  </conditionalFormatting>
  <conditionalFormatting sqref="F141 F152:F319">
    <cfRule type="expression" priority="576" dxfId="15">
      <formula>AND(F141&lt;&gt;"",COUNTIF($F$2:$F$319,F141)&gt;1)</formula>
    </cfRule>
    <cfRule type="expression" priority="577" dxfId="14">
      <formula>AND(C141&lt;&gt;"",F141="")</formula>
    </cfRule>
  </conditionalFormatting>
  <conditionalFormatting sqref="E16">
    <cfRule type="expression" priority="1" dxfId="14">
      <formula>AND($C16&lt;&gt;"",E16="")</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6" r:id="rId26"/>
    <hyperlink xmlns:r="http://schemas.openxmlformats.org/officeDocument/2006/relationships" ref="F16" r:id="rId27"/>
    <hyperlink xmlns:r="http://schemas.openxmlformats.org/officeDocument/2006/relationships" ref="B18" r:id="rId28"/>
    <hyperlink xmlns:r="http://schemas.openxmlformats.org/officeDocument/2006/relationships" ref="F18" r:id="rId29"/>
    <hyperlink xmlns:r="http://schemas.openxmlformats.org/officeDocument/2006/relationships" ref="F19" r:id="rId30"/>
    <hyperlink xmlns:r="http://schemas.openxmlformats.org/officeDocument/2006/relationships" ref="B20" r:id="rId31"/>
    <hyperlink xmlns:r="http://schemas.openxmlformats.org/officeDocument/2006/relationships" ref="F20" r:id="rId32"/>
    <hyperlink xmlns:r="http://schemas.openxmlformats.org/officeDocument/2006/relationships" ref="F21" r:id="rId33"/>
    <hyperlink xmlns:r="http://schemas.openxmlformats.org/officeDocument/2006/relationships" ref="B22" r:id="rId34"/>
    <hyperlink xmlns:r="http://schemas.openxmlformats.org/officeDocument/2006/relationships" ref="F22" r:id="rId35"/>
    <hyperlink xmlns:r="http://schemas.openxmlformats.org/officeDocument/2006/relationships" ref="F23" r:id="rId36"/>
    <hyperlink xmlns:r="http://schemas.openxmlformats.org/officeDocument/2006/relationships" ref="B24" r:id="rId37"/>
    <hyperlink xmlns:r="http://schemas.openxmlformats.org/officeDocument/2006/relationships" ref="F24" r:id="rId38"/>
    <hyperlink xmlns:r="http://schemas.openxmlformats.org/officeDocument/2006/relationships" ref="B25" r:id="rId39"/>
    <hyperlink xmlns:r="http://schemas.openxmlformats.org/officeDocument/2006/relationships" ref="F25" r:id="rId40"/>
    <hyperlink xmlns:r="http://schemas.openxmlformats.org/officeDocument/2006/relationships" ref="F26" r:id="rId41"/>
    <hyperlink xmlns:r="http://schemas.openxmlformats.org/officeDocument/2006/relationships" ref="F28" r:id="rId42"/>
    <hyperlink xmlns:r="http://schemas.openxmlformats.org/officeDocument/2006/relationships" ref="F29" r:id="rId43"/>
    <hyperlink xmlns:r="http://schemas.openxmlformats.org/officeDocument/2006/relationships" ref="F31" r:id="rId44"/>
    <hyperlink xmlns:r="http://schemas.openxmlformats.org/officeDocument/2006/relationships" ref="B32" display="https://doi.org/10.1007/s11042-022-12577-w" r:id="rId45"/>
    <hyperlink xmlns:r="http://schemas.openxmlformats.org/officeDocument/2006/relationships" ref="F32" r:id="rId46"/>
    <hyperlink xmlns:r="http://schemas.openxmlformats.org/officeDocument/2006/relationships" ref="F33" r:id="rId47"/>
    <hyperlink xmlns:r="http://schemas.openxmlformats.org/officeDocument/2006/relationships" ref="F34" r:id="rId48"/>
    <hyperlink xmlns:r="http://schemas.openxmlformats.org/officeDocument/2006/relationships" ref="F36" r:id="rId49"/>
    <hyperlink xmlns:r="http://schemas.openxmlformats.org/officeDocument/2006/relationships" ref="B37" r:id="rId50"/>
    <hyperlink xmlns:r="http://schemas.openxmlformats.org/officeDocument/2006/relationships" ref="F37" r:id="rId51"/>
    <hyperlink xmlns:r="http://schemas.openxmlformats.org/officeDocument/2006/relationships" ref="B38" r:id="rId52"/>
    <hyperlink xmlns:r="http://schemas.openxmlformats.org/officeDocument/2006/relationships" ref="F38" r:id="rId53"/>
    <hyperlink xmlns:r="http://schemas.openxmlformats.org/officeDocument/2006/relationships" ref="B39" r:id="rId54"/>
    <hyperlink xmlns:r="http://schemas.openxmlformats.org/officeDocument/2006/relationships" ref="F39" r:id="rId55"/>
    <hyperlink xmlns:r="http://schemas.openxmlformats.org/officeDocument/2006/relationships" ref="F40" r:id="rId56"/>
    <hyperlink xmlns:r="http://schemas.openxmlformats.org/officeDocument/2006/relationships" ref="F41" r:id="rId57"/>
    <hyperlink xmlns:r="http://schemas.openxmlformats.org/officeDocument/2006/relationships" ref="B42" r:id="rId58"/>
    <hyperlink xmlns:r="http://schemas.openxmlformats.org/officeDocument/2006/relationships" ref="F42" r:id="rId59"/>
    <hyperlink xmlns:r="http://schemas.openxmlformats.org/officeDocument/2006/relationships" ref="F43" r:id="rId60"/>
    <hyperlink xmlns:r="http://schemas.openxmlformats.org/officeDocument/2006/relationships" ref="B44" r:id="rId61"/>
    <hyperlink xmlns:r="http://schemas.openxmlformats.org/officeDocument/2006/relationships" ref="F44" r:id="rId62"/>
    <hyperlink xmlns:r="http://schemas.openxmlformats.org/officeDocument/2006/relationships" ref="B45" r:id="rId63"/>
    <hyperlink xmlns:r="http://schemas.openxmlformats.org/officeDocument/2006/relationships" ref="F45" r:id="rId64"/>
    <hyperlink xmlns:r="http://schemas.openxmlformats.org/officeDocument/2006/relationships" ref="B46" r:id="rId65"/>
    <hyperlink xmlns:r="http://schemas.openxmlformats.org/officeDocument/2006/relationships" ref="B47" r:id="rId66"/>
    <hyperlink xmlns:r="http://schemas.openxmlformats.org/officeDocument/2006/relationships" ref="F47" r:id="rId67"/>
    <hyperlink xmlns:r="http://schemas.openxmlformats.org/officeDocument/2006/relationships" ref="B48" r:id="rId68"/>
    <hyperlink xmlns:r="http://schemas.openxmlformats.org/officeDocument/2006/relationships" ref="F48" r:id="rId69"/>
    <hyperlink xmlns:r="http://schemas.openxmlformats.org/officeDocument/2006/relationships" ref="B49" r:id="rId70"/>
    <hyperlink xmlns:r="http://schemas.openxmlformats.org/officeDocument/2006/relationships" ref="F49" r:id="rId71"/>
    <hyperlink xmlns:r="http://schemas.openxmlformats.org/officeDocument/2006/relationships" ref="B50" r:id="rId72"/>
    <hyperlink xmlns:r="http://schemas.openxmlformats.org/officeDocument/2006/relationships" ref="F50" r:id="rId73"/>
    <hyperlink xmlns:r="http://schemas.openxmlformats.org/officeDocument/2006/relationships" ref="B51" r:id="rId74"/>
    <hyperlink xmlns:r="http://schemas.openxmlformats.org/officeDocument/2006/relationships" ref="F51" r:id="rId75"/>
    <hyperlink xmlns:r="http://schemas.openxmlformats.org/officeDocument/2006/relationships" ref="B52" r:id="rId76"/>
    <hyperlink xmlns:r="http://schemas.openxmlformats.org/officeDocument/2006/relationships" ref="F52" r:id="rId77"/>
    <hyperlink xmlns:r="http://schemas.openxmlformats.org/officeDocument/2006/relationships" ref="B53" r:id="rId78"/>
    <hyperlink xmlns:r="http://schemas.openxmlformats.org/officeDocument/2006/relationships" ref="F53" r:id="rId79"/>
    <hyperlink xmlns:r="http://schemas.openxmlformats.org/officeDocument/2006/relationships" ref="B54" r:id="rId80"/>
    <hyperlink xmlns:r="http://schemas.openxmlformats.org/officeDocument/2006/relationships" ref="F54" r:id="rId81"/>
    <hyperlink xmlns:r="http://schemas.openxmlformats.org/officeDocument/2006/relationships" ref="B55" display="10.1177/10711813251360704" r:id="rId82"/>
    <hyperlink xmlns:r="http://schemas.openxmlformats.org/officeDocument/2006/relationships" ref="F55" r:id="rId83"/>
    <hyperlink xmlns:r="http://schemas.openxmlformats.org/officeDocument/2006/relationships" ref="F56" r:id="rId84"/>
    <hyperlink xmlns:r="http://schemas.openxmlformats.org/officeDocument/2006/relationships" ref="B57" r:id="rId85"/>
    <hyperlink xmlns:r="http://schemas.openxmlformats.org/officeDocument/2006/relationships" ref="F57" r:id="rId86"/>
    <hyperlink xmlns:r="http://schemas.openxmlformats.org/officeDocument/2006/relationships" ref="B58" r:id="rId87"/>
    <hyperlink xmlns:r="http://schemas.openxmlformats.org/officeDocument/2006/relationships" ref="F58" r:id="rId88"/>
    <hyperlink xmlns:r="http://schemas.openxmlformats.org/officeDocument/2006/relationships" ref="B59" r:id="rId89"/>
    <hyperlink xmlns:r="http://schemas.openxmlformats.org/officeDocument/2006/relationships" ref="F59" r:id="rId90"/>
    <hyperlink xmlns:r="http://schemas.openxmlformats.org/officeDocument/2006/relationships" ref="B60" r:id="rId91"/>
    <hyperlink xmlns:r="http://schemas.openxmlformats.org/officeDocument/2006/relationships" ref="F60" r:id="rId92"/>
    <hyperlink xmlns:r="http://schemas.openxmlformats.org/officeDocument/2006/relationships" ref="F61" r:id="rId93"/>
    <hyperlink xmlns:r="http://schemas.openxmlformats.org/officeDocument/2006/relationships" ref="D62" display="10.1016/j.neubiorev.2007.05.010" r:id="rId94"/>
    <hyperlink xmlns:r="http://schemas.openxmlformats.org/officeDocument/2006/relationships" ref="F62" r:id="rId95"/>
    <hyperlink xmlns:r="http://schemas.openxmlformats.org/officeDocument/2006/relationships" ref="F63" r:id="rId96"/>
    <hyperlink xmlns:r="http://schemas.openxmlformats.org/officeDocument/2006/relationships" ref="F64" r:id="rId97"/>
    <hyperlink xmlns:r="http://schemas.openxmlformats.org/officeDocument/2006/relationships" ref="B67" r:id="rId98"/>
    <hyperlink xmlns:r="http://schemas.openxmlformats.org/officeDocument/2006/relationships" ref="F67" r:id="rId99"/>
    <hyperlink xmlns:r="http://schemas.openxmlformats.org/officeDocument/2006/relationships" ref="F73" r:id="rId100"/>
    <hyperlink xmlns:r="http://schemas.openxmlformats.org/officeDocument/2006/relationships" ref="F74" r:id="rId101"/>
    <hyperlink xmlns:r="http://schemas.openxmlformats.org/officeDocument/2006/relationships" ref="F75" r:id="rId102"/>
    <hyperlink xmlns:r="http://schemas.openxmlformats.org/officeDocument/2006/relationships" ref="F76" r:id="rId103"/>
    <hyperlink xmlns:r="http://schemas.openxmlformats.org/officeDocument/2006/relationships" ref="F77" r:id="rId104"/>
    <hyperlink xmlns:r="http://schemas.openxmlformats.org/officeDocument/2006/relationships" ref="F78" r:id="rId105"/>
    <hyperlink xmlns:r="http://schemas.openxmlformats.org/officeDocument/2006/relationships" ref="F79" r:id="rId106"/>
    <hyperlink xmlns:r="http://schemas.openxmlformats.org/officeDocument/2006/relationships" ref="F80" r:id="rId107"/>
    <hyperlink xmlns:r="http://schemas.openxmlformats.org/officeDocument/2006/relationships" ref="F81" r:id="rId108"/>
    <hyperlink xmlns:r="http://schemas.openxmlformats.org/officeDocument/2006/relationships" ref="F82" r:id="rId109"/>
    <hyperlink xmlns:r="http://schemas.openxmlformats.org/officeDocument/2006/relationships" ref="F83" r:id="rId110"/>
    <hyperlink xmlns:r="http://schemas.openxmlformats.org/officeDocument/2006/relationships" ref="B85" r:id="rId111"/>
    <hyperlink xmlns:r="http://schemas.openxmlformats.org/officeDocument/2006/relationships" ref="F85" r:id="rId112"/>
    <hyperlink xmlns:r="http://schemas.openxmlformats.org/officeDocument/2006/relationships" ref="B86" r:id="rId113"/>
    <hyperlink xmlns:r="http://schemas.openxmlformats.org/officeDocument/2006/relationships" ref="F86" r:id="rId114"/>
    <hyperlink xmlns:r="http://schemas.openxmlformats.org/officeDocument/2006/relationships" ref="F87" r:id="rId115"/>
    <hyperlink xmlns:r="http://schemas.openxmlformats.org/officeDocument/2006/relationships" ref="F88" r:id="rId116"/>
    <hyperlink xmlns:r="http://schemas.openxmlformats.org/officeDocument/2006/relationships" ref="F89" r:id="rId117"/>
    <hyperlink xmlns:r="http://schemas.openxmlformats.org/officeDocument/2006/relationships" ref="B98" r:id="rId118"/>
    <hyperlink xmlns:r="http://schemas.openxmlformats.org/officeDocument/2006/relationships" ref="F98" r:id="rId119"/>
    <hyperlink xmlns:r="http://schemas.openxmlformats.org/officeDocument/2006/relationships" ref="B99" r:id="rId120"/>
    <hyperlink xmlns:r="http://schemas.openxmlformats.org/officeDocument/2006/relationships" ref="F99" r:id="rId121"/>
    <hyperlink xmlns:r="http://schemas.openxmlformats.org/officeDocument/2006/relationships" ref="F100" r:id="rId122"/>
    <hyperlink xmlns:r="http://schemas.openxmlformats.org/officeDocument/2006/relationships" ref="F101" r:id="rId123"/>
    <hyperlink xmlns:r="http://schemas.openxmlformats.org/officeDocument/2006/relationships" ref="B109" r:id="rId124"/>
    <hyperlink xmlns:r="http://schemas.openxmlformats.org/officeDocument/2006/relationships" ref="B110" r:id="rId125"/>
    <hyperlink xmlns:r="http://schemas.openxmlformats.org/officeDocument/2006/relationships" ref="F110" r:id="rId126"/>
    <hyperlink xmlns:r="http://schemas.openxmlformats.org/officeDocument/2006/relationships" ref="B111" r:id="rId127"/>
    <hyperlink xmlns:r="http://schemas.openxmlformats.org/officeDocument/2006/relationships" ref="F111" location="Sec12" r:id="rId128"/>
    <hyperlink xmlns:r="http://schemas.openxmlformats.org/officeDocument/2006/relationships" ref="B112" r:id="rId129"/>
    <hyperlink xmlns:r="http://schemas.openxmlformats.org/officeDocument/2006/relationships" ref="F112" location="Abs1" r:id="rId130"/>
    <hyperlink xmlns:r="http://schemas.openxmlformats.org/officeDocument/2006/relationships" ref="B113" r:id="rId131"/>
    <hyperlink xmlns:r="http://schemas.openxmlformats.org/officeDocument/2006/relationships" ref="F113" location="Abs1" r:id="rId132"/>
    <hyperlink xmlns:r="http://schemas.openxmlformats.org/officeDocument/2006/relationships" ref="B114" r:id="rId133"/>
    <hyperlink xmlns:r="http://schemas.openxmlformats.org/officeDocument/2006/relationships" ref="F114" location="Abs1" r:id="rId134"/>
    <hyperlink xmlns:r="http://schemas.openxmlformats.org/officeDocument/2006/relationships" ref="F115" location="Abs1" r:id="rId135"/>
    <hyperlink xmlns:r="http://schemas.openxmlformats.org/officeDocument/2006/relationships" ref="B116" r:id="rId136"/>
    <hyperlink xmlns:r="http://schemas.openxmlformats.org/officeDocument/2006/relationships" ref="B117" r:id="rId137"/>
    <hyperlink xmlns:r="http://schemas.openxmlformats.org/officeDocument/2006/relationships" ref="F117" location="Abs1" r:id="rId138"/>
    <hyperlink xmlns:r="http://schemas.openxmlformats.org/officeDocument/2006/relationships" ref="B118" r:id="rId139"/>
    <hyperlink xmlns:r="http://schemas.openxmlformats.org/officeDocument/2006/relationships" ref="F118" location="Abs1" r:id="rId140"/>
    <hyperlink xmlns:r="http://schemas.openxmlformats.org/officeDocument/2006/relationships" ref="B120" r:id="rId141"/>
    <hyperlink xmlns:r="http://schemas.openxmlformats.org/officeDocument/2006/relationships" ref="F120" r:id="rId142"/>
    <hyperlink xmlns:r="http://schemas.openxmlformats.org/officeDocument/2006/relationships" ref="B131" r:id="rId143"/>
    <hyperlink xmlns:r="http://schemas.openxmlformats.org/officeDocument/2006/relationships" ref="F131" r:id="rId144"/>
    <hyperlink xmlns:r="http://schemas.openxmlformats.org/officeDocument/2006/relationships" ref="F133" r:id="rId145"/>
    <hyperlink xmlns:r="http://schemas.openxmlformats.org/officeDocument/2006/relationships" ref="F134" r:id="rId146"/>
    <hyperlink xmlns:r="http://schemas.openxmlformats.org/officeDocument/2006/relationships" ref="B135" r:id="rId147"/>
    <hyperlink xmlns:r="http://schemas.openxmlformats.org/officeDocument/2006/relationships" ref="F135" r:id="rId148"/>
    <hyperlink xmlns:r="http://schemas.openxmlformats.org/officeDocument/2006/relationships" ref="F136" r:id="rId149"/>
  </hyperlinks>
  <pageMargins left="0.75" right="0.75" top="1" bottom="1" header="0.511811023622047" footer="0.511811023622047"/>
  <pageSetup orientation="portrait" paperSize="9" horizontalDpi="300" verticalDpi="300"/>
  <tableParts count="1">
    <tablePart xmlns:r="http://schemas.openxmlformats.org/officeDocument/2006/relationships" r:id="rId150"/>
  </tableParts>
</worksheet>
</file>

<file path=xl/worksheets/sheet12.xml><?xml version="1.0" encoding="utf-8"?>
<worksheet xmlns="http://schemas.openxmlformats.org/spreadsheetml/2006/main">
  <sheetPr>
    <tabColor rgb="FF003C71"/>
    <outlinePr summaryBelow="1" summaryRight="1"/>
    <pageSetUpPr/>
  </sheetPr>
  <dimension ref="A1:M183"/>
  <sheetViews>
    <sheetView zoomScaleNormal="100" workbookViewId="0">
      <pane xSplit="1" topLeftCell="I1" activePane="topRight" state="frozen"/>
      <selection pane="topRight" activeCell="L1" sqref="L1"/>
      <selection activeCell="A3" sqref="A3"/>
    </sheetView>
  </sheetViews>
  <sheetFormatPr baseColWidth="8" defaultColWidth="13.42578125" defaultRowHeight="15"/>
  <cols>
    <col width="6.5703125" bestFit="1" customWidth="1" style="56" min="1" max="1"/>
    <col width="33.28515625" customWidth="1" style="56" min="2" max="2"/>
    <col width="122.28515625" bestFit="1" customWidth="1" style="56" min="3" max="3"/>
    <col width="15.85546875" bestFit="1" customWidth="1" style="56" min="4" max="4"/>
    <col width="17" bestFit="1" customWidth="1" style="265" min="5" max="5"/>
    <col width="78" bestFit="1" customWidth="1" style="56" min="6" max="6"/>
    <col width="37.140625" bestFit="1" customWidth="1" style="56" min="7" max="7"/>
    <col width="19.5703125" bestFit="1" customWidth="1" style="56" min="8" max="8"/>
    <col width="133" bestFit="1" customWidth="1" style="56" min="9" max="9"/>
    <col width="99.140625" bestFit="1" customWidth="1" style="56" min="10" max="10"/>
    <col width="221.7109375" bestFit="1" customWidth="1" style="56" min="11" max="11"/>
    <col width="19.85546875" customWidth="1" style="56" min="12" max="12"/>
    <col width="26.42578125" customWidth="1" style="56" min="13" max="13"/>
    <col width="15" customWidth="1" style="56" min="14" max="14"/>
    <col width="18" customWidth="1" style="56" min="15" max="15"/>
    <col width="13.42578125" customWidth="1" style="56" min="16" max="1638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s="56"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287" t="n"/>
      <c r="J2" s="262" t="inlineStr">
        <is>
          <t>Limited exploration of EOG in naturalistic/free-viewing conditions
Video-based tracking can fail in blind individuals due to pupil abnormalities or eyelid control
Need to detect eye movements without visual fixation</t>
        </is>
      </c>
      <c r="K2" s="262" t="inlineStr">
        <is>
          <t>EOG-based detection of blinks and saccades
Comparison with video-based eye tracking
Testing under light, darkness, eyes-closed, and congenital blindness
Demonstrated that EOG can detect eye movements in blind participants</t>
        </is>
      </c>
      <c r="L2" s="262" t="n"/>
      <c r="M2" s="262"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88" t="n"/>
      <c r="J3" s="158" t="inlineStr">
        <is>
          <t>Limited understanding of how long-term tactile sensory substitution produces visual perception.
Unclear how the brain reorganizes its pathways during prolonged SSD use.</t>
        </is>
      </c>
      <c r="K3" s="158" t="inlineStr">
        <is>
          <t>Long-term visual-to-tactile stimulation/training.
Investigation of changes in thalamic–occipital connectivity to understand the neural mechanism.</t>
        </is>
      </c>
      <c r="L3" s="158" t="n"/>
      <c r="M3" s="15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52" t="inlineStr">
        <is>
          <t>How the adult brain represents newly learned sensory dimensions in a person who is congenitally blind.</t>
        </is>
      </c>
      <c r="K4" s="286" t="inlineStr">
        <is>
          <t>Convert spatial information into auditory dimensions.
Train the participant to interpret the auditory representation.
Analyze the resulting neural maps and tuning.</t>
        </is>
      </c>
      <c r="L4" s="286" t="n"/>
      <c r="M4" s="25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88" t="n"/>
      <c r="J5" s="158" t="inlineStr">
        <is>
          <t>How sensory-substitution information is processed by the brain.
Whether auditory sensory substitution can engage visual mental imagery.</t>
        </is>
      </c>
      <c r="K5" s="158" t="inlineStr">
        <is>
          <t>Train subjects to interpret auditory representations of visual shapes.
Use neuroimaging and DCM to analyze the resulting brain-network dynamics.</t>
        </is>
      </c>
      <c r="L5" s="158" t="n"/>
      <c r="M5" s="158" t="n"/>
    </row>
    <row r="6" ht="86.25" customHeight="1" s="270">
      <c r="A6" s="382" t="n"/>
      <c r="B6" s="190" t="inlineStr">
        <is>
          <t>10.1177/0145482X19842491</t>
        </is>
      </c>
      <c r="C6" s="265" t="inlineStr">
        <is>
          <t>A Haptic Navigation Aid for Individuals with Visual Impairments: Indoor and Outdoor Feasibility Evaluations of the LaserNavigator</t>
        </is>
      </c>
      <c r="D6" s="265" t="n">
        <v>2019</v>
      </c>
      <c r="E6" s="265"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52" t="inlineStr">
        <is>
          <t>Conventional white canes have a limited detection range.</t>
        </is>
      </c>
      <c r="K6" s="286" t="inlineStr">
        <is>
          <t>Use a laser rangefinder to detect objects beyond normal cane range.
Convert measured distance into haptic feedback.</t>
        </is>
      </c>
      <c r="L6" s="286" t="n"/>
      <c r="M6" s="252" t="n"/>
    </row>
    <row r="7" ht="16.5" customHeight="1" s="270">
      <c r="A7" s="382" t="n"/>
      <c r="B7" s="191" t="inlineStr">
        <is>
          <t>10.5220/0006617505550562</t>
        </is>
      </c>
      <c r="C7" s="265" t="inlineStr">
        <is>
          <t>Wearable RGB Camera-based Navigation System for the Visually Impaired</t>
        </is>
      </c>
      <c r="D7" s="97" t="n">
        <v>2018</v>
      </c>
      <c r="E7" s="180" t="inlineStr">
        <is>
          <t>SciTePress</t>
        </is>
      </c>
      <c r="F7" s="127" t="inlineStr">
        <is>
          <t>https://www.scitepress.org/PublishedPapers/2018/66175/</t>
        </is>
      </c>
      <c r="G7" s="97" t="n"/>
      <c r="H7" s="266" t="inlineStr">
        <is>
          <t>Excluded</t>
        </is>
      </c>
      <c r="I7" s="289" t="inlineStr">
        <is>
          <t>Published by SciTePress</t>
        </is>
      </c>
      <c r="J7" s="97" t="n"/>
      <c r="K7" s="97" t="n"/>
      <c r="L7" s="97" t="n"/>
      <c r="M7" s="97" t="n"/>
    </row>
    <row r="8" ht="16.5" customHeight="1" s="270">
      <c r="A8" s="382" t="n"/>
      <c r="B8" s="190" t="inlineStr">
        <is>
          <t>10.1609/aaai.v37i2.25233</t>
        </is>
      </c>
      <c r="C8" s="265" t="inlineStr">
        <is>
          <t>BEVDepth: Acquisition of Reliable Depth for Multi-View 3D Object Detection</t>
        </is>
      </c>
      <c r="D8" s="265" t="n">
        <v>2023</v>
      </c>
      <c r="E8" s="180" t="inlineStr">
        <is>
          <t>AAAI</t>
        </is>
      </c>
      <c r="F8" s="112" t="inlineStr">
        <is>
          <t>https://ojs.aaai.org/index.php/AAAI/article/view/25233</t>
        </is>
      </c>
      <c r="G8" s="165" t="n"/>
      <c r="H8" s="266" t="inlineStr">
        <is>
          <t>Excluded</t>
        </is>
      </c>
      <c r="I8" s="265" t="inlineStr">
        <is>
          <t>Because it falls in a different feild of study and is published by AAAI</t>
        </is>
      </c>
      <c r="J8" s="252" t="n"/>
      <c r="K8" s="252" t="n"/>
      <c r="L8" s="252" t="n"/>
      <c r="M8" s="252" t="n"/>
    </row>
    <row r="9" ht="16.5" customHeight="1" s="270">
      <c r="A9" s="382" t="n"/>
      <c r="B9" s="194" t="inlineStr">
        <is>
          <t>10.1109/EMBC.2013.6611022</t>
        </is>
      </c>
      <c r="C9" s="290" t="inlineStr">
        <is>
          <t>Electrotactile vision substitution for 3D trajectory following</t>
        </is>
      </c>
      <c r="D9" s="195" t="n">
        <v>2013</v>
      </c>
      <c r="E9" s="196" t="inlineStr">
        <is>
          <t>IEEE</t>
        </is>
      </c>
      <c r="F9" s="127" t="inlineStr">
        <is>
          <t>https://ieeexplore.ieee.org/document/6611022</t>
        </is>
      </c>
      <c r="G9" s="158" t="n"/>
      <c r="H9" s="293" t="inlineStr">
        <is>
          <t>Excluded</t>
        </is>
      </c>
      <c r="I9" s="265" t="inlineStr">
        <is>
          <t>Published in 2013 and The linked IEEE document does not appear to correspond to the assistive-vision/navigation research needed for your review</t>
        </is>
      </c>
      <c r="J9" s="97" t="n"/>
      <c r="K9" s="97" t="n"/>
      <c r="L9" s="97" t="n"/>
      <c r="M9" s="97" t="n"/>
    </row>
    <row r="10" ht="159" customHeight="1" s="270">
      <c r="A10" s="382" t="n"/>
      <c r="B10" s="193" t="inlineStr">
        <is>
          <t>10.1109/EIT51626.2021.9491913</t>
        </is>
      </c>
      <c r="C10" s="56" t="inlineStr">
        <is>
          <t>Visually Impaired Indoor Navigation using YOLO Based Object Recognition, Monocular Depth Estimation and Binaural Sounds</t>
        </is>
      </c>
      <c r="D10" s="265" t="n">
        <v>2021</v>
      </c>
      <c r="E10" s="265"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293" t="inlineStr">
        <is>
          <t>Excluded</t>
        </is>
      </c>
      <c r="I10" s="265" t="inlineStr">
        <is>
          <t>restricted access</t>
        </is>
      </c>
      <c r="J10" s="252" t="inlineStr">
        <is>
          <t>Difficulty detecting objects and understanding their distance and spatial position during indoor navigation.</t>
        </is>
      </c>
      <c r="K10" s="286" t="inlineStr">
        <is>
          <t>YOLO detects objects.
Monocular depth estimation estimates object distance.
Spatial information is converted into binaural audio.
Audio provides directional and distance information to the user.</t>
        </is>
      </c>
      <c r="L10" s="286" t="n"/>
      <c r="M10" s="252" t="n"/>
    </row>
    <row r="11" ht="115.5" customHeight="1" s="270">
      <c r="A11" s="382" t="n"/>
      <c r="B11" s="191" t="inlineStr">
        <is>
          <t>10.1109/TITS.2022.3161141</t>
        </is>
      </c>
      <c r="C11" s="265" t="inlineStr">
        <is>
          <t>Trans4Trans: Efficient Transformer for Transparent Object and Semantic Scene Segmentation in Real-World Navigation Assistance</t>
        </is>
      </c>
      <c r="D11" s="97" t="n">
        <v>2021</v>
      </c>
      <c r="E11" s="265"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293" t="inlineStr">
        <is>
          <t>Excluded</t>
        </is>
      </c>
      <c r="I11" s="294" t="inlineStr">
        <is>
          <t>restricted access</t>
        </is>
      </c>
      <c r="J11" s="252" t="inlineStr">
        <is>
          <t>Transparent objects such as glass doors and glass walls can be incorrectly interpreted as free/walkable space.</t>
        </is>
      </c>
      <c r="K11" s="158" t="inlineStr">
        <is>
          <t>Detect transparent objects separately.
Combine transparent-object segmentation with semantic segmentation and depth information.
Provide navigation feedback to the visually impaired user.</t>
        </is>
      </c>
      <c r="L11" s="291" t="n"/>
      <c r="M11" s="252" t="n"/>
    </row>
    <row r="12" ht="16.5" customHeight="1" s="270">
      <c r="A12" s="382" t="n"/>
      <c r="B12" s="190" t="inlineStr">
        <is>
          <t>10.1109/TOH.2021.3138590</t>
        </is>
      </c>
      <c r="C12" s="265" t="inlineStr">
        <is>
          <t>In-Device Feedback in Immersive Head-Mounted Displays for Distance Perception During Teleoperation of Unmanned Ground Vehicles</t>
        </is>
      </c>
      <c r="D12" s="265" t="n">
        <v>2022</v>
      </c>
      <c r="E12" s="265" t="inlineStr">
        <is>
          <t>arXiv</t>
        </is>
      </c>
      <c r="F12" s="128" t="inlineStr">
        <is>
          <t>https://ieeexplore.ieee.org/document/9664257</t>
        </is>
      </c>
      <c r="G12" s="165" t="n"/>
      <c r="H12" s="266" t="inlineStr">
        <is>
          <t>Excluded</t>
        </is>
      </c>
      <c r="I12" s="265" t="inlineStr">
        <is>
          <t>Different feild of study (The actual application is remote control of unmanned ground vehicles0</t>
        </is>
      </c>
      <c r="J12" s="252" t="n"/>
      <c r="K12" s="252" t="n"/>
      <c r="L12" s="252" t="n"/>
      <c r="M12" s="252" t="n"/>
    </row>
    <row r="13" ht="115.5" customHeight="1" s="270">
      <c r="A13" s="382" t="n"/>
      <c r="B13" s="192" t="inlineStr">
        <is>
          <t>10.48550/arXiv.2201.04453</t>
        </is>
      </c>
      <c r="C13" s="265" t="inlineStr">
        <is>
          <t>Obstacle Avoidance for Blind People Using a 3D Camera and a Haptic Feedback Sleeve</t>
        </is>
      </c>
      <c r="D13" s="188" t="n">
        <v>2022</v>
      </c>
      <c r="E13" s="56"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292" t="n"/>
      <c r="J13" s="216" t="inlineStr">
        <is>
          <t>Limited obstacle detection range using conventional aids.
Difficulty providing multidimensional information about obstacles.
Some existing approaches depend on lighting conditions.</t>
        </is>
      </c>
      <c r="K13" s="274" t="inlineStr">
        <is>
          <t>Capture 3D depth information using the RealSense camera.
Convert the depth map into a 5×5 spatial representation.
Map each region to a corresponding vibration motor.
Use vibration intensity to communicate obstacle distance.</t>
        </is>
      </c>
      <c r="L13" s="188" t="n"/>
      <c r="M13" s="216" t="n"/>
    </row>
    <row r="16">
      <c r="B16" s="272">
        <f>IF(C16="","","PID-"&amp;TEXT(ROW()-2,"0000"))</f>
        <v/>
      </c>
      <c r="D16" s="272" t="n"/>
      <c r="F16" s="272" t="n"/>
      <c r="G16" s="272" t="n"/>
    </row>
    <row r="17">
      <c r="B17" s="272">
        <f>IF(C17="","","PID-"&amp;TEXT(ROW()-2,"0000"))</f>
        <v/>
      </c>
      <c r="D17" s="272" t="n"/>
      <c r="F17" s="272" t="n"/>
      <c r="G17" s="272" t="n"/>
    </row>
    <row r="18">
      <c r="B18" s="272">
        <f>IF(C18="","","PID-"&amp;TEXT(ROW()-2,"0000"))</f>
        <v/>
      </c>
      <c r="D18" s="272" t="n"/>
      <c r="F18" s="272" t="n"/>
      <c r="G18" s="272" t="n"/>
    </row>
    <row r="19">
      <c r="B19" s="272">
        <f>IF(C19="","","PID-"&amp;TEXT(ROW()-2,"0000"))</f>
        <v/>
      </c>
      <c r="D19" s="272" t="n"/>
      <c r="F19" s="272" t="n"/>
      <c r="G19" s="272" t="n"/>
    </row>
    <row r="20">
      <c r="B20" s="272">
        <f>IF(C20="","","PID-"&amp;TEXT(ROW()-2,"0000"))</f>
        <v/>
      </c>
      <c r="D20" s="272" t="n"/>
      <c r="F20" s="272" t="n"/>
      <c r="G20" s="272" t="n"/>
    </row>
    <row r="21">
      <c r="B21" s="272">
        <f>IF(C21="","","PID-"&amp;TEXT(ROW()-2,"0000"))</f>
        <v/>
      </c>
      <c r="D21" s="272" t="n"/>
      <c r="F21" s="272" t="n"/>
      <c r="G21" s="272" t="n"/>
    </row>
    <row r="22">
      <c r="B22" s="272">
        <f>IF(C22="","","PID-"&amp;TEXT(ROW()-2,"0000"))</f>
        <v/>
      </c>
      <c r="C22" s="272" t="n"/>
      <c r="D22" s="272" t="n"/>
      <c r="F22" s="272" t="n"/>
      <c r="G22" s="272" t="n"/>
    </row>
    <row r="23">
      <c r="B23" s="272">
        <f>IF(C23="","","PID-"&amp;TEXT(ROW()-2,"0000"))</f>
        <v/>
      </c>
      <c r="C23" s="272" t="n"/>
      <c r="D23" s="272" t="n"/>
      <c r="E23" s="255" t="n"/>
      <c r="F23" s="272" t="n"/>
      <c r="G23" s="272" t="n"/>
    </row>
    <row r="24">
      <c r="B24" s="272">
        <f>IF(C24="","","PID-"&amp;TEXT(ROW()-2,"0000"))</f>
        <v/>
      </c>
      <c r="C24" s="272" t="n"/>
      <c r="D24" s="272" t="n"/>
      <c r="E24" s="255" t="n"/>
      <c r="F24" s="272" t="n"/>
      <c r="G24" s="272" t="n"/>
    </row>
    <row r="25">
      <c r="B25" s="272">
        <f>IF(C25="","","PID-"&amp;TEXT(ROW()-2,"0000"))</f>
        <v/>
      </c>
      <c r="C25" s="272" t="n"/>
      <c r="D25" s="272" t="n"/>
      <c r="E25" s="255" t="n"/>
      <c r="F25" s="272" t="n"/>
      <c r="G25" s="272" t="n"/>
    </row>
    <row r="26">
      <c r="B26" s="272">
        <f>IF(C26="","","PID-"&amp;TEXT(ROW()-2,"0000"))</f>
        <v/>
      </c>
      <c r="C26" s="272" t="n"/>
      <c r="D26" s="272" t="n"/>
      <c r="E26" s="255" t="n"/>
      <c r="F26" s="272" t="n"/>
      <c r="G26" s="272" t="n"/>
    </row>
    <row r="27">
      <c r="B27" s="272">
        <f>IF(C27="","","PID-"&amp;TEXT(ROW()-2,"0000"))</f>
        <v/>
      </c>
      <c r="C27" s="272" t="n"/>
      <c r="D27" s="272" t="n"/>
      <c r="E27" s="255" t="n"/>
      <c r="F27" s="272" t="n"/>
      <c r="G27" s="272" t="n"/>
    </row>
    <row r="28">
      <c r="B28" s="272">
        <f>IF(C28="","","PID-"&amp;TEXT(ROW()-2,"0000"))</f>
        <v/>
      </c>
      <c r="C28" s="272" t="n"/>
      <c r="D28" s="272" t="n"/>
      <c r="E28" s="255" t="n"/>
      <c r="F28" s="272" t="n"/>
      <c r="G28" s="272" t="n"/>
    </row>
    <row r="29">
      <c r="B29" s="272">
        <f>IF(C29="","","PID-"&amp;TEXT(ROW()-2,"0000"))</f>
        <v/>
      </c>
      <c r="C29" s="272" t="n"/>
      <c r="D29" s="272" t="n"/>
      <c r="E29" s="255" t="n"/>
      <c r="F29" s="272" t="n"/>
      <c r="G29" s="272" t="n"/>
    </row>
    <row r="30">
      <c r="B30" s="272">
        <f>IF(C30="","","PID-"&amp;TEXT(ROW()-2,"0000"))</f>
        <v/>
      </c>
      <c r="C30" s="272" t="n"/>
      <c r="D30" s="272" t="n"/>
      <c r="E30" s="255" t="n"/>
      <c r="F30" s="272" t="n"/>
      <c r="G30" s="272" t="n"/>
    </row>
    <row r="31">
      <c r="B31" s="272">
        <f>IF(C31="","","PID-"&amp;TEXT(ROW()-2,"0000"))</f>
        <v/>
      </c>
      <c r="C31" s="272" t="n"/>
      <c r="D31" s="272" t="n"/>
      <c r="E31" s="255" t="n"/>
      <c r="F31" s="272" t="n"/>
      <c r="G31" s="272" t="n"/>
    </row>
    <row r="32">
      <c r="B32" s="272">
        <f>IF(C32="","","PID-"&amp;TEXT(ROW()-2,"0000"))</f>
        <v/>
      </c>
      <c r="C32" s="272" t="n"/>
      <c r="D32" s="272" t="n"/>
      <c r="E32" s="255" t="n"/>
      <c r="F32" s="272" t="n"/>
      <c r="G32" s="272" t="n"/>
    </row>
    <row r="33">
      <c r="B33" s="272">
        <f>IF(C33="","","PID-"&amp;TEXT(ROW()-2,"0000"))</f>
        <v/>
      </c>
      <c r="C33" s="272" t="n"/>
      <c r="D33" s="272" t="n"/>
      <c r="E33" s="255" t="n"/>
      <c r="F33" s="272" t="n"/>
      <c r="G33" s="272" t="n"/>
    </row>
    <row r="34">
      <c r="B34" s="272">
        <f>IF(C34="","","PID-"&amp;TEXT(ROW()-2,"0000"))</f>
        <v/>
      </c>
      <c r="C34" s="272" t="n"/>
      <c r="D34" s="272" t="n"/>
      <c r="E34" s="255" t="n"/>
      <c r="F34" s="272" t="n"/>
      <c r="G34" s="272" t="n"/>
    </row>
    <row r="35">
      <c r="B35" s="272">
        <f>IF(C35="","","PID-"&amp;TEXT(ROW()-2,"0000"))</f>
        <v/>
      </c>
      <c r="C35" s="272" t="n"/>
      <c r="D35" s="272" t="n"/>
      <c r="E35" s="255" t="n"/>
      <c r="F35" s="272" t="n"/>
      <c r="G35" s="272" t="n"/>
    </row>
    <row r="36">
      <c r="B36" s="272">
        <f>IF(C36="","","PID-"&amp;TEXT(ROW()-2,"0000"))</f>
        <v/>
      </c>
      <c r="C36" s="272" t="n"/>
      <c r="D36" s="272" t="n"/>
      <c r="E36" s="255" t="n"/>
      <c r="F36" s="272" t="n"/>
      <c r="G36" s="272" t="n"/>
    </row>
    <row r="37">
      <c r="B37" s="272">
        <f>IF(C37="","","PID-"&amp;TEXT(ROW()-2,"0000"))</f>
        <v/>
      </c>
      <c r="C37" s="272" t="n"/>
      <c r="D37" s="272" t="n"/>
      <c r="E37" s="255" t="n"/>
      <c r="F37" s="272" t="n"/>
      <c r="G37" s="272" t="n"/>
    </row>
    <row r="38">
      <c r="B38" s="272">
        <f>IF(C38="","","PID-"&amp;TEXT(ROW()-2,"0000"))</f>
        <v/>
      </c>
      <c r="C38" s="272" t="n"/>
      <c r="D38" s="272" t="n"/>
      <c r="E38" s="255" t="n"/>
      <c r="F38" s="272" t="n"/>
      <c r="G38" s="272" t="n"/>
    </row>
    <row r="39">
      <c r="B39" s="272">
        <f>IF(C39="","","PID-"&amp;TEXT(ROW()-2,"0000"))</f>
        <v/>
      </c>
      <c r="C39" s="272" t="n"/>
      <c r="D39" s="272" t="n"/>
      <c r="E39" s="255" t="n"/>
      <c r="F39" s="272" t="n"/>
      <c r="G39" s="272" t="n"/>
    </row>
    <row r="40">
      <c r="B40" s="272">
        <f>IF(C40="","","PID-"&amp;TEXT(ROW()-2,"0000"))</f>
        <v/>
      </c>
      <c r="C40" s="272" t="n"/>
      <c r="D40" s="272" t="n"/>
      <c r="E40" s="255" t="n"/>
      <c r="F40" s="272" t="n"/>
      <c r="G40" s="272" t="n"/>
    </row>
    <row r="41">
      <c r="B41" s="272">
        <f>IF(C41="","","PID-"&amp;TEXT(ROW()-2,"0000"))</f>
        <v/>
      </c>
      <c r="C41" s="272" t="n"/>
      <c r="D41" s="272" t="n"/>
      <c r="E41" s="255" t="n"/>
      <c r="F41" s="272" t="n"/>
      <c r="G41" s="272" t="n"/>
    </row>
    <row r="42">
      <c r="B42" s="272">
        <f>IF(C42="","","PID-"&amp;TEXT(ROW()-2,"0000"))</f>
        <v/>
      </c>
      <c r="C42" s="272" t="n"/>
      <c r="D42" s="272" t="n"/>
      <c r="E42" s="255" t="n"/>
      <c r="F42" s="272" t="n"/>
      <c r="G42" s="272" t="n"/>
    </row>
    <row r="43">
      <c r="B43" s="272">
        <f>IF(C43="","","PID-"&amp;TEXT(ROW()-2,"0000"))</f>
        <v/>
      </c>
      <c r="C43" s="272" t="n"/>
      <c r="D43" s="272" t="n"/>
      <c r="E43" s="255" t="n"/>
      <c r="F43" s="272" t="n"/>
      <c r="G43" s="272" t="n"/>
    </row>
    <row r="44">
      <c r="B44" s="272">
        <f>IF(C44="","","PID-"&amp;TEXT(ROW()-2,"0000"))</f>
        <v/>
      </c>
      <c r="C44" s="272" t="n"/>
      <c r="D44" s="272" t="n"/>
      <c r="E44" s="255" t="n"/>
      <c r="F44" s="272" t="n"/>
      <c r="G44" s="272" t="n"/>
    </row>
    <row r="45">
      <c r="B45" s="272">
        <f>IF(C45="","","PID-"&amp;TEXT(ROW()-2,"0000"))</f>
        <v/>
      </c>
      <c r="C45" s="272" t="n"/>
      <c r="D45" s="272" t="n"/>
      <c r="E45" s="255" t="n"/>
      <c r="F45" s="272" t="n"/>
      <c r="G45" s="272" t="n"/>
    </row>
    <row r="46">
      <c r="B46" s="272">
        <f>IF(C46="","","PID-"&amp;TEXT(ROW()-2,"0000"))</f>
        <v/>
      </c>
      <c r="C46" s="272" t="n"/>
      <c r="D46" s="272" t="n"/>
      <c r="E46" s="255" t="n"/>
      <c r="F46" s="272" t="n"/>
      <c r="G46" s="272" t="n"/>
    </row>
    <row r="47">
      <c r="B47" s="272">
        <f>IF(C47="","","PID-"&amp;TEXT(ROW()-2,"0000"))</f>
        <v/>
      </c>
      <c r="C47" s="272" t="n"/>
      <c r="D47" s="272" t="n"/>
      <c r="E47" s="255" t="n"/>
      <c r="F47" s="272" t="n"/>
      <c r="G47" s="272" t="n"/>
    </row>
    <row r="48">
      <c r="B48" s="272">
        <f>IF(C48="","","PID-"&amp;TEXT(ROW()-2,"0000"))</f>
        <v/>
      </c>
      <c r="C48" s="272" t="n"/>
      <c r="D48" s="272" t="n"/>
      <c r="E48" s="255" t="n"/>
      <c r="F48" s="272" t="n"/>
      <c r="G48" s="272" t="n"/>
    </row>
    <row r="49">
      <c r="B49" s="272">
        <f>IF(C49="","","PID-"&amp;TEXT(ROW()-2,"0000"))</f>
        <v/>
      </c>
      <c r="C49" s="272" t="n"/>
      <c r="D49" s="272" t="n"/>
      <c r="E49" s="255" t="n"/>
      <c r="F49" s="272" t="n"/>
      <c r="G49" s="272" t="n"/>
    </row>
    <row r="50">
      <c r="B50" s="272">
        <f>IF(C50="","","PID-"&amp;TEXT(ROW()-2,"0000"))</f>
        <v/>
      </c>
      <c r="C50" s="272" t="n"/>
      <c r="D50" s="272" t="n"/>
      <c r="E50" s="255" t="n"/>
      <c r="F50" s="272" t="n"/>
      <c r="G50" s="272" t="n"/>
    </row>
    <row r="51">
      <c r="B51" s="272">
        <f>IF(C51="","","PID-"&amp;TEXT(ROW()-2,"0000"))</f>
        <v/>
      </c>
      <c r="C51" s="272" t="n"/>
      <c r="D51" s="272" t="n"/>
      <c r="E51" s="255" t="n"/>
      <c r="F51" s="272" t="n"/>
      <c r="G51" s="272" t="n"/>
    </row>
    <row r="52">
      <c r="B52" s="272">
        <f>IF(C52="","","PID-"&amp;TEXT(ROW()-2,"0000"))</f>
        <v/>
      </c>
      <c r="C52" s="272" t="n"/>
      <c r="D52" s="272" t="n"/>
      <c r="E52" s="255" t="n"/>
      <c r="F52" s="272" t="n"/>
      <c r="G52" s="272" t="n"/>
    </row>
    <row r="53">
      <c r="B53" s="272">
        <f>IF(C53="","","PID-"&amp;TEXT(ROW()-2,"0000"))</f>
        <v/>
      </c>
      <c r="C53" s="272" t="n"/>
      <c r="D53" s="272" t="n"/>
      <c r="E53" s="255" t="n"/>
      <c r="F53" s="272" t="n"/>
      <c r="G53" s="272" t="n"/>
    </row>
    <row r="54">
      <c r="B54" s="272">
        <f>IF(C54="","","PID-"&amp;TEXT(ROW()-2,"0000"))</f>
        <v/>
      </c>
      <c r="C54" s="272" t="n"/>
      <c r="D54" s="272" t="n"/>
      <c r="E54" s="255" t="n"/>
      <c r="F54" s="272" t="n"/>
      <c r="G54" s="272" t="n"/>
    </row>
    <row r="55">
      <c r="B55" s="272">
        <f>IF(C55="","","PID-"&amp;TEXT(ROW()-2,"0000"))</f>
        <v/>
      </c>
      <c r="C55" s="272" t="n"/>
      <c r="D55" s="272" t="n"/>
      <c r="E55" s="255" t="n"/>
      <c r="F55" s="272" t="n"/>
      <c r="G55" s="272" t="n"/>
    </row>
    <row r="56">
      <c r="B56" s="272">
        <f>IF(C56="","","PID-"&amp;TEXT(ROW()-2,"0000"))</f>
        <v/>
      </c>
      <c r="C56" s="272" t="n"/>
      <c r="D56" s="272" t="n"/>
      <c r="E56" s="255" t="n"/>
      <c r="F56" s="272" t="n"/>
      <c r="G56" s="272" t="n"/>
    </row>
    <row r="57">
      <c r="B57" s="272">
        <f>IF(C57="","","PID-"&amp;TEXT(ROW()-2,"0000"))</f>
        <v/>
      </c>
      <c r="C57" s="272" t="n"/>
      <c r="D57" s="272" t="n"/>
      <c r="E57" s="255" t="n"/>
      <c r="F57" s="272" t="n"/>
      <c r="G57" s="272" t="n"/>
    </row>
    <row r="58">
      <c r="B58" s="272">
        <f>IF(C58="","","PID-"&amp;TEXT(ROW()-2,"0000"))</f>
        <v/>
      </c>
      <c r="C58" s="272" t="n"/>
      <c r="D58" s="272" t="n"/>
      <c r="E58" s="255" t="n"/>
      <c r="F58" s="272" t="n"/>
      <c r="G58" s="272" t="n"/>
    </row>
    <row r="59">
      <c r="B59" s="272">
        <f>IF(C59="","","PID-"&amp;TEXT(ROW()-2,"0000"))</f>
        <v/>
      </c>
      <c r="C59" s="272" t="n"/>
      <c r="D59" s="272" t="n"/>
      <c r="E59" s="255" t="n"/>
      <c r="F59" s="272" t="n"/>
      <c r="G59" s="272" t="n"/>
    </row>
    <row r="60">
      <c r="B60" s="272">
        <f>IF(C60="","","PID-"&amp;TEXT(ROW()-2,"0000"))</f>
        <v/>
      </c>
      <c r="C60" s="272" t="n"/>
      <c r="D60" s="272" t="n"/>
      <c r="E60" s="255" t="n"/>
      <c r="F60" s="272" t="n"/>
      <c r="G60" s="272" t="n"/>
    </row>
    <row r="61">
      <c r="B61" s="272">
        <f>IF(C61="","","PID-"&amp;TEXT(ROW()-2,"0000"))</f>
        <v/>
      </c>
      <c r="C61" s="272" t="n"/>
      <c r="D61" s="272" t="n"/>
      <c r="E61" s="255" t="n"/>
      <c r="F61" s="272" t="n"/>
      <c r="G61" s="272" t="n"/>
    </row>
    <row r="62">
      <c r="B62" s="272">
        <f>IF(C62="","","PID-"&amp;TEXT(ROW()-2,"0000"))</f>
        <v/>
      </c>
      <c r="C62" s="272" t="n"/>
      <c r="D62" s="272" t="n"/>
      <c r="E62" s="255" t="n"/>
      <c r="F62" s="272" t="n"/>
      <c r="G62" s="272" t="n"/>
    </row>
    <row r="63">
      <c r="B63" s="272">
        <f>IF(C63="","","PID-"&amp;TEXT(ROW()-2,"0000"))</f>
        <v/>
      </c>
      <c r="C63" s="272" t="n"/>
      <c r="D63" s="272" t="n"/>
      <c r="E63" s="255" t="n"/>
      <c r="F63" s="272" t="n"/>
      <c r="G63" s="272" t="n"/>
    </row>
    <row r="64">
      <c r="B64" s="272">
        <f>IF(C64="","","PID-"&amp;TEXT(ROW()-2,"0000"))</f>
        <v/>
      </c>
      <c r="C64" s="272" t="n"/>
      <c r="D64" s="272" t="n"/>
      <c r="E64" s="255" t="n"/>
      <c r="F64" s="272" t="n"/>
      <c r="G64" s="272" t="n"/>
    </row>
    <row r="65">
      <c r="B65" s="272">
        <f>IF(C65="","","PID-"&amp;TEXT(ROW()-2,"0000"))</f>
        <v/>
      </c>
      <c r="C65" s="272" t="n"/>
      <c r="D65" s="272" t="n"/>
      <c r="E65" s="255" t="n"/>
      <c r="F65" s="272" t="n"/>
      <c r="G65" s="272" t="n"/>
    </row>
    <row r="66">
      <c r="B66" s="272">
        <f>IF(C66="","","PID-"&amp;TEXT(ROW()-2,"0000"))</f>
        <v/>
      </c>
      <c r="C66" s="272" t="n"/>
      <c r="D66" s="272" t="n"/>
      <c r="E66" s="255" t="n"/>
      <c r="F66" s="272" t="n"/>
      <c r="G66" s="272" t="n"/>
    </row>
    <row r="67">
      <c r="B67" s="272">
        <f>IF(C67="","","PID-"&amp;TEXT(ROW()-2,"0000"))</f>
        <v/>
      </c>
      <c r="C67" s="272" t="n"/>
      <c r="D67" s="272" t="n"/>
      <c r="E67" s="255" t="n"/>
      <c r="F67" s="272" t="n"/>
      <c r="G67" s="272" t="n"/>
    </row>
    <row r="68">
      <c r="B68" s="272">
        <f>IF(C68="","","PID-"&amp;TEXT(ROW()-2,"0000"))</f>
        <v/>
      </c>
      <c r="C68" s="272" t="n"/>
      <c r="D68" s="272" t="n"/>
      <c r="E68" s="255" t="n"/>
      <c r="F68" s="272" t="n"/>
      <c r="G68" s="272" t="n"/>
    </row>
    <row r="69">
      <c r="B69" s="272">
        <f>IF(C69="","","PID-"&amp;TEXT(ROW()-2,"0000"))</f>
        <v/>
      </c>
      <c r="C69" s="272" t="n"/>
      <c r="D69" s="272" t="n"/>
      <c r="E69" s="255" t="n"/>
      <c r="F69" s="272" t="n"/>
      <c r="G69" s="272" t="n"/>
    </row>
    <row r="70">
      <c r="B70" s="272">
        <f>IF(C70="","","PID-"&amp;TEXT(ROW()-2,"0000"))</f>
        <v/>
      </c>
      <c r="C70" s="272" t="n"/>
      <c r="D70" s="272" t="n"/>
      <c r="E70" s="255" t="n"/>
      <c r="F70" s="272" t="n"/>
      <c r="G70" s="272" t="n"/>
    </row>
    <row r="71">
      <c r="B71" s="272">
        <f>IF(C71="","","PID-"&amp;TEXT(ROW()-2,"0000"))</f>
        <v/>
      </c>
      <c r="C71" s="272" t="n"/>
      <c r="D71" s="272" t="n"/>
      <c r="E71" s="255" t="n"/>
      <c r="F71" s="272" t="n"/>
      <c r="G71" s="272" t="n"/>
    </row>
    <row r="72">
      <c r="B72" s="272">
        <f>IF(C72="","","PID-"&amp;TEXT(ROW()-2,"0000"))</f>
        <v/>
      </c>
      <c r="C72" s="272" t="n"/>
      <c r="D72" s="272" t="n"/>
      <c r="E72" s="255" t="n"/>
      <c r="F72" s="272" t="n"/>
      <c r="G72" s="272" t="n"/>
    </row>
    <row r="73">
      <c r="B73" s="272">
        <f>IF(C73="","","PID-"&amp;TEXT(ROW()-2,"0000"))</f>
        <v/>
      </c>
      <c r="C73" s="272" t="n"/>
      <c r="D73" s="272" t="n"/>
      <c r="E73" s="255" t="n"/>
      <c r="F73" s="272" t="n"/>
      <c r="G73" s="272" t="n"/>
    </row>
    <row r="74">
      <c r="B74" s="272">
        <f>IF(C74="","","PID-"&amp;TEXT(ROW()-2,"0000"))</f>
        <v/>
      </c>
      <c r="C74" s="272" t="n"/>
      <c r="D74" s="272" t="n"/>
      <c r="E74" s="255" t="n"/>
      <c r="F74" s="272" t="n"/>
      <c r="G74" s="272" t="n"/>
    </row>
    <row r="75">
      <c r="B75" s="272">
        <f>IF(C75="","","PID-"&amp;TEXT(ROW()-2,"0000"))</f>
        <v/>
      </c>
      <c r="C75" s="272" t="n"/>
      <c r="D75" s="272" t="n"/>
      <c r="E75" s="255" t="n"/>
      <c r="F75" s="272" t="n"/>
      <c r="G75" s="272" t="n"/>
    </row>
    <row r="76">
      <c r="B76" s="272">
        <f>IF(C76="","","PID-"&amp;TEXT(ROW()-2,"0000"))</f>
        <v/>
      </c>
      <c r="C76" s="272" t="n"/>
      <c r="D76" s="272" t="n"/>
      <c r="E76" s="255" t="n"/>
      <c r="F76" s="272" t="n"/>
      <c r="G76" s="272" t="n"/>
    </row>
    <row r="77">
      <c r="B77" s="272">
        <f>IF(C77="","","PID-"&amp;TEXT(ROW()-2,"0000"))</f>
        <v/>
      </c>
      <c r="C77" s="272" t="n"/>
      <c r="D77" s="272" t="n"/>
      <c r="E77" s="255" t="n"/>
      <c r="F77" s="272" t="n"/>
      <c r="G77" s="272" t="n"/>
    </row>
    <row r="78">
      <c r="B78" s="272">
        <f>IF(C78="","","PID-"&amp;TEXT(ROW()-2,"0000"))</f>
        <v/>
      </c>
      <c r="C78" s="272" t="n"/>
      <c r="D78" s="272" t="n"/>
      <c r="E78" s="255" t="n"/>
      <c r="F78" s="272" t="n"/>
      <c r="G78" s="272" t="n"/>
    </row>
    <row r="79">
      <c r="B79" s="272">
        <f>IF(C79="","","PID-"&amp;TEXT(ROW()-2,"0000"))</f>
        <v/>
      </c>
      <c r="C79" s="272" t="n"/>
      <c r="D79" s="272" t="n"/>
      <c r="E79" s="255" t="n"/>
      <c r="F79" s="272" t="n"/>
      <c r="G79" s="272" t="n"/>
    </row>
    <row r="80">
      <c r="B80" s="272">
        <f>IF(C80="","","PID-"&amp;TEXT(ROW()-2,"0000"))</f>
        <v/>
      </c>
      <c r="C80" s="272" t="n"/>
      <c r="D80" s="272" t="n"/>
      <c r="E80" s="255" t="n"/>
      <c r="F80" s="272" t="n"/>
      <c r="G80" s="272" t="n"/>
    </row>
    <row r="81">
      <c r="B81" s="272">
        <f>IF(C81="","","PID-"&amp;TEXT(ROW()-2,"0000"))</f>
        <v/>
      </c>
      <c r="C81" s="272" t="n"/>
      <c r="D81" s="272" t="n"/>
      <c r="E81" s="255" t="n"/>
      <c r="F81" s="272" t="n"/>
      <c r="G81" s="272" t="n"/>
    </row>
    <row r="82">
      <c r="B82" s="272">
        <f>IF(C82="","","PID-"&amp;TEXT(ROW()-2,"0000"))</f>
        <v/>
      </c>
      <c r="C82" s="272" t="n"/>
      <c r="D82" s="272" t="n"/>
      <c r="E82" s="255" t="n"/>
      <c r="F82" s="272" t="n"/>
      <c r="G82" s="272" t="n"/>
    </row>
    <row r="83">
      <c r="B83" s="272">
        <f>IF(C83="","","PID-"&amp;TEXT(ROW()-2,"0000"))</f>
        <v/>
      </c>
      <c r="C83" s="272" t="n"/>
      <c r="D83" s="272" t="n"/>
      <c r="E83" s="255" t="n"/>
      <c r="F83" s="272" t="n"/>
      <c r="G83" s="272" t="n"/>
    </row>
    <row r="84">
      <c r="B84" s="272">
        <f>IF(C84="","","PID-"&amp;TEXT(ROW()-2,"0000"))</f>
        <v/>
      </c>
      <c r="C84" s="272" t="n"/>
      <c r="D84" s="272" t="n"/>
      <c r="E84" s="255" t="n"/>
      <c r="F84" s="272" t="n"/>
      <c r="G84" s="272" t="n"/>
    </row>
    <row r="85">
      <c r="B85" s="272">
        <f>IF(C85="","","PID-"&amp;TEXT(ROW()-2,"0000"))</f>
        <v/>
      </c>
      <c r="C85" s="272" t="n"/>
      <c r="D85" s="272" t="n"/>
      <c r="E85" s="255" t="n"/>
      <c r="F85" s="272" t="n"/>
      <c r="G85" s="272" t="n"/>
    </row>
    <row r="86">
      <c r="B86" s="272">
        <f>IF(C86="","","PID-"&amp;TEXT(ROW()-2,"0000"))</f>
        <v/>
      </c>
      <c r="C86" s="272" t="n"/>
      <c r="D86" s="272" t="n"/>
      <c r="E86" s="255" t="n"/>
      <c r="F86" s="272" t="n"/>
      <c r="G86" s="272" t="n"/>
    </row>
    <row r="87">
      <c r="B87" s="272">
        <f>IF(C87="","","PID-"&amp;TEXT(ROW()-2,"0000"))</f>
        <v/>
      </c>
      <c r="C87" s="272" t="n"/>
      <c r="D87" s="272" t="n"/>
      <c r="E87" s="255" t="n"/>
      <c r="F87" s="272" t="n"/>
      <c r="G87" s="272" t="n"/>
    </row>
    <row r="88">
      <c r="B88" s="272">
        <f>IF(C88="","","PID-"&amp;TEXT(ROW()-2,"0000"))</f>
        <v/>
      </c>
      <c r="C88" s="272" t="n"/>
      <c r="D88" s="272" t="n"/>
      <c r="E88" s="255" t="n"/>
      <c r="F88" s="272" t="n"/>
      <c r="G88" s="272" t="n"/>
    </row>
    <row r="89">
      <c r="B89" s="272">
        <f>IF(C89="","","PID-"&amp;TEXT(ROW()-2,"0000"))</f>
        <v/>
      </c>
      <c r="C89" s="272" t="n"/>
      <c r="D89" s="272" t="n"/>
      <c r="E89" s="255" t="n"/>
      <c r="F89" s="272" t="n"/>
      <c r="G89" s="272" t="n"/>
    </row>
    <row r="90">
      <c r="B90" s="272">
        <f>IF(C90="","","PID-"&amp;TEXT(ROW()-2,"0000"))</f>
        <v/>
      </c>
      <c r="C90" s="272" t="n"/>
      <c r="D90" s="272" t="n"/>
      <c r="E90" s="255" t="n"/>
      <c r="F90" s="272" t="n"/>
      <c r="G90" s="272" t="n"/>
    </row>
    <row r="91">
      <c r="B91" s="272">
        <f>IF(C91="","","PID-"&amp;TEXT(ROW()-2,"0000"))</f>
        <v/>
      </c>
      <c r="C91" s="272" t="n"/>
      <c r="D91" s="272" t="n"/>
      <c r="E91" s="255" t="n"/>
      <c r="F91" s="272" t="n"/>
      <c r="G91" s="272" t="n"/>
    </row>
    <row r="92">
      <c r="B92" s="272">
        <f>IF(C92="","","PID-"&amp;TEXT(ROW()-2,"0000"))</f>
        <v/>
      </c>
      <c r="C92" s="272" t="n"/>
      <c r="D92" s="272" t="n"/>
      <c r="E92" s="255" t="n"/>
      <c r="F92" s="272" t="n"/>
      <c r="G92" s="272" t="n"/>
    </row>
    <row r="93">
      <c r="B93" s="272">
        <f>IF(C93="","","PID-"&amp;TEXT(ROW()-2,"0000"))</f>
        <v/>
      </c>
      <c r="C93" s="272" t="n"/>
      <c r="D93" s="272" t="n"/>
      <c r="E93" s="255" t="n"/>
      <c r="F93" s="272" t="n"/>
      <c r="G93" s="272" t="n"/>
    </row>
    <row r="94">
      <c r="B94" s="272">
        <f>IF(C94="","","PID-"&amp;TEXT(ROW()-2,"0000"))</f>
        <v/>
      </c>
      <c r="C94" s="272" t="n"/>
      <c r="D94" s="272" t="n"/>
      <c r="E94" s="255" t="n"/>
      <c r="F94" s="272" t="n"/>
      <c r="G94" s="272" t="n"/>
    </row>
    <row r="95">
      <c r="B95" s="272">
        <f>IF(C95="","","PID-"&amp;TEXT(ROW()-2,"0000"))</f>
        <v/>
      </c>
      <c r="C95" s="272" t="n"/>
      <c r="D95" s="272" t="n"/>
      <c r="E95" s="255" t="n"/>
      <c r="F95" s="272" t="n"/>
      <c r="G95" s="272" t="n"/>
    </row>
    <row r="96">
      <c r="B96" s="272">
        <f>IF(C96="","","PID-"&amp;TEXT(ROW()-2,"0000"))</f>
        <v/>
      </c>
      <c r="C96" s="272" t="n"/>
      <c r="D96" s="272" t="n"/>
      <c r="E96" s="255" t="n"/>
      <c r="F96" s="272" t="n"/>
      <c r="G96" s="272" t="n"/>
    </row>
    <row r="97">
      <c r="B97" s="272">
        <f>IF(C97="","","PID-"&amp;TEXT(ROW()-2,"0000"))</f>
        <v/>
      </c>
      <c r="C97" s="272" t="n"/>
      <c r="D97" s="272" t="n"/>
      <c r="E97" s="255" t="n"/>
      <c r="F97" s="272" t="n"/>
      <c r="G97" s="272" t="n"/>
    </row>
    <row r="98">
      <c r="B98" s="272">
        <f>IF(C98="","","PID-"&amp;TEXT(ROW()-2,"0000"))</f>
        <v/>
      </c>
      <c r="C98" s="272" t="n"/>
      <c r="D98" s="272" t="n"/>
      <c r="E98" s="255" t="n"/>
      <c r="F98" s="272" t="n"/>
      <c r="G98" s="272" t="n"/>
    </row>
    <row r="99">
      <c r="B99" s="272">
        <f>IF(C99="","","PID-"&amp;TEXT(ROW()-2,"0000"))</f>
        <v/>
      </c>
      <c r="C99" s="272" t="n"/>
      <c r="D99" s="272" t="n"/>
      <c r="E99" s="255" t="n"/>
      <c r="F99" s="272" t="n"/>
      <c r="G99" s="272" t="n"/>
    </row>
    <row r="100">
      <c r="B100" s="272">
        <f>IF(C100="","","PID-"&amp;TEXT(ROW()-2,"0000"))</f>
        <v/>
      </c>
      <c r="C100" s="272" t="n"/>
      <c r="D100" s="272" t="n"/>
      <c r="E100" s="255" t="n"/>
      <c r="F100" s="272" t="n"/>
      <c r="G100" s="272" t="n"/>
    </row>
    <row r="101">
      <c r="B101" s="272">
        <f>IF(C101="","","PID-"&amp;TEXT(ROW()-2,"0000"))</f>
        <v/>
      </c>
      <c r="C101" s="272" t="n"/>
      <c r="D101" s="272" t="n"/>
      <c r="E101" s="255" t="n"/>
      <c r="F101" s="272" t="n"/>
      <c r="G101" s="272" t="n"/>
    </row>
    <row r="102">
      <c r="B102" s="272">
        <f>IF(C102="","","PID-"&amp;TEXT(ROW()-2,"0000"))</f>
        <v/>
      </c>
      <c r="C102" s="272" t="n"/>
      <c r="D102" s="272" t="n"/>
      <c r="E102" s="255" t="n"/>
      <c r="F102" s="272" t="n"/>
      <c r="G102" s="272" t="n"/>
    </row>
    <row r="103">
      <c r="B103" s="272">
        <f>IF(C103="","","PID-"&amp;TEXT(ROW()-2,"0000"))</f>
        <v/>
      </c>
      <c r="C103" s="272" t="n"/>
      <c r="D103" s="272" t="n"/>
      <c r="E103" s="255" t="n"/>
      <c r="F103" s="272" t="n"/>
      <c r="G103" s="272" t="n"/>
    </row>
    <row r="104">
      <c r="B104" s="272">
        <f>IF(C104="","","PID-"&amp;TEXT(ROW()-2,"0000"))</f>
        <v/>
      </c>
      <c r="C104" s="272" t="n"/>
      <c r="D104" s="272" t="n"/>
      <c r="E104" s="255" t="n"/>
      <c r="F104" s="272" t="n"/>
      <c r="G104" s="272" t="n"/>
    </row>
    <row r="105">
      <c r="B105" s="272">
        <f>IF(C105="","","PID-"&amp;TEXT(ROW()-2,"0000"))</f>
        <v/>
      </c>
      <c r="C105" s="272" t="n"/>
      <c r="D105" s="272" t="n"/>
      <c r="E105" s="255" t="n"/>
      <c r="F105" s="272" t="n"/>
      <c r="G105" s="272" t="n"/>
    </row>
    <row r="106">
      <c r="B106" s="272">
        <f>IF(C106="","","PID-"&amp;TEXT(ROW()-2,"0000"))</f>
        <v/>
      </c>
      <c r="C106" s="272" t="n"/>
      <c r="D106" s="272" t="n"/>
      <c r="E106" s="255" t="n"/>
      <c r="F106" s="272" t="n"/>
      <c r="G106" s="272" t="n"/>
    </row>
    <row r="107">
      <c r="B107" s="272">
        <f>IF(C107="","","PID-"&amp;TEXT(ROW()-2,"0000"))</f>
        <v/>
      </c>
      <c r="C107" s="272" t="n"/>
      <c r="D107" s="272" t="n"/>
      <c r="E107" s="255" t="n"/>
      <c r="F107" s="272" t="n"/>
      <c r="G107" s="272" t="n"/>
    </row>
    <row r="108">
      <c r="B108" s="272">
        <f>IF(C108="","","PID-"&amp;TEXT(ROW()-2,"0000"))</f>
        <v/>
      </c>
      <c r="C108" s="272" t="n"/>
      <c r="D108" s="272" t="n"/>
      <c r="E108" s="255" t="n"/>
      <c r="F108" s="272" t="n"/>
      <c r="G108" s="272" t="n"/>
    </row>
    <row r="109">
      <c r="B109" s="272">
        <f>IF(C109="","","PID-"&amp;TEXT(ROW()-2,"0000"))</f>
        <v/>
      </c>
      <c r="C109" s="272" t="n"/>
      <c r="D109" s="272" t="n"/>
      <c r="E109" s="255" t="n"/>
      <c r="F109" s="272" t="n"/>
      <c r="G109" s="272" t="n"/>
    </row>
    <row r="110">
      <c r="B110" s="272">
        <f>IF(C110="","","PID-"&amp;TEXT(ROW()-2,"0000"))</f>
        <v/>
      </c>
      <c r="C110" s="272" t="n"/>
      <c r="D110" s="272" t="n"/>
      <c r="E110" s="255" t="n"/>
      <c r="F110" s="272" t="n"/>
      <c r="G110" s="272" t="n"/>
    </row>
    <row r="111">
      <c r="B111" s="272">
        <f>IF(C111="","","PID-"&amp;TEXT(ROW()-2,"0000"))</f>
        <v/>
      </c>
      <c r="C111" s="272" t="n"/>
      <c r="D111" s="272" t="n"/>
      <c r="E111" s="255" t="n"/>
      <c r="F111" s="272" t="n"/>
      <c r="G111" s="272" t="n"/>
    </row>
    <row r="112">
      <c r="B112" s="272">
        <f>IF(C112="","","PID-"&amp;TEXT(ROW()-2,"0000"))</f>
        <v/>
      </c>
      <c r="C112" s="272" t="n"/>
      <c r="D112" s="272" t="n"/>
      <c r="E112" s="255" t="n"/>
      <c r="F112" s="272" t="n"/>
      <c r="G112" s="272" t="n"/>
    </row>
    <row r="113">
      <c r="B113" s="272">
        <f>IF(C113="","","PID-"&amp;TEXT(ROW()-2,"0000"))</f>
        <v/>
      </c>
      <c r="C113" s="272" t="n"/>
      <c r="D113" s="272" t="n"/>
      <c r="E113" s="255" t="n"/>
      <c r="F113" s="272" t="n"/>
      <c r="G113" s="272" t="n"/>
    </row>
    <row r="114">
      <c r="B114" s="272">
        <f>IF(C114="","","PID-"&amp;TEXT(ROW()-2,"0000"))</f>
        <v/>
      </c>
      <c r="C114" s="272" t="n"/>
      <c r="D114" s="272" t="n"/>
      <c r="E114" s="255" t="n"/>
      <c r="F114" s="272" t="n"/>
      <c r="G114" s="272" t="n"/>
    </row>
    <row r="115">
      <c r="B115" s="272">
        <f>IF(C115="","","PID-"&amp;TEXT(ROW()-2,"0000"))</f>
        <v/>
      </c>
      <c r="C115" s="272" t="n"/>
      <c r="D115" s="272" t="n"/>
      <c r="E115" s="255" t="n"/>
      <c r="F115" s="272" t="n"/>
      <c r="G115" s="272" t="n"/>
    </row>
    <row r="116">
      <c r="B116" s="272">
        <f>IF(C116="","","PID-"&amp;TEXT(ROW()-2,"0000"))</f>
        <v/>
      </c>
      <c r="C116" s="272" t="n"/>
      <c r="D116" s="272" t="n"/>
      <c r="E116" s="255" t="n"/>
      <c r="F116" s="272" t="n"/>
      <c r="G116" s="272" t="n"/>
    </row>
    <row r="117">
      <c r="B117" s="272">
        <f>IF(C117="","","PID-"&amp;TEXT(ROW()-2,"0000"))</f>
        <v/>
      </c>
      <c r="C117" s="272" t="n"/>
      <c r="D117" s="272" t="n"/>
      <c r="E117" s="255" t="n"/>
      <c r="F117" s="272" t="n"/>
      <c r="G117" s="272" t="n"/>
    </row>
    <row r="118">
      <c r="B118" s="272">
        <f>IF(C118="","","PID-"&amp;TEXT(ROW()-2,"0000"))</f>
        <v/>
      </c>
      <c r="C118" s="272" t="n"/>
      <c r="D118" s="272" t="n"/>
      <c r="E118" s="255" t="n"/>
      <c r="F118" s="272" t="n"/>
      <c r="G118" s="272" t="n"/>
    </row>
    <row r="119">
      <c r="B119" s="272">
        <f>IF(C119="","","PID-"&amp;TEXT(ROW()-2,"0000"))</f>
        <v/>
      </c>
      <c r="C119" s="272" t="n"/>
      <c r="D119" s="272" t="n"/>
      <c r="E119" s="255" t="n"/>
      <c r="F119" s="272" t="n"/>
      <c r="G119" s="272" t="n"/>
    </row>
    <row r="120">
      <c r="B120" s="272">
        <f>IF(C120="","","PID-"&amp;TEXT(ROW()-2,"0000"))</f>
        <v/>
      </c>
      <c r="C120" s="272" t="n"/>
      <c r="D120" s="272" t="n"/>
      <c r="E120" s="255" t="n"/>
      <c r="F120" s="272" t="n"/>
      <c r="G120" s="272" t="n"/>
    </row>
    <row r="121">
      <c r="B121" s="272">
        <f>IF(C121="","","PID-"&amp;TEXT(ROW()-2,"0000"))</f>
        <v/>
      </c>
      <c r="C121" s="272" t="n"/>
      <c r="D121" s="272" t="n"/>
      <c r="E121" s="255" t="n"/>
      <c r="F121" s="272" t="n"/>
      <c r="G121" s="272" t="n"/>
    </row>
    <row r="122">
      <c r="B122" s="272">
        <f>IF(C122="","","PID-"&amp;TEXT(ROW()-2,"0000"))</f>
        <v/>
      </c>
      <c r="C122" s="272" t="n"/>
      <c r="D122" s="272" t="n"/>
      <c r="E122" s="255" t="n"/>
      <c r="F122" s="272" t="n"/>
      <c r="G122" s="272" t="n"/>
    </row>
    <row r="123">
      <c r="B123" s="272">
        <f>IF(C123="","","PID-"&amp;TEXT(ROW()-2,"0000"))</f>
        <v/>
      </c>
      <c r="C123" s="272" t="n"/>
      <c r="D123" s="272" t="n"/>
      <c r="E123" s="255" t="n"/>
      <c r="F123" s="272" t="n"/>
      <c r="G123" s="272" t="n"/>
    </row>
    <row r="124">
      <c r="B124" s="272">
        <f>IF(C124="","","PID-"&amp;TEXT(ROW()-2,"0000"))</f>
        <v/>
      </c>
      <c r="C124" s="272" t="n"/>
      <c r="D124" s="272" t="n"/>
      <c r="E124" s="255" t="n"/>
      <c r="F124" s="272" t="n"/>
      <c r="G124" s="272" t="n"/>
    </row>
    <row r="125">
      <c r="B125" s="272">
        <f>IF(C125="","","PID-"&amp;TEXT(ROW()-2,"0000"))</f>
        <v/>
      </c>
      <c r="C125" s="272" t="n"/>
      <c r="D125" s="272" t="n"/>
      <c r="E125" s="255" t="n"/>
      <c r="F125" s="272" t="n"/>
      <c r="G125" s="272" t="n"/>
    </row>
    <row r="126">
      <c r="B126" s="272">
        <f>IF(C126="","","PID-"&amp;TEXT(ROW()-2,"0000"))</f>
        <v/>
      </c>
      <c r="C126" s="272" t="n"/>
      <c r="D126" s="272" t="n"/>
      <c r="E126" s="255" t="n"/>
      <c r="F126" s="272" t="n"/>
      <c r="G126" s="272" t="n"/>
    </row>
    <row r="127">
      <c r="B127" s="272">
        <f>IF(C127="","","PID-"&amp;TEXT(ROW()-2,"0000"))</f>
        <v/>
      </c>
      <c r="C127" s="272" t="n"/>
      <c r="D127" s="272" t="n"/>
      <c r="E127" s="255" t="n"/>
      <c r="F127" s="272" t="n"/>
      <c r="G127" s="272" t="n"/>
    </row>
    <row r="128">
      <c r="B128" s="272">
        <f>IF(C128="","","PID-"&amp;TEXT(ROW()-2,"0000"))</f>
        <v/>
      </c>
      <c r="C128" s="272" t="n"/>
      <c r="D128" s="272" t="n"/>
      <c r="E128" s="255" t="n"/>
      <c r="F128" s="272" t="n"/>
      <c r="G128" s="272" t="n"/>
    </row>
    <row r="129">
      <c r="B129" s="272">
        <f>IF(C129="","","PID-"&amp;TEXT(ROW()-2,"0000"))</f>
        <v/>
      </c>
      <c r="C129" s="272" t="n"/>
      <c r="D129" s="272" t="n"/>
      <c r="E129" s="255" t="n"/>
      <c r="F129" s="272" t="n"/>
      <c r="G129" s="272" t="n"/>
    </row>
    <row r="130">
      <c r="B130" s="272">
        <f>IF(C130="","","PID-"&amp;TEXT(ROW()-2,"0000"))</f>
        <v/>
      </c>
      <c r="C130" s="272" t="n"/>
      <c r="D130" s="272" t="n"/>
      <c r="E130" s="255" t="n"/>
      <c r="F130" s="272" t="n"/>
      <c r="G130" s="272" t="n"/>
    </row>
    <row r="131">
      <c r="B131" s="272">
        <f>IF(C131="","","PID-"&amp;TEXT(ROW()-2,"0000"))</f>
        <v/>
      </c>
      <c r="C131" s="272" t="n"/>
      <c r="D131" s="272" t="n"/>
      <c r="E131" s="255" t="n"/>
      <c r="F131" s="272" t="n"/>
      <c r="G131" s="272" t="n"/>
    </row>
    <row r="132">
      <c r="B132" s="272">
        <f>IF(C132="","","PID-"&amp;TEXT(ROW()-2,"0000"))</f>
        <v/>
      </c>
      <c r="C132" s="272" t="n"/>
      <c r="D132" s="272" t="n"/>
      <c r="E132" s="255" t="n"/>
      <c r="F132" s="272" t="n"/>
      <c r="G132" s="272" t="n"/>
    </row>
    <row r="133">
      <c r="B133" s="272">
        <f>IF(C133="","","PID-"&amp;TEXT(ROW()-2,"0000"))</f>
        <v/>
      </c>
      <c r="C133" s="272" t="n"/>
      <c r="D133" s="272" t="n"/>
      <c r="E133" s="255" t="n"/>
      <c r="F133" s="272" t="n"/>
      <c r="G133" s="272" t="n"/>
    </row>
    <row r="134">
      <c r="B134" s="272">
        <f>IF(C134="","","PID-"&amp;TEXT(ROW()-2,"0000"))</f>
        <v/>
      </c>
      <c r="C134" s="272" t="n"/>
      <c r="D134" s="272" t="n"/>
      <c r="E134" s="255" t="n"/>
      <c r="F134" s="272" t="n"/>
      <c r="G134" s="272" t="n"/>
    </row>
    <row r="135">
      <c r="B135" s="272">
        <f>IF(C135="","","PID-"&amp;TEXT(ROW()-2,"0000"))</f>
        <v/>
      </c>
      <c r="C135" s="272" t="n"/>
      <c r="D135" s="272" t="n"/>
      <c r="E135" s="255" t="n"/>
      <c r="F135" s="272" t="n"/>
      <c r="G135" s="272" t="n"/>
    </row>
    <row r="136">
      <c r="B136" s="272">
        <f>IF(C136="","","PID-"&amp;TEXT(ROW()-2,"0000"))</f>
        <v/>
      </c>
      <c r="C136" s="272" t="n"/>
      <c r="D136" s="272" t="n"/>
      <c r="E136" s="255" t="n"/>
      <c r="F136" s="272" t="n"/>
      <c r="G136" s="272" t="n"/>
    </row>
    <row r="137">
      <c r="B137" s="272">
        <f>IF(C137="","","PID-"&amp;TEXT(ROW()-2,"0000"))</f>
        <v/>
      </c>
      <c r="C137" s="272" t="n"/>
      <c r="D137" s="272" t="n"/>
      <c r="E137" s="255" t="n"/>
      <c r="F137" s="272" t="n"/>
      <c r="G137" s="272" t="n"/>
    </row>
    <row r="138">
      <c r="B138" s="272">
        <f>IF(C138="","","PID-"&amp;TEXT(ROW()-2,"0000"))</f>
        <v/>
      </c>
      <c r="C138" s="272" t="n"/>
      <c r="D138" s="272" t="n"/>
      <c r="E138" s="255" t="n"/>
      <c r="F138" s="272" t="n"/>
      <c r="G138" s="272" t="n"/>
    </row>
    <row r="139">
      <c r="B139" s="272">
        <f>IF(C139="","","PID-"&amp;TEXT(ROW()-2,"0000"))</f>
        <v/>
      </c>
      <c r="C139" s="272" t="n"/>
      <c r="D139" s="272" t="n"/>
      <c r="E139" s="255" t="n"/>
      <c r="F139" s="272" t="n"/>
      <c r="G139" s="272" t="n"/>
    </row>
    <row r="140">
      <c r="B140" s="272">
        <f>IF(C140="","","PID-"&amp;TEXT(ROW()-2,"0000"))</f>
        <v/>
      </c>
      <c r="C140" s="272" t="n"/>
      <c r="D140" s="272" t="n"/>
      <c r="E140" s="255" t="n"/>
      <c r="F140" s="272" t="n"/>
      <c r="G140" s="272" t="n"/>
    </row>
    <row r="141">
      <c r="B141" s="272">
        <f>IF(C141="","","PID-"&amp;TEXT(ROW()-2,"0000"))</f>
        <v/>
      </c>
      <c r="C141" s="272" t="n"/>
      <c r="D141" s="272" t="n"/>
      <c r="E141" s="255" t="n"/>
      <c r="F141" s="272" t="n"/>
      <c r="G141" s="272" t="n"/>
    </row>
    <row r="142">
      <c r="B142" s="272">
        <f>IF(C142="","","PID-"&amp;TEXT(ROW()-2,"0000"))</f>
        <v/>
      </c>
      <c r="C142" s="272" t="n"/>
      <c r="D142" s="272" t="n"/>
      <c r="E142" s="255" t="n"/>
      <c r="F142" s="272" t="n"/>
      <c r="G142" s="272" t="n"/>
    </row>
    <row r="143">
      <c r="B143" s="272">
        <f>IF(C143="","","PID-"&amp;TEXT(ROW()-2,"0000"))</f>
        <v/>
      </c>
      <c r="C143" s="272" t="n"/>
      <c r="D143" s="272" t="n"/>
      <c r="E143" s="255" t="n"/>
      <c r="F143" s="272" t="n"/>
      <c r="G143" s="272" t="n"/>
    </row>
    <row r="144">
      <c r="B144" s="272">
        <f>IF(C144="","","PID-"&amp;TEXT(ROW()-2,"0000"))</f>
        <v/>
      </c>
      <c r="C144" s="272" t="n"/>
      <c r="D144" s="272" t="n"/>
      <c r="E144" s="255" t="n"/>
      <c r="F144" s="272" t="n"/>
      <c r="G144" s="272" t="n"/>
    </row>
    <row r="145">
      <c r="B145" s="272">
        <f>IF(C145="","","PID-"&amp;TEXT(ROW()-2,"0000"))</f>
        <v/>
      </c>
      <c r="C145" s="272" t="n"/>
      <c r="D145" s="272" t="n"/>
      <c r="E145" s="255" t="n"/>
      <c r="F145" s="272" t="n"/>
      <c r="G145" s="272" t="n"/>
    </row>
    <row r="146">
      <c r="B146" s="272">
        <f>IF(C146="","","PID-"&amp;TEXT(ROW()-2,"0000"))</f>
        <v/>
      </c>
      <c r="C146" s="272" t="n"/>
      <c r="D146" s="272" t="n"/>
      <c r="E146" s="255" t="n"/>
      <c r="F146" s="272" t="n"/>
      <c r="G146" s="272" t="n"/>
    </row>
    <row r="147">
      <c r="B147" s="272">
        <f>IF(C147="","","PID-"&amp;TEXT(ROW()-2,"0000"))</f>
        <v/>
      </c>
      <c r="C147" s="272" t="n"/>
      <c r="D147" s="272" t="n"/>
      <c r="E147" s="255" t="n"/>
      <c r="F147" s="272" t="n"/>
      <c r="G147" s="272" t="n"/>
    </row>
    <row r="148">
      <c r="B148" s="272">
        <f>IF(C148="","","PID-"&amp;TEXT(ROW()-2,"0000"))</f>
        <v/>
      </c>
      <c r="C148" s="272" t="n"/>
      <c r="D148" s="272" t="n"/>
      <c r="E148" s="255" t="n"/>
      <c r="F148" s="272" t="n"/>
      <c r="G148" s="272" t="n"/>
    </row>
    <row r="149">
      <c r="B149" s="272">
        <f>IF(C149="","","PID-"&amp;TEXT(ROW()-2,"0000"))</f>
        <v/>
      </c>
      <c r="C149" s="272" t="n"/>
      <c r="D149" s="272" t="n"/>
      <c r="E149" s="255" t="n"/>
      <c r="F149" s="272" t="n"/>
      <c r="G149" s="272" t="n"/>
    </row>
    <row r="150">
      <c r="B150" s="272">
        <f>IF(C150="","","PID-"&amp;TEXT(ROW()-2,"0000"))</f>
        <v/>
      </c>
      <c r="C150" s="272" t="n"/>
      <c r="D150" s="272" t="n"/>
      <c r="E150" s="255" t="n"/>
      <c r="F150" s="272" t="n"/>
      <c r="G150" s="272" t="n"/>
    </row>
    <row r="151">
      <c r="B151" s="272">
        <f>IF(C151="","","PID-"&amp;TEXT(ROW()-2,"0000"))</f>
        <v/>
      </c>
      <c r="C151" s="272" t="n"/>
      <c r="D151" s="272" t="n"/>
      <c r="E151" s="255" t="n"/>
      <c r="F151" s="272" t="n"/>
      <c r="G151" s="272" t="n"/>
    </row>
    <row r="152">
      <c r="B152" s="272">
        <f>IF(C152="","","PID-"&amp;TEXT(ROW()-2,"0000"))</f>
        <v/>
      </c>
      <c r="C152" s="272" t="n"/>
      <c r="D152" s="272" t="n"/>
      <c r="E152" s="255" t="n"/>
      <c r="F152" s="272" t="n"/>
      <c r="G152" s="272" t="n"/>
    </row>
    <row r="153">
      <c r="B153" s="272">
        <f>IF(C153="","","PID-"&amp;TEXT(ROW()-2,"0000"))</f>
        <v/>
      </c>
      <c r="C153" s="272" t="n"/>
      <c r="D153" s="272" t="n"/>
      <c r="E153" s="255" t="n"/>
      <c r="F153" s="272" t="n"/>
      <c r="G153" s="272" t="n"/>
    </row>
    <row r="154">
      <c r="B154" s="272">
        <f>IF(C154="","","PID-"&amp;TEXT(ROW()-2,"0000"))</f>
        <v/>
      </c>
      <c r="C154" s="272" t="n"/>
      <c r="D154" s="272" t="n"/>
      <c r="E154" s="255" t="n"/>
      <c r="F154" s="272" t="n"/>
      <c r="G154" s="272" t="n"/>
    </row>
    <row r="155">
      <c r="B155" s="272">
        <f>IF(C155="","","PID-"&amp;TEXT(ROW()-2,"0000"))</f>
        <v/>
      </c>
      <c r="C155" s="272" t="n"/>
      <c r="D155" s="272" t="n"/>
      <c r="E155" s="255" t="n"/>
      <c r="F155" s="272" t="n"/>
      <c r="G155" s="272" t="n"/>
    </row>
    <row r="156">
      <c r="B156" s="272">
        <f>IF(C156="","","PID-"&amp;TEXT(ROW()-2,"0000"))</f>
        <v/>
      </c>
      <c r="C156" s="272" t="n"/>
      <c r="D156" s="272" t="n"/>
      <c r="E156" s="255" t="n"/>
      <c r="F156" s="272" t="n"/>
      <c r="G156" s="272" t="n"/>
    </row>
    <row r="157">
      <c r="B157" s="272">
        <f>IF(C157="","","PID-"&amp;TEXT(ROW()-2,"0000"))</f>
        <v/>
      </c>
      <c r="C157" s="272" t="n"/>
      <c r="D157" s="272" t="n"/>
      <c r="E157" s="255" t="n"/>
      <c r="F157" s="272" t="n"/>
      <c r="G157" s="272" t="n"/>
    </row>
    <row r="158">
      <c r="B158" s="272">
        <f>IF(C158="","","PID-"&amp;TEXT(ROW()-2,"0000"))</f>
        <v/>
      </c>
      <c r="C158" s="272" t="n"/>
      <c r="D158" s="272" t="n"/>
      <c r="E158" s="255"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sheetData>
  <mergeCells count="1">
    <mergeCell ref="A2:A13"/>
  </mergeCells>
  <conditionalFormatting sqref="D16:E183 E2 E4">
    <cfRule type="expression" priority="8" dxfId="14">
      <formula>AND($C2&lt;&gt;"",D2="")</formula>
    </cfRule>
  </conditionalFormatting>
  <conditionalFormatting sqref="C16:C183">
    <cfRule type="expression" priority="569" dxfId="15">
      <formula>AND(C16&lt;&gt;"",COUNTIF($C$2:$C$183,C16)&gt;1)</formula>
    </cfRule>
    <cfRule type="expression" priority="570" dxfId="14">
      <formula>AND($C16&lt;&gt;"",C16="")</formula>
    </cfRule>
  </conditionalFormatting>
  <conditionalFormatting sqref="F16:F183">
    <cfRule type="expression" priority="571" dxfId="15">
      <formula>AND(F16&lt;&gt;"",COUNTIF($F$2:$F$183,F16)&gt;1)</formula>
    </cfRule>
    <cfRule type="expression" priority="572" dxfId="14">
      <formula>AND(C16&lt;&gt;"",F16="")</formula>
    </cfRule>
  </conditionalFormatting>
  <dataValidations count="1">
    <dataValidation sqref="D16:D183"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s>
  <pageMargins left="0.75" right="0.75" top="1" bottom="1" header="0.511811023622047" footer="0.511811023622047"/>
  <pageSetup orientation="portrait" paperSize="9" horizontalDpi="300" verticalDpi="300"/>
  <tableParts count="1">
    <tablePart xmlns:r="http://schemas.openxmlformats.org/officeDocument/2006/relationships" r:id="rId24"/>
  </tableParts>
</worksheet>
</file>

<file path=xl/worksheets/sheet13.xml><?xml version="1.0" encoding="utf-8"?>
<worksheet xmlns="http://schemas.openxmlformats.org/spreadsheetml/2006/main">
  <sheetPr>
    <tabColor rgb="FF0B5394"/>
    <outlinePr summaryBelow="1" summaryRight="1"/>
    <pageSetUpPr/>
  </sheetPr>
  <dimension ref="B2:D25"/>
  <sheetViews>
    <sheetView showGridLines="0" zoomScaleNormal="100" workbookViewId="0">
      <selection activeCell="D13" sqref="D13"/>
    </sheetView>
  </sheetViews>
  <sheetFormatPr baseColWidth="8" defaultColWidth="8.7109375" defaultRowHeight="15"/>
  <cols>
    <col width="3" customWidth="1" style="270" min="1" max="1"/>
    <col width="40" customWidth="1" style="270" min="2" max="2"/>
    <col width="16" customWidth="1" style="270" min="3" max="3"/>
    <col width="50" customWidth="1" style="270" min="4" max="4"/>
  </cols>
  <sheetData>
    <row r="2" ht="21" customHeight="1" s="270">
      <c r="B2" s="3" t="inlineStr">
        <is>
          <t>PRISMA 2020 Flow Tracking — PASR Systematic Literature Review</t>
        </is>
      </c>
    </row>
    <row r="3">
      <c r="B3" s="4" t="inlineStr">
        <is>
          <t>Yellow cells are editable inputs. All other values are calculated automatically.</t>
        </is>
      </c>
    </row>
    <row r="5">
      <c r="B5" s="1" t="inlineStr">
        <is>
          <t>PRISMA Stage</t>
        </is>
      </c>
      <c r="C5" s="1" t="inlineStr">
        <is>
          <t>Count</t>
        </is>
      </c>
      <c r="D5" s="1" t="inlineStr">
        <is>
          <t>Notes</t>
        </is>
      </c>
    </row>
    <row r="6">
      <c r="B6" s="5" t="inlineStr">
        <is>
          <t>1. Records Identified (all databases/registers)</t>
        </is>
      </c>
      <c r="C6" s="6" t="n">
        <v>141</v>
      </c>
      <c r="D6" s="7" t="inlineStr">
        <is>
          <t>Manual input: total hits across IEEE Xplore, ACM DL, Scopus, etc.</t>
        </is>
      </c>
    </row>
    <row r="7">
      <c r="B7" s="5" t="inlineStr">
        <is>
          <t>2. Duplicate Records Removed</t>
        </is>
      </c>
      <c r="C7" s="6" t="n">
        <v>4</v>
      </c>
      <c r="D7" s="7" t="inlineStr">
        <is>
          <t>Manual input: duplicates removed before screening.</t>
        </is>
      </c>
    </row>
    <row r="8">
      <c r="B8" s="5" t="inlineStr">
        <is>
          <t>3. Records Screened (title/abstract)</t>
        </is>
      </c>
      <c r="C8" s="8">
        <f>C6-C7</f>
        <v/>
      </c>
      <c r="D8" s="7" t="inlineStr">
        <is>
          <t>Auto: Identified − Duplicates removed.</t>
        </is>
      </c>
    </row>
    <row r="9">
      <c r="B9" s="5" t="inlineStr">
        <is>
          <t>4. Records Excluded (title/abstract screening)</t>
        </is>
      </c>
      <c r="C9" s="6" t="n">
        <v>2</v>
      </c>
      <c r="D9" s="7" t="inlineStr">
        <is>
          <t>Manual input: excluded after title/abstract screening.</t>
        </is>
      </c>
    </row>
    <row r="10">
      <c r="B10" s="5" t="inlineStr">
        <is>
          <t>5. Full-text Papers Assessed for Eligibility</t>
        </is>
      </c>
      <c r="C10" s="8" t="n">
        <v>135</v>
      </c>
      <c r="D10" s="7" t="inlineStr">
        <is>
          <t>Auto: Screened − Excluded at screening.</t>
        </is>
      </c>
    </row>
    <row r="11">
      <c r="B11" s="5" t="inlineStr">
        <is>
          <t>6. Full-text Papers Excluded (with reasons)</t>
        </is>
      </c>
      <c r="C11" s="6" t="n">
        <v>0</v>
      </c>
      <c r="D11" s="7" t="inlineStr">
        <is>
          <t>Manual input: excluded after full-text assessment.</t>
        </is>
      </c>
    </row>
    <row r="12">
      <c r="B12" s="5" t="inlineStr">
        <is>
          <t>7. Final Papers Included in Review</t>
        </is>
      </c>
      <c r="C12" s="8">
        <f>C10-C11</f>
        <v/>
      </c>
      <c r="D12" s="7" t="inlineStr">
        <is>
          <t>Auto: Full-text assessed − Full-text excluded.</t>
        </is>
      </c>
    </row>
    <row r="13">
      <c r="C13" s="187" t="n"/>
    </row>
    <row r="16" ht="15.75" customHeight="1" s="270">
      <c r="B16" s="9" t="n"/>
    </row>
    <row r="17">
      <c r="B17" s="10" t="inlineStr">
        <is>
          <t>Exclusion Reason</t>
        </is>
      </c>
      <c r="C17" s="10" t="inlineStr">
        <is>
          <t>Count</t>
        </is>
      </c>
    </row>
    <row r="18">
      <c r="B18" s="5" t="inlineStr">
        <is>
          <t>Not peer-reviewed</t>
        </is>
      </c>
      <c r="C18" s="11" t="n">
        <v>0</v>
      </c>
    </row>
    <row r="19">
      <c r="B19" s="5" t="inlineStr">
        <is>
          <t>Wrong domain / off-topic</t>
        </is>
      </c>
      <c r="C19" s="11" t="n">
        <v>0</v>
      </c>
    </row>
    <row r="20">
      <c r="B20" s="5" t="inlineStr">
        <is>
          <t>Duplicate publication</t>
        </is>
      </c>
      <c r="C20" s="11" t="n">
        <v>0</v>
      </c>
    </row>
    <row r="21">
      <c r="B21" s="5" t="inlineStr">
        <is>
          <t>Insufficient methodological detail</t>
        </is>
      </c>
      <c r="C21" s="11" t="n">
        <v>0</v>
      </c>
    </row>
    <row r="22">
      <c r="B22" s="5" t="inlineStr">
        <is>
          <t>Not accessible in full text</t>
        </is>
      </c>
      <c r="C22" s="11" t="n">
        <v>0</v>
      </c>
    </row>
    <row r="23">
      <c r="B23" s="5" t="inlineStr">
        <is>
          <t>Other</t>
        </is>
      </c>
      <c r="C23" s="11" t="n">
        <v>0</v>
      </c>
    </row>
    <row r="25">
      <c r="B25" s="12" t="inlineStr">
        <is>
          <t>Total (should equal row 6 above)</t>
        </is>
      </c>
      <c r="C25" s="13">
        <f>SUM(C18:C23)</f>
        <v/>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C72C"/>
    <outlinePr summaryBelow="1" summaryRight="1"/>
    <pageSetUpPr/>
  </sheetPr>
  <dimension ref="B2:D117"/>
  <sheetViews>
    <sheetView showGridLines="0" topLeftCell="A65" zoomScaleNormal="100" workbookViewId="0">
      <selection activeCell="Y24" sqref="Y24"/>
    </sheetView>
  </sheetViews>
  <sheetFormatPr baseColWidth="8" defaultColWidth="8.7109375" defaultRowHeight="15"/>
  <cols>
    <col width="3" customWidth="1" style="270" min="1" max="1"/>
    <col width="34" customWidth="1" style="270" min="2" max="2"/>
    <col width="3" customWidth="1" style="270" min="3" max="3"/>
    <col width="14" customWidth="1" style="270" min="4" max="4"/>
    <col width="3" customWidth="1" style="270" min="5" max="5"/>
  </cols>
  <sheetData>
    <row r="2" ht="21" customHeight="1" s="270">
      <c r="B2" s="3" t="inlineStr">
        <is>
          <t>PASR Systematic Literature Review — Statistics Dashboard</t>
        </is>
      </c>
    </row>
    <row r="3">
      <c r="B3" s="4" t="inlineStr">
        <is>
          <t>Live counts computed from the Papers Database sheet. Update automatically as records are added.</t>
        </is>
      </c>
    </row>
    <row r="5" ht="15.75" customHeight="1" s="270">
      <c r="B5" s="9" t="inlineStr">
        <is>
          <t>Key Metrics</t>
        </is>
      </c>
    </row>
    <row r="6" ht="15.75" customHeight="1" s="270">
      <c r="B6" s="14" t="inlineStr">
        <is>
          <t>Total Papers</t>
        </is>
      </c>
      <c r="D6" s="239">
        <f>COUNTA('Main '!$C$2:$C$319)</f>
        <v/>
      </c>
    </row>
    <row r="7" ht="15.75" customHeight="1" s="270">
      <c r="B7" s="14" t="inlineStr">
        <is>
          <t>Papers Reviewed (Completed/Verified)</t>
        </is>
      </c>
      <c r="D7" s="15">
        <f>COUNTIF('Main '!#REF!,"Completed")+COUNTIF('Main '!#REF!,"Verified")</f>
        <v/>
      </c>
    </row>
    <row r="8" ht="15.75" customHeight="1" s="270">
      <c r="B8" s="14" t="inlineStr">
        <is>
          <t>Papers Verified</t>
        </is>
      </c>
      <c r="D8" s="15">
        <f>COUNTIF('Main '!#REF!,"Verified")</f>
        <v/>
      </c>
    </row>
    <row r="9" ht="15.75" customHeight="1" s="270">
      <c r="B9" s="14" t="inlineStr">
        <is>
          <t>Completion Percentage</t>
        </is>
      </c>
      <c r="D9" s="238">
        <f>IFERROR((COUNTIF('Main '!#REF!,"Completed")+COUNTIF('Main '!#REF!,"Verified"))/COUNTA('Main '!$C$2:$C$319),0)</f>
        <v/>
      </c>
    </row>
    <row r="10" ht="15.75" customHeight="1" s="270">
      <c r="B10" s="14" t="inlineStr">
        <is>
          <t>Verification Percentage</t>
        </is>
      </c>
      <c r="D10" s="238">
        <f>IFERROR(COUNTIF('Main '!#REF!,"Verified")/COUNTA('Main '!$C$2:$C$319),0)</f>
        <v/>
      </c>
    </row>
    <row r="13" ht="15.75" customHeight="1" s="270">
      <c r="B13" s="9" t="inlineStr">
        <is>
          <t>Publications per Year</t>
        </is>
      </c>
    </row>
    <row r="14">
      <c r="B14" s="16" t="inlineStr">
        <is>
          <t>Category</t>
        </is>
      </c>
      <c r="D14" s="16" t="inlineStr">
        <is>
          <t>Papers</t>
        </is>
      </c>
    </row>
    <row r="15">
      <c r="B15" s="5" t="n">
        <v>2014</v>
      </c>
      <c r="D15" s="237">
        <f>COUNTIF('Main '!$D$2:$D$319,"2014")</f>
        <v/>
      </c>
    </row>
    <row r="16">
      <c r="B16" s="5" t="n">
        <v>2015</v>
      </c>
      <c r="D16" s="237">
        <f>COUNTIF('Main '!$D$2:$D$319,"2015")</f>
        <v/>
      </c>
    </row>
    <row r="17">
      <c r="B17" s="5" t="n">
        <v>2016</v>
      </c>
      <c r="D17" s="237">
        <f>COUNTIF('Main '!$D$2:$D$319,"2016")</f>
        <v/>
      </c>
    </row>
    <row r="18">
      <c r="B18" s="5" t="n">
        <v>2017</v>
      </c>
      <c r="D18" s="237">
        <f>COUNTIF('Main '!$D$2:$D$319,"2017")</f>
        <v/>
      </c>
    </row>
    <row r="19">
      <c r="B19" s="5" t="n">
        <v>2018</v>
      </c>
      <c r="D19" s="237">
        <f>COUNTIF('Main '!$D$2:$D$319,"2018")</f>
        <v/>
      </c>
    </row>
    <row r="20">
      <c r="B20" s="5" t="n">
        <v>2019</v>
      </c>
      <c r="D20" s="237">
        <f>COUNTIF('Main '!$D$2:$D$319,"2019")</f>
        <v/>
      </c>
    </row>
    <row r="21">
      <c r="B21" s="5" t="n">
        <v>2020</v>
      </c>
      <c r="D21" s="237">
        <f>COUNTIF('Main '!$D$2:$D$319,"2020")</f>
        <v/>
      </c>
    </row>
    <row r="22">
      <c r="B22" s="5" t="n">
        <v>2021</v>
      </c>
      <c r="D22" s="237">
        <f>COUNTIF('Main '!$D$2:$D$319,"2021")</f>
        <v/>
      </c>
    </row>
    <row r="23">
      <c r="B23" s="5" t="n">
        <v>2022</v>
      </c>
      <c r="D23" s="237">
        <f>COUNTIF('Main '!$D$2:$D$319,"2022")</f>
        <v/>
      </c>
    </row>
    <row r="24">
      <c r="B24" s="5" t="n">
        <v>2023</v>
      </c>
      <c r="D24" s="237">
        <f>COUNTIF('Main '!$D$2:$D$319,"2023")</f>
        <v/>
      </c>
    </row>
    <row r="25">
      <c r="B25" s="5" t="n">
        <v>2024</v>
      </c>
      <c r="D25" s="237">
        <f>COUNTIF('Main '!$D$2:$D$319,"2024")</f>
        <v/>
      </c>
    </row>
    <row r="26">
      <c r="B26" s="5" t="n">
        <v>2025</v>
      </c>
      <c r="D26" s="237">
        <f>COUNTIF('Main '!$D$2:$D$319,"2025")</f>
        <v/>
      </c>
    </row>
    <row r="27">
      <c r="B27" s="5" t="n">
        <v>2026</v>
      </c>
      <c r="D27" s="237">
        <f>COUNTIF('Main '!$D$2:$D$319,"2026")</f>
        <v/>
      </c>
    </row>
    <row r="28">
      <c r="B28" s="5" t="n">
        <v>2027</v>
      </c>
      <c r="D28" s="237">
        <f>COUNTIF('Main '!$D$2:$D$319,"2027")</f>
        <v/>
      </c>
    </row>
    <row r="31" ht="15.75" customHeight="1" s="270">
      <c r="B31" s="9" t="inlineStr">
        <is>
          <t>Publisher Distribution</t>
        </is>
      </c>
    </row>
    <row r="32">
      <c r="B32" s="16" t="inlineStr">
        <is>
          <t>Category</t>
        </is>
      </c>
      <c r="D32" s="16" t="inlineStr">
        <is>
          <t>Papers</t>
        </is>
      </c>
    </row>
    <row r="33">
      <c r="B33" s="5" t="inlineStr">
        <is>
          <t>IEEE</t>
        </is>
      </c>
      <c r="D33" s="237">
        <f>COUNTIF('Main '!$E$2:$E$319,"IEEE")</f>
        <v/>
      </c>
    </row>
    <row r="34">
      <c r="B34" s="5" t="inlineStr">
        <is>
          <t>ACM</t>
        </is>
      </c>
      <c r="D34" s="237">
        <f>COUNTIF('Main '!$E$2:$E$319,"ACM")</f>
        <v/>
      </c>
    </row>
    <row r="35">
      <c r="B35" s="5" t="inlineStr">
        <is>
          <t>Springer</t>
        </is>
      </c>
      <c r="D35" s="237">
        <f>COUNTIF('Main '!$E$2:$E$319,"Springer")</f>
        <v/>
      </c>
    </row>
    <row r="36">
      <c r="B36" s="5" t="inlineStr">
        <is>
          <t>Elsevier</t>
        </is>
      </c>
      <c r="D36" s="237">
        <f>COUNTIF('Main '!$E$2:$E$319,"Elsevier")</f>
        <v/>
      </c>
    </row>
    <row r="37">
      <c r="B37" s="5" t="inlineStr">
        <is>
          <t>MDPI</t>
        </is>
      </c>
      <c r="D37" s="237">
        <f>COUNTIF('Main '!$E$2:$E$319,"MDPI")</f>
        <v/>
      </c>
    </row>
    <row r="38">
      <c r="B38" s="5" t="inlineStr">
        <is>
          <t>Wiley</t>
        </is>
      </c>
      <c r="D38" s="237">
        <f>COUNTIF('Main '!$E$2:$E$319,"Wiley")</f>
        <v/>
      </c>
    </row>
    <row r="39">
      <c r="B39" s="5" t="inlineStr">
        <is>
          <t>Taylor &amp; Francis</t>
        </is>
      </c>
      <c r="D39" s="17" t="n">
        <v>1</v>
      </c>
    </row>
    <row r="40">
      <c r="B40" s="5" t="inlineStr">
        <is>
          <t>Nature</t>
        </is>
      </c>
      <c r="D40" s="237">
        <f>COUNTIF('Main '!$E$2:$E$319,"Nature")</f>
        <v/>
      </c>
    </row>
    <row r="41">
      <c r="B41" s="5" t="inlineStr">
        <is>
          <t>arXiv</t>
        </is>
      </c>
      <c r="D41" s="237">
        <f>COUNTIF('Main '!$E$2:$E$319,"arXiv")</f>
        <v/>
      </c>
    </row>
    <row r="42">
      <c r="B42" s="5" t="inlineStr">
        <is>
          <t>Other</t>
        </is>
      </c>
      <c r="D42" s="237">
        <f>COUNTIF('Main '!$E$2:$E$319,"Other")</f>
        <v/>
      </c>
    </row>
    <row r="45" ht="15.75" customHeight="1" s="270">
      <c r="B45" s="9" t="inlineStr">
        <is>
          <t>Research Domains</t>
        </is>
      </c>
    </row>
    <row r="46">
      <c r="B46" s="16" t="inlineStr">
        <is>
          <t>Category</t>
        </is>
      </c>
      <c r="D46" s="16" t="inlineStr">
        <is>
          <t>Papers</t>
        </is>
      </c>
    </row>
    <row r="47">
      <c r="B47" s="5" t="inlineStr">
        <is>
          <t>SOC team</t>
        </is>
      </c>
      <c r="D47" s="17">
        <f>COUNTIF('Main '!#REF!,"SOC team")</f>
        <v/>
      </c>
    </row>
    <row r="48">
      <c r="B48" s="5" t="inlineStr">
        <is>
          <t>penetartion team</t>
        </is>
      </c>
      <c r="D48" s="17">
        <f>COUNTIF('Main '!#REF!,"Penetration Team")</f>
        <v/>
      </c>
    </row>
    <row r="49">
      <c r="B49" s="5" t="inlineStr">
        <is>
          <t>Database team</t>
        </is>
      </c>
      <c r="D49" s="17">
        <f>COUNTIF('Main '!#REF!,"Database team")</f>
        <v/>
      </c>
    </row>
    <row r="50">
      <c r="B50" s="5" t="inlineStr">
        <is>
          <t>Web</t>
        </is>
      </c>
      <c r="D50" s="17">
        <f>COUNTIF('Main '!#REF!,"Web")</f>
        <v/>
      </c>
    </row>
    <row r="53" ht="15.75" customHeight="1" s="270">
      <c r="B53" s="9" t="inlineStr">
        <is>
          <t>Datasets (common)</t>
        </is>
      </c>
    </row>
    <row r="54">
      <c r="B54" s="16" t="inlineStr">
        <is>
          <t>Category</t>
        </is>
      </c>
      <c r="D54" s="16" t="inlineStr">
        <is>
          <t>Papers</t>
        </is>
      </c>
    </row>
    <row r="55">
      <c r="B55" s="5" t="inlineStr">
        <is>
          <t>NSL-KDD</t>
        </is>
      </c>
      <c r="D55" s="17">
        <f>COUNTIF('Main '!#REF!,"NSL-KDD")</f>
        <v/>
      </c>
    </row>
    <row r="56">
      <c r="B56" s="5" t="inlineStr">
        <is>
          <t>CICIDS2017</t>
        </is>
      </c>
      <c r="D56" s="17">
        <f>COUNTIF('Main '!#REF!,"CICIDS2017")</f>
        <v/>
      </c>
    </row>
    <row r="57">
      <c r="B57" s="5" t="inlineStr">
        <is>
          <t>CICIDS2018</t>
        </is>
      </c>
      <c r="D57" s="17">
        <f>COUNTIF('Main '!#REF!,"CICIDS2018")</f>
        <v/>
      </c>
    </row>
    <row r="58">
      <c r="B58" s="5" t="inlineStr">
        <is>
          <t>UNSW-NB15</t>
        </is>
      </c>
      <c r="D58" s="17">
        <f>COUNTIF('Main '!#REF!,"UNSW-NB15")</f>
        <v/>
      </c>
    </row>
    <row r="59">
      <c r="B59" s="5" t="inlineStr">
        <is>
          <t>KDD Cup 99</t>
        </is>
      </c>
      <c r="D59" s="17">
        <f>COUNTIF('Main '!#REF!,"KDD Cup 99")</f>
        <v/>
      </c>
    </row>
    <row r="60">
      <c r="B60" s="5" t="inlineStr">
        <is>
          <t>CSE-CIC-IDS2018</t>
        </is>
      </c>
      <c r="D60" s="17">
        <f>COUNTIF('Main '!#REF!,"CSE-CIC-IDS2018")</f>
        <v/>
      </c>
    </row>
    <row r="61">
      <c r="B61" s="5" t="inlineStr">
        <is>
          <t>TON_IoT</t>
        </is>
      </c>
      <c r="D61" s="17">
        <f>COUNTIF('Main '!#REF!,"TON_IoT")</f>
        <v/>
      </c>
    </row>
    <row r="62">
      <c r="B62" s="5" t="inlineStr">
        <is>
          <t>OWASP Benchmark</t>
        </is>
      </c>
      <c r="D62" s="17">
        <f>COUNTIF('Main '!#REF!,"OWASP Benchmark")</f>
        <v/>
      </c>
    </row>
    <row r="63">
      <c r="B63" s="5" t="inlineStr">
        <is>
          <t>Custom Dataset</t>
        </is>
      </c>
      <c r="D63" s="17">
        <f>COUNTIF('Main '!#REF!,"Custom Dataset")</f>
        <v/>
      </c>
    </row>
    <row r="64">
      <c r="B64" s="5" t="inlineStr">
        <is>
          <t>Synthetic Dataset</t>
        </is>
      </c>
      <c r="D64" s="17">
        <f>COUNTIF('Main '!#REF!,"Synthetic Dataset")</f>
        <v/>
      </c>
    </row>
    <row r="65">
      <c r="B65" s="5" t="inlineStr">
        <is>
          <t>Other</t>
        </is>
      </c>
      <c r="D65" s="17">
        <f>COUNTIF('Main '!#REF!,"Other")</f>
        <v/>
      </c>
    </row>
    <row r="68" ht="15.75" customHeight="1" s="270">
      <c r="B68" s="9" t="inlineStr">
        <is>
          <t>Attack Types (common)</t>
        </is>
      </c>
    </row>
    <row r="69">
      <c r="B69" s="16" t="inlineStr">
        <is>
          <t>Category</t>
        </is>
      </c>
      <c r="D69" s="16" t="inlineStr">
        <is>
          <t>Papers</t>
        </is>
      </c>
    </row>
    <row r="70">
      <c r="B70" s="5" t="inlineStr">
        <is>
          <t>SQL Injection</t>
        </is>
      </c>
      <c r="D70" s="17" t="n">
        <v>22</v>
      </c>
    </row>
    <row r="71">
      <c r="B71" s="5" t="inlineStr">
        <is>
          <t>Cross-Site Scripting (XSS)</t>
        </is>
      </c>
      <c r="D71" s="17" t="n">
        <v>18</v>
      </c>
    </row>
    <row r="72">
      <c r="B72" s="5" t="inlineStr">
        <is>
          <t>prompt injection</t>
        </is>
      </c>
      <c r="D72" s="17" t="n">
        <v>15</v>
      </c>
    </row>
    <row r="73">
      <c r="B73" s="5" t="inlineStr">
        <is>
          <t>model poisoning</t>
        </is>
      </c>
      <c r="D73" s="17" t="n">
        <v>15</v>
      </c>
    </row>
    <row r="74">
      <c r="B74" s="5" t="inlineStr">
        <is>
          <t>DDoS</t>
        </is>
      </c>
      <c r="D74" s="17" t="n">
        <v>28</v>
      </c>
    </row>
    <row r="75">
      <c r="B75" s="5" t="inlineStr">
        <is>
          <t>lateral movment</t>
        </is>
      </c>
      <c r="D75" s="17" t="n">
        <v>8</v>
      </c>
    </row>
    <row r="76">
      <c r="B76" s="5" t="inlineStr">
        <is>
          <t>Privilege Escalation</t>
        </is>
      </c>
      <c r="D76" s="17" t="n">
        <v>10</v>
      </c>
    </row>
    <row r="77">
      <c r="B77" s="5" t="inlineStr">
        <is>
          <t>BOLA</t>
        </is>
      </c>
      <c r="D77" s="17" t="n">
        <v>7</v>
      </c>
    </row>
    <row r="78">
      <c r="B78" s="5" t="inlineStr">
        <is>
          <t>Token Replay (csrf)</t>
        </is>
      </c>
      <c r="D78" s="17" t="n">
        <v>6</v>
      </c>
    </row>
    <row r="79">
      <c r="B79" s="5" t="inlineStr">
        <is>
          <t>MITM</t>
        </is>
      </c>
      <c r="D79" s="17" t="n">
        <v>5</v>
      </c>
    </row>
    <row r="80">
      <c r="B80" s="5" t="inlineStr">
        <is>
          <t>spoofing</t>
        </is>
      </c>
      <c r="D80" s="17" t="n">
        <v>4</v>
      </c>
    </row>
    <row r="81">
      <c r="B81" s="5" t="inlineStr">
        <is>
          <t>reconnaissance</t>
        </is>
      </c>
      <c r="D81" s="17" t="n">
        <v>3</v>
      </c>
    </row>
    <row r="84" ht="15.75" customHeight="1" s="270">
      <c r="B84" s="9" t="inlineStr">
        <is>
          <t>Security Layers</t>
        </is>
      </c>
    </row>
    <row r="85">
      <c r="B85" s="16" t="inlineStr">
        <is>
          <t>Category</t>
        </is>
      </c>
      <c r="D85" s="16" t="inlineStr">
        <is>
          <t>Papers</t>
        </is>
      </c>
    </row>
    <row r="86">
      <c r="B86" s="5" t="inlineStr">
        <is>
          <t>Application</t>
        </is>
      </c>
      <c r="D86" s="17">
        <f>COUNTIF('Main '!#REF!,"Application")</f>
        <v/>
      </c>
    </row>
    <row r="87">
      <c r="B87" s="5" t="inlineStr">
        <is>
          <t>Network</t>
        </is>
      </c>
      <c r="D87" s="17">
        <f>COUNTIF('Main '!#REF!,"Network")</f>
        <v/>
      </c>
    </row>
    <row r="88">
      <c r="B88" s="5" t="inlineStr">
        <is>
          <t>Host</t>
        </is>
      </c>
      <c r="D88" s="17">
        <f>COUNTIF('Main '!#REF!,"Host")</f>
        <v/>
      </c>
    </row>
    <row r="89">
      <c r="B89" s="5" t="inlineStr">
        <is>
          <t>Cloud</t>
        </is>
      </c>
      <c r="D89" s="17">
        <f>COUNTIF('Main '!#REF!,"Cloud")</f>
        <v/>
      </c>
    </row>
    <row r="90">
      <c r="B90" s="5" t="inlineStr">
        <is>
          <t>Database</t>
        </is>
      </c>
      <c r="D90" s="17">
        <f>COUNTIF('Main '!#REF!,"Database")</f>
        <v/>
      </c>
    </row>
    <row r="91">
      <c r="B91" s="5" t="inlineStr">
        <is>
          <t>Endpoint</t>
        </is>
      </c>
      <c r="D91" s="17">
        <f>COUNTIF('Main '!#REF!,"Endpoint")</f>
        <v/>
      </c>
    </row>
    <row r="92">
      <c r="B92" s="5" t="inlineStr">
        <is>
          <t>Identity</t>
        </is>
      </c>
      <c r="D92" s="17">
        <f>COUNTIF('Main '!#REF!,"Identity")</f>
        <v/>
      </c>
    </row>
    <row r="93">
      <c r="B93" s="5" t="inlineStr">
        <is>
          <t>Runtime</t>
        </is>
      </c>
      <c r="D93" s="17">
        <f>COUNTIF('Main '!#REF!,"Runtime")</f>
        <v/>
      </c>
    </row>
    <row r="96" ht="15.75" customHeight="1" s="270">
      <c r="B96" s="9" t="inlineStr">
        <is>
          <t>AI Techniques</t>
        </is>
      </c>
      <c r="D96" s="24" t="n"/>
    </row>
    <row r="97">
      <c r="B97" s="16" t="inlineStr">
        <is>
          <t>Category</t>
        </is>
      </c>
      <c r="D97" s="16" t="inlineStr">
        <is>
          <t>Papers</t>
        </is>
      </c>
    </row>
    <row r="98">
      <c r="B98" s="5" t="inlineStr">
        <is>
          <t>LLM</t>
        </is>
      </c>
      <c r="D98" s="5" t="n">
        <v>0</v>
      </c>
    </row>
    <row r="99">
      <c r="B99" s="32" t="inlineStr">
        <is>
          <t>CNN</t>
        </is>
      </c>
      <c r="D99" s="32" t="n">
        <v>0</v>
      </c>
    </row>
    <row r="100">
      <c r="B100" s="32" t="inlineStr">
        <is>
          <t>RNN</t>
        </is>
      </c>
      <c r="D100" s="32" t="n">
        <v>0</v>
      </c>
    </row>
    <row r="101">
      <c r="B101" s="32" t="inlineStr">
        <is>
          <t>LSTM</t>
        </is>
      </c>
      <c r="D101" s="32" t="n">
        <v>0</v>
      </c>
    </row>
    <row r="102">
      <c r="B102" s="32" t="inlineStr">
        <is>
          <t>Transformer</t>
        </is>
      </c>
      <c r="D102" s="32" t="n">
        <v>0</v>
      </c>
    </row>
    <row r="103">
      <c r="B103" s="32" t="inlineStr">
        <is>
          <t>BERT</t>
        </is>
      </c>
      <c r="D103" s="32" t="n">
        <v>0</v>
      </c>
    </row>
    <row r="104">
      <c r="B104" s="32" t="inlineStr">
        <is>
          <t>GPT</t>
        </is>
      </c>
      <c r="D104" s="32" t="n">
        <v>0</v>
      </c>
    </row>
    <row r="105">
      <c r="B105" s="32" t="inlineStr">
        <is>
          <t>Random Forest</t>
        </is>
      </c>
      <c r="D105" s="32" t="n">
        <v>0</v>
      </c>
    </row>
    <row r="106">
      <c r="B106" s="32" t="inlineStr">
        <is>
          <t>Decision Tree</t>
        </is>
      </c>
      <c r="D106" s="32" t="n">
        <v>0</v>
      </c>
    </row>
    <row r="107">
      <c r="B107" s="32" t="inlineStr">
        <is>
          <t>SVM</t>
        </is>
      </c>
      <c r="D107" s="32" t="n">
        <v>0</v>
      </c>
    </row>
    <row r="108">
      <c r="B108" s="32" t="inlineStr">
        <is>
          <t>KNN</t>
        </is>
      </c>
      <c r="D108" s="32" t="n">
        <v>0</v>
      </c>
    </row>
    <row r="109">
      <c r="B109" s="32" t="inlineStr">
        <is>
          <t>Naive Bayes</t>
        </is>
      </c>
      <c r="D109" s="32" t="n">
        <v>0</v>
      </c>
    </row>
    <row r="110">
      <c r="B110" s="32" t="inlineStr">
        <is>
          <t>XGBoost</t>
        </is>
      </c>
      <c r="D110" s="32" t="n">
        <v>0</v>
      </c>
    </row>
    <row r="111">
      <c r="B111" s="32" t="inlineStr">
        <is>
          <t>Autoencoder</t>
        </is>
      </c>
      <c r="D111" s="32" t="n">
        <v>0</v>
      </c>
    </row>
    <row r="112">
      <c r="B112" s="32" t="inlineStr">
        <is>
          <t>GAN</t>
        </is>
      </c>
      <c r="D112" s="32" t="n">
        <v>0</v>
      </c>
    </row>
    <row r="113">
      <c r="B113" s="32" t="inlineStr">
        <is>
          <t>Graph Neural Network</t>
        </is>
      </c>
      <c r="D113" s="32" t="n">
        <v>0</v>
      </c>
    </row>
    <row r="114">
      <c r="B114" s="32" t="inlineStr">
        <is>
          <t>Hybrid</t>
        </is>
      </c>
      <c r="D114" s="32" t="n">
        <v>0</v>
      </c>
    </row>
    <row r="115">
      <c r="B115" s="32" t="inlineStr">
        <is>
          <t>Other</t>
        </is>
      </c>
      <c r="D115" s="32" t="n">
        <v>0</v>
      </c>
    </row>
    <row r="116">
      <c r="B116" s="24" t="n"/>
    </row>
    <row r="117">
      <c r="B117" s="24" t="n"/>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0B5394"/>
    <outlinePr summaryBelow="1" summaryRight="1"/>
    <pageSetUpPr/>
  </sheetPr>
  <dimension ref="B2:G10"/>
  <sheetViews>
    <sheetView showGridLines="0" topLeftCell="A12" zoomScaleNormal="100" workbookViewId="0">
      <selection activeCell="A1" sqref="A1"/>
    </sheetView>
  </sheetViews>
  <sheetFormatPr baseColWidth="8" defaultColWidth="8.7109375" defaultRowHeight="15"/>
  <cols>
    <col width="20" customWidth="1" style="270" min="2" max="2"/>
    <col width="30" customWidth="1" style="270" min="3" max="7"/>
  </cols>
  <sheetData>
    <row r="2" ht="21" customHeight="1" s="270">
      <c r="B2" s="3" t="inlineStr">
        <is>
          <t>Research Gap Summary — PASR</t>
        </is>
      </c>
    </row>
    <row r="3">
      <c r="B3" s="4" t="inlineStr">
        <is>
          <t>Synthesized per research area. Populate after papers in each domain have been reviewed.</t>
        </is>
      </c>
    </row>
    <row r="5" ht="21.75" customHeight="1" s="270">
      <c r="B5" s="1" t="inlineStr">
        <is>
          <t>Research Area</t>
        </is>
      </c>
      <c r="C5" s="1" t="inlineStr">
        <is>
          <t>Current State</t>
        </is>
      </c>
      <c r="D5" s="1" t="inlineStr">
        <is>
          <t>Existing Limitations</t>
        </is>
      </c>
      <c r="E5" s="1" t="inlineStr">
        <is>
          <t>Open Challenges</t>
        </is>
      </c>
      <c r="F5" s="1" t="inlineStr">
        <is>
          <t>Future Directions</t>
        </is>
      </c>
      <c r="G5" s="1" t="inlineStr">
        <is>
          <t>Relation to PASR</t>
        </is>
      </c>
    </row>
    <row r="6" ht="60" customHeight="1" s="270">
      <c r="B6" s="22" t="inlineStr">
        <is>
          <t>SOC</t>
        </is>
      </c>
      <c r="C6" s="23" t="n"/>
      <c r="D6" s="23" t="n"/>
      <c r="E6" s="23" t="n"/>
      <c r="F6" s="23" t="n"/>
      <c r="G6" s="23" t="n"/>
    </row>
    <row r="7" ht="60" customHeight="1" s="270">
      <c r="B7" s="22" t="inlineStr">
        <is>
          <t>AI-Assisted Penetration Testing</t>
        </is>
      </c>
      <c r="C7" s="23" t="n"/>
      <c r="D7" s="23" t="n"/>
      <c r="E7" s="23" t="n"/>
      <c r="F7" s="23" t="n"/>
      <c r="G7" s="23" t="n"/>
    </row>
    <row r="8" ht="60" customHeight="1" s="270">
      <c r="B8" s="22" t="inlineStr">
        <is>
          <t>Database Security</t>
        </is>
      </c>
      <c r="C8" s="23" t="n"/>
      <c r="D8" s="23" t="n"/>
      <c r="E8" s="23" t="n"/>
      <c r="F8" s="23" t="n"/>
      <c r="G8" s="23" t="n"/>
    </row>
    <row r="9" ht="60" customHeight="1" s="270">
      <c r="B9" s="22" t="inlineStr">
        <is>
          <t>AI-Assisted Full Stack Development</t>
        </is>
      </c>
      <c r="C9" s="23" t="n"/>
      <c r="D9" s="23" t="n"/>
      <c r="E9" s="23" t="n"/>
      <c r="F9" s="23" t="n"/>
      <c r="G9" s="23" t="n"/>
    </row>
    <row r="10" ht="60" customHeight="1" s="270">
      <c r="B10" s="22" t="inlineStr">
        <is>
          <t>PASR (Cross-Domain Synthesis)</t>
        </is>
      </c>
      <c r="C10" s="23" t="n"/>
      <c r="D10" s="23" t="n"/>
      <c r="E10" s="23" t="n"/>
      <c r="F10" s="23" t="n"/>
      <c r="G10" s="23" t="n"/>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595959"/>
    <outlinePr summaryBelow="1" summaryRight="1"/>
    <pageSetUpPr/>
  </sheetPr>
  <dimension ref="B2:C43"/>
  <sheetViews>
    <sheetView showGridLines="0" topLeftCell="A33" zoomScaleNormal="100" workbookViewId="0">
      <selection activeCell="B46" sqref="B46"/>
    </sheetView>
  </sheetViews>
  <sheetFormatPr baseColWidth="8" defaultColWidth="8.7109375" defaultRowHeight="15"/>
  <cols>
    <col width="32" customWidth="1" style="270" min="2" max="2"/>
    <col width="95" customWidth="1" style="270" min="3" max="3"/>
  </cols>
  <sheetData>
    <row r="2" ht="21" customHeight="1" s="270">
      <c r="B2" s="3" t="inlineStr">
        <is>
          <t>Instructions — PASR Systematic Literature Review Workbook</t>
        </is>
      </c>
      <c r="C2" s="3" t="inlineStr">
        <is>
          <t>Instructions — PASR Systematic Literature Review Workbook</t>
        </is>
      </c>
    </row>
    <row r="3">
      <c r="B3" s="4" t="inlineStr">
        <is>
          <t>Read this sheet before entering data. Consistency across reviewers is essential for valid statistics.</t>
        </is>
      </c>
      <c r="C3" s="4" t="inlineStr">
        <is>
          <t>Read this sheet before entering data. Consistency across reviewers is essential for valid statistics.</t>
        </is>
      </c>
    </row>
    <row r="5" ht="15.75" customHeight="1" s="270">
      <c r="B5" s="31" t="inlineStr">
        <is>
          <t>1. General Workflow</t>
        </is>
      </c>
    </row>
    <row r="6" ht="27" customHeight="1" s="270">
      <c r="B6" s="30" t="inlineStr">
        <is>
          <t>Step 1</t>
        </is>
      </c>
      <c r="C6" s="29" t="inlineStr">
        <is>
          <t>Search databases (IEEE Xplore, ACM DL, Scopus, ScienceDirect, SpringerLink, arXiv) and log every hit's count on the 'PRISMA Tracking' sheet.</t>
        </is>
      </c>
    </row>
    <row r="7" ht="27" customHeight="1" s="270">
      <c r="B7" s="30" t="inlineStr">
        <is>
          <t>Step 2</t>
        </is>
      </c>
      <c r="C7" s="29" t="inlineStr">
        <is>
          <t>After de-duplication and screening, add each surviving paper as one row in 'Papers Database'. Paper ID is generated automatically once a Title is entered.</t>
        </is>
      </c>
    </row>
    <row r="8">
      <c r="B8" s="30" t="inlineStr">
        <is>
          <t>Step 3</t>
        </is>
      </c>
      <c r="C8" s="29" t="inlineStr">
        <is>
          <t>Fill in every column for a paper in a single sitting where possible; partial rows trigger the highlight rules described below.</t>
        </is>
      </c>
    </row>
    <row r="9" ht="27" customHeight="1" s="270">
      <c r="B9" s="30" t="inlineStr">
        <is>
          <t>Step 4</t>
        </is>
      </c>
      <c r="C9" s="29" t="inlineStr">
        <is>
          <t>Update 'Reading Status' and 'Verification Status' as review proceeds. A second reviewer should independently verify before marking 'Verified'.</t>
        </is>
      </c>
    </row>
    <row r="10">
      <c r="B10" s="30" t="inlineStr">
        <is>
          <t>Step 5</t>
        </is>
      </c>
      <c r="C10" s="29" t="inlineStr">
        <is>
          <t>The 'Statistics Dashboard', 'Taxonomy', and PRISMA counts update automatically — no manual recalculation needed.</t>
        </is>
      </c>
    </row>
    <row r="12" ht="15.75" customHeight="1" s="270">
      <c r="B12" s="31" t="inlineStr">
        <is>
          <t>2. Column-by-Column Guidance</t>
        </is>
      </c>
    </row>
    <row r="13">
      <c r="B13" s="30" t="inlineStr">
        <is>
          <t>Paper ID</t>
        </is>
      </c>
      <c r="C13" s="29" t="inlineStr">
        <is>
          <t>Auto-generated (PID-0001, PID-0002, ...). Do not overwrite.</t>
        </is>
      </c>
    </row>
    <row r="14">
      <c r="B14" s="30" t="inlineStr">
        <is>
          <t>Title / Authors</t>
        </is>
      </c>
      <c r="C14" s="29" t="inlineStr">
        <is>
          <t>Copy exactly as published. Use 'Last, F. M.; Last, F. M.' format for Authors.</t>
        </is>
      </c>
    </row>
    <row r="15">
      <c r="B15" s="30" t="inlineStr">
        <is>
          <t>Publisher</t>
        </is>
      </c>
      <c r="C15" s="29" t="inlineStr">
        <is>
          <t>Choose from the dropdown. Use 'Other' only if the source is not listed.</t>
        </is>
      </c>
    </row>
    <row r="16">
      <c r="B16" s="30" t="inlineStr">
        <is>
          <t>DOI</t>
        </is>
      </c>
      <c r="C16" s="29" t="inlineStr">
        <is>
          <t>Always include if available — required for duplicate detection. Format: 10.xxxx/xxxxx.</t>
        </is>
      </c>
    </row>
    <row r="17">
      <c r="B17" s="30" t="inlineStr">
        <is>
          <t>Primary Domain</t>
        </is>
      </c>
      <c r="C17" s="29" t="inlineStr">
        <is>
          <t>Exactly one of SOC / Penetration Testing / Database Security / Full Stack Development — pick the closest fit.</t>
        </is>
      </c>
    </row>
    <row r="18" ht="27" customHeight="1" s="270">
      <c r="B18" s="30" t="inlineStr">
        <is>
          <t>Subdomain / Research Category / Application Area / Industry</t>
        </is>
      </c>
      <c r="C18" s="29" t="inlineStr">
        <is>
          <t>Free text, but reuse existing values already entered by other reviewers where possible (check 'Taxonomy' sheet for the controlled vocabulary).</t>
        </is>
      </c>
    </row>
    <row r="19" ht="27" customHeight="1" s="270">
      <c r="B19" s="30" t="inlineStr">
        <is>
          <t>Research Problem / Objective / Question</t>
        </is>
      </c>
      <c r="C19" s="29" t="inlineStr">
        <is>
          <t>One to two sentences each, paraphrased in your own words — do not copy verbatim from the abstract.</t>
        </is>
      </c>
    </row>
    <row r="20" ht="27" customHeight="1" s="270">
      <c r="B20" s="30" t="inlineStr">
        <is>
          <t>AI Used, AI Technique, Machine Learning Type</t>
        </is>
      </c>
      <c r="C20" s="29" t="inlineStr">
        <is>
          <t>AI Technique and ML Type use dropdowns. If a paper uses no AI, set 'AI Used' = No and leave AI Technique / ML Type as 'None' or blank.</t>
        </is>
      </c>
    </row>
    <row r="21" ht="27" customHeight="1" s="270">
      <c r="B21" s="30" t="inlineStr">
        <is>
          <t>Attack Type / Threat Category / MITRE ATT&amp;CK Technique</t>
        </is>
      </c>
      <c r="C21" s="29" t="inlineStr">
        <is>
          <t>Use standard terminology (e.g., MITRE ATT&amp;CK IDs like T1190) whenever the paper references it.</t>
        </is>
      </c>
    </row>
    <row r="22" ht="27" customHeight="1" s="270">
      <c r="B22" s="30" t="inlineStr">
        <is>
          <t>Accuracy / Precision / Recall / F1 / ROC-AUC</t>
        </is>
      </c>
      <c r="C22" s="29" t="inlineStr">
        <is>
          <t>Enter as decimal fractions between 0 and 1 (e.g., 0.947), not percentages.</t>
        </is>
      </c>
    </row>
    <row r="23">
      <c r="B23" s="30" t="inlineStr">
        <is>
          <t>Research Gap</t>
        </is>
      </c>
      <c r="C23" s="29" t="inlineStr">
        <is>
          <t>Mandatory for every reviewed paper — this field feeds directly into the 'Research Gap Summary' sheet.</t>
        </is>
      </c>
    </row>
    <row r="24">
      <c r="B24" s="30" t="inlineStr">
        <is>
          <t>Relation to PASR</t>
        </is>
      </c>
      <c r="C24" s="29" t="inlineStr">
        <is>
          <t>Explicitly state how the paper's findings support, contrast with, or motivate the PASR framework.</t>
        </is>
      </c>
    </row>
    <row r="25" ht="27" customHeight="1" s="270">
      <c r="B25" s="30" t="inlineStr">
        <is>
          <t>Assigned Reviewer / Reading Status / Verification Status</t>
        </is>
      </c>
      <c r="C25" s="29" t="inlineStr">
        <is>
          <t>Keep current at all times; the Dashboard's completion and verification percentages depend on these fields.</t>
        </is>
      </c>
    </row>
    <row r="27" ht="15.75" customHeight="1" s="270">
      <c r="B27" s="31" t="inlineStr">
        <is>
          <t>3. Color &amp; Highlight Legend</t>
        </is>
      </c>
    </row>
    <row r="28">
      <c r="B28" s="30" t="inlineStr">
        <is>
          <t>Red highlight</t>
        </is>
      </c>
      <c r="C28" s="29" t="inlineStr">
        <is>
          <t>Duplicate DOI/Title, or a paper still 'Not Started' in Reading Status.</t>
        </is>
      </c>
    </row>
    <row r="29">
      <c r="B29" s="30" t="inlineStr">
        <is>
          <t>Yellow highlight</t>
        </is>
      </c>
      <c r="C29" s="29" t="inlineStr">
        <is>
          <t>Missing DOI, missing Research Gap, missing required field, or Verification Status = Pending/Needs Review.</t>
        </is>
      </c>
    </row>
    <row r="30">
      <c r="B30" s="30" t="inlineStr">
        <is>
          <t>Yellow cell fill (PRISMA sheet)</t>
        </is>
      </c>
      <c r="C30" s="29" t="inlineStr">
        <is>
          <t>Manually editable input cell — every other cell computes automatically.</t>
        </is>
      </c>
    </row>
    <row r="32" ht="15.75" customHeight="1" s="270">
      <c r="B32" s="31" t="inlineStr">
        <is>
          <t>4. Scalability</t>
        </is>
      </c>
    </row>
    <row r="33" ht="27" customHeight="1" s="270">
      <c r="B33" s="30" t="inlineStr">
        <is>
          <t>Capacity</t>
        </is>
      </c>
      <c r="C33" s="29" t="inlineStr">
        <is>
          <t>'Papers Database' and 'References' are pre-formatted for up to 500 papers (rows 3-502), well beyond the ~150 papers planned, to accommodate scope growth to 500+.</t>
        </is>
      </c>
    </row>
    <row r="34" ht="27" customHeight="1" s="270">
      <c r="B34" s="30" t="inlineStr">
        <is>
          <t>Adding rows</t>
        </is>
      </c>
      <c r="C34" s="29" t="inlineStr">
        <is>
          <t>If more than 500 papers are needed, select a formatted row, copy it, and insert new rows above the last row of the Excel Table — formulas, validation, and formatting extend automatically within a Table.</t>
        </is>
      </c>
    </row>
    <row r="36" ht="15.75" customHeight="1" s="270">
      <c r="B36" s="31" t="inlineStr">
        <is>
          <t>5. Sheet Overview</t>
        </is>
      </c>
    </row>
    <row r="37">
      <c r="B37" s="30" t="inlineStr">
        <is>
          <t>Papers Database</t>
        </is>
      </c>
      <c r="C37" s="29" t="inlineStr">
        <is>
          <t>Master data-entry sheet — one row per paper, 63 structured fields.</t>
        </is>
      </c>
    </row>
    <row r="38">
      <c r="B38" s="30" t="inlineStr">
        <is>
          <t>PRISMA Tracking</t>
        </is>
      </c>
      <c r="C38" s="29" t="inlineStr">
        <is>
          <t>PRISMA 2020-style flow counts (identification -&gt; screening -&gt; eligibility -&gt; inclusion).</t>
        </is>
      </c>
    </row>
    <row r="39">
      <c r="B39" s="30" t="inlineStr">
        <is>
          <t>Statistics Dashboard</t>
        </is>
      </c>
      <c r="C39" s="29" t="inlineStr">
        <is>
          <t>Auto-computed KPIs, breakdown tables, and charts.</t>
        </is>
      </c>
    </row>
    <row r="40">
      <c r="B40" s="30" t="inlineStr">
        <is>
          <t>Taxonomy</t>
        </is>
      </c>
      <c r="C40" s="29" t="inlineStr">
        <is>
          <t>Controlled domain/subdomain hierarchy and paper counts per category.</t>
        </is>
      </c>
    </row>
    <row r="41">
      <c r="B41" s="30" t="inlineStr">
        <is>
          <t>Research Gap Summary</t>
        </is>
      </c>
      <c r="C41" s="29" t="inlineStr">
        <is>
          <t>Synthesized narrative gaps per research area, feeding the PASR motivation section.</t>
        </is>
      </c>
    </row>
    <row r="42">
      <c r="B42" s="30" t="inlineStr">
        <is>
          <t>References</t>
        </is>
      </c>
      <c r="C42" s="29" t="inlineStr">
        <is>
          <t>Formatted citation list (IEEE style) and BibTeX for the final manuscript.</t>
        </is>
      </c>
    </row>
    <row r="43">
      <c r="B43" s="30" t="inlineStr">
        <is>
          <t>Instructions</t>
        </is>
      </c>
      <c r="C43" s="29" t="inlineStr">
        <is>
          <t>This sheet.</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K19"/>
  <sheetViews>
    <sheetView zoomScaleNormal="100" workbookViewId="0">
      <selection activeCell="A1" sqref="A1"/>
    </sheetView>
  </sheetViews>
  <sheetFormatPr baseColWidth="8" defaultColWidth="8.7109375" defaultRowHeight="15"/>
  <cols>
    <col width="22" customWidth="1" style="270" min="1" max="11"/>
  </cols>
  <sheetData>
    <row r="1">
      <c r="A1" s="12" t="inlineStr">
        <is>
          <t>PrimaryDomain</t>
        </is>
      </c>
      <c r="B1" s="12" t="inlineStr">
        <is>
          <t>Publisher</t>
        </is>
      </c>
      <c r="C1" s="12" t="inlineStr">
        <is>
          <t>ReadingStatus</t>
        </is>
      </c>
      <c r="D1" s="12" t="inlineStr">
        <is>
          <t>VerificationStatus</t>
        </is>
      </c>
      <c r="E1" s="12" t="inlineStr">
        <is>
          <t>MLType</t>
        </is>
      </c>
      <c r="F1" s="12" t="inlineStr">
        <is>
          <t>AITechnique</t>
        </is>
      </c>
      <c r="G1" s="12" t="inlineStr">
        <is>
          <t>SecurityLayer</t>
        </is>
      </c>
      <c r="H1" s="12" t="inlineStr">
        <is>
          <t>YesNo</t>
        </is>
      </c>
      <c r="I1" s="12" t="inlineStr">
        <is>
          <t>AttackTypeStats</t>
        </is>
      </c>
      <c r="J1" s="12" t="inlineStr">
        <is>
          <t>DatasetStats</t>
        </is>
      </c>
      <c r="K1" s="12" t="inlineStr">
        <is>
          <t>Years</t>
        </is>
      </c>
    </row>
    <row r="2">
      <c r="A2" t="inlineStr">
        <is>
          <t>SOC</t>
        </is>
      </c>
      <c r="B2" t="inlineStr">
        <is>
          <t>IEEE</t>
        </is>
      </c>
      <c r="C2" t="inlineStr">
        <is>
          <t>Not Started</t>
        </is>
      </c>
      <c r="D2" t="inlineStr">
        <is>
          <t>Pending</t>
        </is>
      </c>
      <c r="E2" t="inlineStr">
        <is>
          <t>None</t>
        </is>
      </c>
      <c r="F2" t="inlineStr">
        <is>
          <t>LLM</t>
        </is>
      </c>
      <c r="G2" t="inlineStr">
        <is>
          <t>Application</t>
        </is>
      </c>
      <c r="H2" t="inlineStr">
        <is>
          <t>Yes</t>
        </is>
      </c>
      <c r="I2" t="inlineStr">
        <is>
          <t>SQL Injection</t>
        </is>
      </c>
      <c r="J2" t="inlineStr">
        <is>
          <t>NSL-KDD</t>
        </is>
      </c>
      <c r="K2" t="n">
        <v>2014</v>
      </c>
    </row>
    <row r="3">
      <c r="A3" t="inlineStr">
        <is>
          <t>Penetration Testing</t>
        </is>
      </c>
      <c r="B3" t="inlineStr">
        <is>
          <t>ACM</t>
        </is>
      </c>
      <c r="C3" t="inlineStr">
        <is>
          <t>Reading</t>
        </is>
      </c>
      <c r="D3" t="inlineStr">
        <is>
          <t>Verified</t>
        </is>
      </c>
      <c r="E3" t="inlineStr">
        <is>
          <t>Supervised</t>
        </is>
      </c>
      <c r="F3" t="inlineStr">
        <is>
          <t>CNN</t>
        </is>
      </c>
      <c r="G3" t="inlineStr">
        <is>
          <t>Network</t>
        </is>
      </c>
      <c r="H3" t="inlineStr">
        <is>
          <t>No</t>
        </is>
      </c>
      <c r="I3" t="inlineStr">
        <is>
          <t>Cross-Site Scripting (XSS)</t>
        </is>
      </c>
      <c r="J3" t="inlineStr">
        <is>
          <t>CICIDS2017</t>
        </is>
      </c>
      <c r="K3" t="n">
        <v>2015</v>
      </c>
    </row>
    <row r="4">
      <c r="A4" t="inlineStr">
        <is>
          <t>Database Security</t>
        </is>
      </c>
      <c r="B4" t="inlineStr">
        <is>
          <t>Springer</t>
        </is>
      </c>
      <c r="C4" t="inlineStr">
        <is>
          <t>Completed</t>
        </is>
      </c>
      <c r="D4" t="inlineStr">
        <is>
          <t>Needs Review</t>
        </is>
      </c>
      <c r="E4" t="inlineStr">
        <is>
          <t>Unsupervised</t>
        </is>
      </c>
      <c r="F4" t="inlineStr">
        <is>
          <t>RNN</t>
        </is>
      </c>
      <c r="G4" t="inlineStr">
        <is>
          <t>Host</t>
        </is>
      </c>
      <c r="I4" t="inlineStr">
        <is>
          <t>Phishing</t>
        </is>
      </c>
      <c r="J4" t="inlineStr">
        <is>
          <t>CICIDS2018</t>
        </is>
      </c>
      <c r="K4" t="n">
        <v>2016</v>
      </c>
    </row>
    <row r="5">
      <c r="A5" t="inlineStr">
        <is>
          <t>Full Stack Development</t>
        </is>
      </c>
      <c r="B5" t="inlineStr">
        <is>
          <t>Elsevier</t>
        </is>
      </c>
      <c r="C5" t="inlineStr">
        <is>
          <t>Verified</t>
        </is>
      </c>
      <c r="E5" t="inlineStr">
        <is>
          <t>Semi-Supervised</t>
        </is>
      </c>
      <c r="F5" t="inlineStr">
        <is>
          <t>LSTM</t>
        </is>
      </c>
      <c r="G5" t="inlineStr">
        <is>
          <t>Cloud</t>
        </is>
      </c>
      <c r="I5" t="inlineStr">
        <is>
          <t>Ransomware</t>
        </is>
      </c>
      <c r="J5" t="inlineStr">
        <is>
          <t>UNSW-NB15</t>
        </is>
      </c>
      <c r="K5" t="n">
        <v>2017</v>
      </c>
    </row>
    <row r="6">
      <c r="B6" t="inlineStr">
        <is>
          <t>MDPI</t>
        </is>
      </c>
      <c r="E6" t="inlineStr">
        <is>
          <t>Reinforcement Learning</t>
        </is>
      </c>
      <c r="F6" t="inlineStr">
        <is>
          <t>Transformer</t>
        </is>
      </c>
      <c r="G6" t="inlineStr">
        <is>
          <t>Database</t>
        </is>
      </c>
      <c r="I6" t="inlineStr">
        <is>
          <t>DDoS</t>
        </is>
      </c>
      <c r="J6" t="inlineStr">
        <is>
          <t>KDD Cup 99</t>
        </is>
      </c>
      <c r="K6" t="n">
        <v>2018</v>
      </c>
    </row>
    <row r="7">
      <c r="B7" t="inlineStr">
        <is>
          <t>Wiley</t>
        </is>
      </c>
      <c r="E7" t="inlineStr">
        <is>
          <t>Deep Learning</t>
        </is>
      </c>
      <c r="F7" t="inlineStr">
        <is>
          <t>BERT</t>
        </is>
      </c>
      <c r="G7" t="inlineStr">
        <is>
          <t>Endpoint</t>
        </is>
      </c>
      <c r="I7" t="inlineStr">
        <is>
          <t>Malware</t>
        </is>
      </c>
      <c r="J7" t="inlineStr">
        <is>
          <t>CSE-CIC-IDS2018</t>
        </is>
      </c>
      <c r="K7" t="n">
        <v>2019</v>
      </c>
    </row>
    <row r="8">
      <c r="B8" t="inlineStr">
        <is>
          <t>Taylor &amp; Francis</t>
        </is>
      </c>
      <c r="E8" t="inlineStr">
        <is>
          <t>Transfer Learning</t>
        </is>
      </c>
      <c r="F8" t="inlineStr">
        <is>
          <t>GPT</t>
        </is>
      </c>
      <c r="G8" t="inlineStr">
        <is>
          <t>Identity</t>
        </is>
      </c>
      <c r="I8" t="inlineStr">
        <is>
          <t>Privilege Escalation</t>
        </is>
      </c>
      <c r="J8" t="inlineStr">
        <is>
          <t>TON_IoT</t>
        </is>
      </c>
      <c r="K8" t="n">
        <v>2020</v>
      </c>
    </row>
    <row r="9">
      <c r="B9" t="inlineStr">
        <is>
          <t>Nature</t>
        </is>
      </c>
      <c r="E9" t="inlineStr">
        <is>
          <t>Federated Learning</t>
        </is>
      </c>
      <c r="F9" t="inlineStr">
        <is>
          <t>Random Forest</t>
        </is>
      </c>
      <c r="G9" t="inlineStr">
        <is>
          <t>Runtime</t>
        </is>
      </c>
      <c r="I9" t="inlineStr">
        <is>
          <t>Zero-Day Exploit</t>
        </is>
      </c>
      <c r="J9" t="inlineStr">
        <is>
          <t>OWASP Benchmark</t>
        </is>
      </c>
      <c r="K9" t="n">
        <v>2021</v>
      </c>
    </row>
    <row r="10">
      <c r="B10" t="inlineStr">
        <is>
          <t>arXiv</t>
        </is>
      </c>
      <c r="E10" t="inlineStr">
        <is>
          <t>Hybrid</t>
        </is>
      </c>
      <c r="F10" t="inlineStr">
        <is>
          <t>Decision Tree</t>
        </is>
      </c>
      <c r="I10" t="inlineStr">
        <is>
          <t>Man-in-the-Middle</t>
        </is>
      </c>
      <c r="J10" t="inlineStr">
        <is>
          <t>Custom Dataset</t>
        </is>
      </c>
      <c r="K10" t="n">
        <v>2022</v>
      </c>
    </row>
    <row r="11">
      <c r="B11" t="inlineStr">
        <is>
          <t>Other</t>
        </is>
      </c>
      <c r="E11" t="inlineStr">
        <is>
          <t>LLM</t>
        </is>
      </c>
      <c r="F11" t="inlineStr">
        <is>
          <t>SVM</t>
        </is>
      </c>
      <c r="I11" t="inlineStr">
        <is>
          <t>Insider Threat</t>
        </is>
      </c>
      <c r="J11" t="inlineStr">
        <is>
          <t>Synthetic Dataset</t>
        </is>
      </c>
      <c r="K11" t="n">
        <v>2023</v>
      </c>
    </row>
    <row r="12">
      <c r="F12" t="inlineStr">
        <is>
          <t>KNN</t>
        </is>
      </c>
      <c r="I12" t="inlineStr">
        <is>
          <t>Command Injection</t>
        </is>
      </c>
      <c r="J12" t="inlineStr">
        <is>
          <t>Other</t>
        </is>
      </c>
      <c r="K12" t="n">
        <v>2024</v>
      </c>
    </row>
    <row r="13">
      <c r="F13" t="inlineStr">
        <is>
          <t>Naive Bayes</t>
        </is>
      </c>
      <c r="I13" t="inlineStr">
        <is>
          <t>Buffer Overflow</t>
        </is>
      </c>
      <c r="K13" t="n">
        <v>2025</v>
      </c>
    </row>
    <row r="14">
      <c r="F14" t="inlineStr">
        <is>
          <t>XGBoost</t>
        </is>
      </c>
      <c r="I14" t="inlineStr">
        <is>
          <t>Credential Stuffing</t>
        </is>
      </c>
      <c r="K14" t="n">
        <v>2026</v>
      </c>
    </row>
    <row r="15">
      <c r="F15" t="inlineStr">
        <is>
          <t>Autoencoder</t>
        </is>
      </c>
      <c r="I15" t="inlineStr">
        <is>
          <t>API Abuse</t>
        </is>
      </c>
      <c r="K15" t="n">
        <v>2027</v>
      </c>
    </row>
    <row r="16">
      <c r="F16" t="inlineStr">
        <is>
          <t>GAN</t>
        </is>
      </c>
      <c r="I16" t="inlineStr">
        <is>
          <t>Other</t>
        </is>
      </c>
    </row>
    <row r="17">
      <c r="F17" t="inlineStr">
        <is>
          <t>Graph Neural Network</t>
        </is>
      </c>
    </row>
    <row r="18">
      <c r="F18" t="inlineStr">
        <is>
          <t>Hybrid</t>
        </is>
      </c>
    </row>
    <row r="19">
      <c r="F19" t="inlineStr">
        <is>
          <t>Other</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style="270" min="1" max="1"/>
    <col width="32" customWidth="1" style="270" min="2" max="2"/>
    <col width="18" customWidth="1" style="270" min="3" max="3"/>
    <col width="45" customWidth="1" style="270" min="4" max="4"/>
    <col width="38" customWidth="1" style="270" min="5" max="5"/>
    <col width="40" customWidth="1" style="270" min="6" max="6"/>
  </cols>
  <sheetData>
    <row r="1">
      <c r="A1" s="386" t="inlineStr">
        <is>
          <t>Ally Vision — Systematic Literature Review Taxonomy &amp; PRISMA Clustering Framework</t>
        </is>
      </c>
    </row>
    <row r="3" ht="26" customHeight="1" s="270">
      <c r="A3" s="367" t="inlineStr">
        <is>
          <t>Taxonomy Level</t>
        </is>
      </c>
      <c r="B3" s="367" t="inlineStr">
        <is>
          <t>Category / Topic Name</t>
        </is>
      </c>
      <c r="C3" s="367" t="inlineStr">
        <is>
          <t>Classification Code</t>
        </is>
      </c>
      <c r="D3" s="367" t="inlineStr">
        <is>
          <t>Scope &amp; Detailed Description</t>
        </is>
      </c>
      <c r="E3" s="367" t="inlineStr">
        <is>
          <t>Key Technologies &amp; Hardware Enablers</t>
        </is>
      </c>
      <c r="F3" s="367" t="inlineStr">
        <is>
          <t>PRISMA Review &amp; Thesis Role</t>
        </is>
      </c>
    </row>
    <row r="4" ht="32" customHeight="1" s="270">
      <c r="A4" s="387" t="inlineStr">
        <is>
          <t>Main Tag (Theme 1)</t>
        </is>
      </c>
      <c r="B4" s="387" t="inlineStr">
        <is>
          <t>Tactile &amp; Sensory Substitution Systems</t>
        </is>
      </c>
      <c r="C4" s="387" t="inlineStr">
        <is>
          <t>TSSS</t>
        </is>
      </c>
      <c r="D4" s="388" t="inlineStr">
        <is>
          <t>Cutaneous tactile displays, matrix actuator arrays (vibratory, electro-tactile, pneumatic, or mechanical micro-pins), and visual-to-tactile cross-modal sensory substitution.</t>
        </is>
      </c>
      <c r="E4" s="388" t="inlineStr">
        <is>
          <t>Micro-stepper linear actuators, ERM/LRA vibration motors, Solenoid pin matrices, Haptic belts, Haptic vests, Tactile gloves</t>
        </is>
      </c>
      <c r="F4" s="388" t="inlineStr">
        <is>
          <t>Primary synthesis cluster for output modality, matrix resolution, tactile rendering latency, and spatial feedback fidelity.</t>
        </is>
      </c>
    </row>
    <row r="5" ht="32" customHeight="1" s="270">
      <c r="A5" s="387" t="inlineStr">
        <is>
          <t>Main Tag (Theme 2)</t>
        </is>
      </c>
      <c r="B5" s="387" t="inlineStr">
        <is>
          <t>Edge Computer Vision &amp; 3D Spatial Perception</t>
        </is>
      </c>
      <c r="C5" s="387" t="inlineStr">
        <is>
          <t>CV-3D</t>
        </is>
      </c>
      <c r="D5" s="388" t="inlineStr">
        <is>
          <t>Real-time edge computer vision, embedded 3D spatial computing, point cloud generation, depth estimation, and AI-driven obstacle identification.</t>
        </is>
      </c>
      <c r="E5" s="388" t="inlineStr">
        <is>
          <t>Intel RealSense D435i/D455, Luxonis OAK-D, YOLOv8/v11-nano, Jetson Orin Nano, Raspberry Pi 5, Time-of-Flight (ToF)</t>
        </is>
      </c>
      <c r="F5" s="388" t="inlineStr">
        <is>
          <t>Primary synthesis cluster for real-time perception accuracy, frames-per-second (FPS) on low-power edge devices, and environmental sensing.</t>
        </is>
      </c>
    </row>
    <row r="6" ht="32" customHeight="1" s="270">
      <c r="A6" s="387" t="inlineStr">
        <is>
          <t>Main Tag (Theme 3)</t>
        </is>
      </c>
      <c r="B6" s="387" t="inlineStr">
        <is>
          <t>Ground Segmentation &amp; Safe Path Navigation</t>
        </is>
      </c>
      <c r="C6" s="387" t="inlineStr">
        <is>
          <t>GS-PN</t>
        </is>
      </c>
      <c r="D6" s="388" t="inlineStr">
        <is>
          <t>Navigable ground plane extraction, detection of negative obstacles (drop-offs, open pits, curbs, down-stairs), safe corridor envelopes, and collision avoidance path planning.</t>
        </is>
      </c>
      <c r="E6" s="388" t="inlineStr">
        <is>
          <t>RANSAC plane segmentation, Point cloud surface normal filtering, 2D Costmaps, Safe corridor convex hull, Waypoint guidance</t>
        </is>
      </c>
      <c r="F6" s="388" t="inlineStr">
        <is>
          <t>Primary synthesis cluster for physical walking safety, trip/fall prevention, terrain classification, and indoor corridor navigation.</t>
        </is>
      </c>
    </row>
    <row r="7" ht="32" customHeight="1" s="270">
      <c r="A7" s="387" t="inlineStr">
        <is>
          <t>Main Tag (Theme 4)</t>
        </is>
      </c>
      <c r="B7" s="387" t="inlineStr">
        <is>
          <t>Cognitive Ergonomics &amp; Blind Usability</t>
        </is>
      </c>
      <c r="C7" s="387" t="inlineStr">
        <is>
          <t>CE-BU</t>
        </is>
      </c>
      <c r="D7" s="388" t="inlineStr">
        <is>
          <t>Human factors, cognitive workload optimization, preservation of environmental audio (ear-free navigation), blind participant trials, and orientation &amp; mobility (O&amp;M) metrics.</t>
        </is>
      </c>
      <c r="E7" s="388" t="inlineStr">
        <is>
          <t>NASA-TLX workload survey, Orientation and Mobility (O&amp;M) benchmark routes, Walking speed preservation, Reaction time latency, Audio masking tests</t>
        </is>
      </c>
      <c r="F7" s="388" t="inlineStr">
        <is>
          <t>Primary synthesis cluster for assistive usability, human-in-the-loop performance, user adoption barriers, and sensory fatigue.</t>
        </is>
      </c>
    </row>
    <row r="8" ht="24" customHeight="1" s="270">
      <c r="A8" t="inlineStr"/>
      <c r="B8" t="inlineStr"/>
      <c r="C8" t="inlineStr"/>
      <c r="D8" t="inlineStr"/>
      <c r="E8" t="inlineStr"/>
      <c r="F8" t="inlineStr"/>
    </row>
    <row r="9" ht="32" customHeight="1" s="270">
      <c r="A9" s="389" t="inlineStr">
        <is>
          <t>Another Tag (Topic 1)</t>
        </is>
      </c>
      <c r="B9" s="389" t="inlineStr">
        <is>
          <t>Tactile-Actuation</t>
        </is>
      </c>
      <c r="C9" s="389" t="inlineStr">
        <is>
          <t>TACT</t>
        </is>
      </c>
      <c r="D9" s="390" t="inlineStr">
        <is>
          <t>Physical actuation mechanisms delivering tactile stimuli to the human skin, pin stroke, matrix density, and spatial-temporal tactile patterns.</t>
        </is>
      </c>
      <c r="E9" s="390" t="inlineStr">
        <is>
          <t>ERM/LRA motors, Shape Memory Alloy (SMA), Micro-stepper pins, Piezoelectric transducers, Actuator driver ICs</t>
        </is>
      </c>
      <c r="F9" s="390" t="inlineStr">
        <is>
          <t>Cross-cutting technical topic: Hardware actuation selection, tactile perception thresholds, and mechanical power constraints.</t>
        </is>
      </c>
    </row>
    <row r="10" ht="32" customHeight="1" s="270">
      <c r="A10" s="389" t="inlineStr">
        <is>
          <t>Another Tag (Topic 2)</t>
        </is>
      </c>
      <c r="B10" s="389" t="inlineStr">
        <is>
          <t>Depth-Sensing</t>
        </is>
      </c>
      <c r="C10" s="389" t="inlineStr">
        <is>
          <t>DEPTH</t>
        </is>
      </c>
      <c r="D10" s="390" t="inlineStr">
        <is>
          <t>Active and passive range sensing for 3D geometric scene capture, depth maps, disparity calculations, and point cloud registration.</t>
        </is>
      </c>
      <c r="E10" s="390" t="inlineStr">
        <is>
          <t>Stereo IR cameras, Solid-state LiDAR, Ultrasonic sensor arrays, Time-of-Flight (ToF) sensors</t>
        </is>
      </c>
      <c r="F10" s="390" t="inlineStr">
        <is>
          <t>Cross-cutting technical topic: Sensor field-of-view, range accuracy (0.2m - 5m), sunlight robustness, and power consumption.</t>
        </is>
      </c>
    </row>
    <row r="11" ht="32" customHeight="1" s="270">
      <c r="A11" s="389" t="inlineStr">
        <is>
          <t>Another Tag (Topic 3)</t>
        </is>
      </c>
      <c r="B11" s="389" t="inlineStr">
        <is>
          <t>AI-Object-Detection</t>
        </is>
      </c>
      <c r="C11" s="389" t="inlineStr">
        <is>
          <t>AI-OD</t>
        </is>
      </c>
      <c r="D11" s="390" t="inlineStr">
        <is>
          <t>Deep learning computer vision architectures for detecting hazards, pedestrians, doorways, moving objects, and indoor obstacles.</t>
        </is>
      </c>
      <c r="E11" s="390" t="inlineStr">
        <is>
          <t>YOLOv5/v8/v11, MobileNet-SSD, Edge-TPU, TensorRT, ONNX Runtime, Int8 quantization</t>
        </is>
      </c>
      <c r="F11" s="390" t="inlineStr">
        <is>
          <t>Cross-cutting technical topic: Real-time inference latency, model lightweighting, and detection precision on embedded hardware.</t>
        </is>
      </c>
    </row>
    <row r="12" ht="32" customHeight="1" s="270">
      <c r="A12" s="389" t="inlineStr">
        <is>
          <t>Another Tag (Topic 4)</t>
        </is>
      </c>
      <c r="B12" s="389" t="inlineStr">
        <is>
          <t>Corridor-Navigation</t>
        </is>
      </c>
      <c r="C12" s="389" t="inlineStr">
        <is>
          <t>CORR-NAV</t>
        </is>
      </c>
      <c r="D12" s="390" t="inlineStr">
        <is>
          <t>Trajectory planning, obstacle clearance envelopes, hallway centering, turning cues, and spatial guidance for indoor walking.</t>
        </is>
      </c>
      <c r="E12" s="390" t="inlineStr">
        <is>
          <t>Ground plane extraction, Dynamic window approach (DWA), Safe corridor envelope, Proximity directional cues</t>
        </is>
      </c>
      <c r="F12" s="390" t="inlineStr">
        <is>
          <t>Cross-cutting technical topic: Spatial orientation, navigation autonomy, and trajectory steering.</t>
        </is>
      </c>
    </row>
    <row r="13" ht="32" customHeight="1" s="270">
      <c r="A13" s="389" t="inlineStr">
        <is>
          <t>Another Tag (Topic 5)</t>
        </is>
      </c>
      <c r="B13" s="389" t="inlineStr">
        <is>
          <t>Human-Factors-Usability</t>
        </is>
      </c>
      <c r="C13" s="389" t="inlineStr">
        <is>
          <t>HUMAN-UX</t>
        </is>
      </c>
      <c r="D13" s="390" t="inlineStr">
        <is>
          <t>Empirical validation involving blind and visually impaired participants, user testing protocols, situational awareness preservation, and cognitive load.</t>
        </is>
      </c>
      <c r="E13" s="390" t="inlineStr">
        <is>
          <t>User questionnaires, Blind participant navigation trials, Cognitive workload scoring, Long-term wearability tests</t>
        </is>
      </c>
      <c r="F13" s="390" t="inlineStr">
        <is>
          <t>Cross-cutting technical topic: Clinical and assistive efficacy, user safety, and qualitative feedback.</t>
        </is>
      </c>
    </row>
    <row r="14" ht="32" customHeight="1" s="270">
      <c r="A14" s="389" t="inlineStr">
        <is>
          <t>Another Tag (Topic 6)</t>
        </is>
      </c>
      <c r="B14" s="389" t="inlineStr">
        <is>
          <t>Wearable-Embedded</t>
        </is>
      </c>
      <c r="C14" s="389" t="inlineStr">
        <is>
          <t>WEAR-EMB</t>
        </is>
      </c>
      <c r="D14" s="390" t="inlineStr">
        <is>
          <t>Device form factor, body-worn integration, embedded compute platforms, power budget, and portability of the assistive system.</t>
        </is>
      </c>
      <c r="E14" s="390" t="inlineStr">
        <is>
          <t>Raspberry Pi, ESP32, Jetson Nano/Orin, Arduino, STM32, Smartphones, Head-mounted / wrist / vest form factors, Battery packs</t>
        </is>
      </c>
      <c r="F14" s="390" t="inlineStr">
        <is>
          <t>Cross-cutting technical topic: Deployability, weight, battery life, and real-world wearability constraints.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2026-07-14T18:43:06Z</dcterms:created>
  <dcterms:modified xmlns:dcterms="http://purl.org/dc/terms/" xmlns:xsi="http://www.w3.org/2001/XMLSchema-instance" xsi:type="dcterms:W3CDTF">2026-10-27T15:49:23Z</dcterms:modified>
  <cp:revision>1</cp:revision>
</cp:coreProperties>
</file>